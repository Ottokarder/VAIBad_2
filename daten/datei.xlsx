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miche\Downloads\"/>
    </mc:Choice>
  </mc:AlternateContent>
  <xr:revisionPtr revIDLastSave="0" documentId="13_ncr:1_{C7E54CD3-88E9-4011-88F7-8D8F5183A06A}" xr6:coauthVersionLast="36" xr6:coauthVersionMax="36" xr10:uidLastSave="{00000000-0000-0000-0000-000000000000}"/>
  <bookViews>
    <workbookView minimized="1" xWindow="0" yWindow="0" windowWidth="29070" windowHeight="12660" firstSheet="2" activeTab="5" xr2:uid="{00000000-000D-0000-FFFF-FFFF00000000}"/>
  </bookViews>
  <sheets>
    <sheet name="Stammdaten - Schwimmer" sheetId="1" r:id="rId1"/>
    <sheet name="Tabelle1" sheetId="7" r:id="rId2"/>
    <sheet name="Stammdaten - Sponsoren" sheetId="2" r:id="rId3"/>
    <sheet name="Stammdaten Teams" sheetId="4" r:id="rId4"/>
    <sheet name="Ehrungen" sheetId="3" r:id="rId5"/>
    <sheet name="Spenden-Kalkulation-Schwimmer" sheetId="5" r:id="rId6"/>
    <sheet name="Spenden-Kalkulation-Sponsor" sheetId="6" r:id="rId7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" i="6" l="1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4" i="6"/>
  <c r="A5" i="6"/>
  <c r="B5" i="6"/>
  <c r="A6" i="6"/>
  <c r="B6" i="6"/>
  <c r="A7" i="6"/>
  <c r="B7" i="6"/>
  <c r="A8" i="6"/>
  <c r="B8" i="6"/>
  <c r="A9" i="6"/>
  <c r="B9" i="6"/>
  <c r="A10" i="6"/>
  <c r="B10" i="6"/>
  <c r="A11" i="6"/>
  <c r="B11" i="6"/>
  <c r="A12" i="6"/>
  <c r="B12" i="6"/>
  <c r="D12" i="6"/>
  <c r="A13" i="6"/>
  <c r="B13" i="6"/>
  <c r="A14" i="6"/>
  <c r="B14" i="6"/>
  <c r="A15" i="6"/>
  <c r="B15" i="6"/>
  <c r="A16" i="6"/>
  <c r="B16" i="6"/>
  <c r="A17" i="6"/>
  <c r="B17" i="6"/>
  <c r="A18" i="6"/>
  <c r="B18" i="6"/>
  <c r="A19" i="6"/>
  <c r="B19" i="6"/>
  <c r="A20" i="6"/>
  <c r="B20" i="6"/>
  <c r="A21" i="6"/>
  <c r="B21" i="6"/>
  <c r="A22" i="6"/>
  <c r="B22" i="6"/>
  <c r="A23" i="6"/>
  <c r="B23" i="6"/>
  <c r="A24" i="6"/>
  <c r="B24" i="6"/>
  <c r="A25" i="6"/>
  <c r="B25" i="6"/>
  <c r="A26" i="6"/>
  <c r="B26" i="6"/>
  <c r="A27" i="6"/>
  <c r="B27" i="6"/>
  <c r="D27" i="6"/>
  <c r="A28" i="6"/>
  <c r="B28" i="6"/>
  <c r="A29" i="6"/>
  <c r="B29" i="6"/>
  <c r="A30" i="6"/>
  <c r="B30" i="6"/>
  <c r="A31" i="6"/>
  <c r="B31" i="6"/>
  <c r="A32" i="6"/>
  <c r="B32" i="6"/>
  <c r="A33" i="6"/>
  <c r="B33" i="6"/>
  <c r="A34" i="6"/>
  <c r="B34" i="6"/>
  <c r="A35" i="6"/>
  <c r="B35" i="6"/>
  <c r="A36" i="6"/>
  <c r="B36" i="6"/>
  <c r="A37" i="6"/>
  <c r="B37" i="6"/>
  <c r="D37" i="6"/>
  <c r="A38" i="6"/>
  <c r="B38" i="6"/>
  <c r="A39" i="6"/>
  <c r="B39" i="6"/>
  <c r="A40" i="6"/>
  <c r="B40" i="6"/>
  <c r="A41" i="6"/>
  <c r="B41" i="6"/>
  <c r="A42" i="6"/>
  <c r="B42" i="6"/>
  <c r="A43" i="6"/>
  <c r="B43" i="6"/>
  <c r="A44" i="6"/>
  <c r="B44" i="6"/>
  <c r="A45" i="6"/>
  <c r="B45" i="6"/>
  <c r="A46" i="6"/>
  <c r="B46" i="6"/>
  <c r="D46" i="6"/>
  <c r="A47" i="6"/>
  <c r="B47" i="6"/>
  <c r="D47" i="6"/>
  <c r="A48" i="6"/>
  <c r="B48" i="6"/>
  <c r="A49" i="6"/>
  <c r="B49" i="6"/>
  <c r="A50" i="6"/>
  <c r="B50" i="6"/>
  <c r="A51" i="6"/>
  <c r="B51" i="6"/>
  <c r="D51" i="6"/>
  <c r="A52" i="6"/>
  <c r="B52" i="6"/>
  <c r="A53" i="6"/>
  <c r="B53" i="6"/>
  <c r="A54" i="6"/>
  <c r="B54" i="6"/>
  <c r="D54" i="6"/>
  <c r="A55" i="6"/>
  <c r="B55" i="6"/>
  <c r="A56" i="6"/>
  <c r="B56" i="6"/>
  <c r="A57" i="6"/>
  <c r="B57" i="6"/>
  <c r="A58" i="6"/>
  <c r="B58" i="6"/>
  <c r="A59" i="6"/>
  <c r="B59" i="6"/>
  <c r="A60" i="6"/>
  <c r="B60" i="6"/>
  <c r="D60" i="6"/>
  <c r="A61" i="6"/>
  <c r="B61" i="6"/>
  <c r="D61" i="6"/>
  <c r="A62" i="6"/>
  <c r="B62" i="6"/>
  <c r="A63" i="6"/>
  <c r="B63" i="6"/>
  <c r="A64" i="6"/>
  <c r="B64" i="6"/>
  <c r="D64" i="6"/>
  <c r="A65" i="6"/>
  <c r="B65" i="6"/>
  <c r="A66" i="6"/>
  <c r="B66" i="6"/>
  <c r="A67" i="6"/>
  <c r="B67" i="6"/>
  <c r="A68" i="6"/>
  <c r="B68" i="6"/>
  <c r="A69" i="6"/>
  <c r="B69" i="6"/>
  <c r="A70" i="6"/>
  <c r="B70" i="6"/>
  <c r="A71" i="6"/>
  <c r="B71" i="6"/>
  <c r="A72" i="6"/>
  <c r="B72" i="6"/>
  <c r="A73" i="6"/>
  <c r="B73" i="6"/>
  <c r="A74" i="6"/>
  <c r="B74" i="6"/>
  <c r="A75" i="6"/>
  <c r="B75" i="6"/>
  <c r="A76" i="6"/>
  <c r="B76" i="6"/>
  <c r="A77" i="6"/>
  <c r="B77" i="6"/>
  <c r="A78" i="6"/>
  <c r="B78" i="6"/>
  <c r="D78" i="6"/>
  <c r="A79" i="6"/>
  <c r="B79" i="6"/>
  <c r="D79" i="6"/>
  <c r="A80" i="6"/>
  <c r="B80" i="6"/>
  <c r="D80" i="6"/>
  <c r="A81" i="6"/>
  <c r="B81" i="6"/>
  <c r="D81" i="6"/>
  <c r="A82" i="6"/>
  <c r="B82" i="6"/>
  <c r="D82" i="6"/>
  <c r="A83" i="6"/>
  <c r="B83" i="6"/>
  <c r="A84" i="6"/>
  <c r="B84" i="6"/>
  <c r="D84" i="6"/>
  <c r="A85" i="6"/>
  <c r="B85" i="6"/>
  <c r="D85" i="6"/>
  <c r="A86" i="6"/>
  <c r="B86" i="6"/>
  <c r="D86" i="6"/>
  <c r="A87" i="6"/>
  <c r="B87" i="6"/>
  <c r="D87" i="6"/>
  <c r="D4" i="6"/>
  <c r="R26" i="7"/>
  <c r="R42" i="7"/>
  <c r="R63" i="7"/>
  <c r="R88" i="7"/>
  <c r="K57" i="7"/>
  <c r="L57" i="7"/>
  <c r="M57" i="7"/>
  <c r="N57" i="7"/>
  <c r="O57" i="7"/>
  <c r="P57" i="7"/>
  <c r="R57" i="7" s="1"/>
  <c r="K85" i="7"/>
  <c r="L85" i="7"/>
  <c r="M85" i="7"/>
  <c r="N85" i="7"/>
  <c r="O85" i="7"/>
  <c r="K72" i="7"/>
  <c r="L72" i="7"/>
  <c r="M72" i="7"/>
  <c r="N72" i="7"/>
  <c r="O72" i="7"/>
  <c r="P72" i="7"/>
  <c r="R72" i="7" s="1"/>
  <c r="K28" i="7"/>
  <c r="L28" i="7"/>
  <c r="M28" i="7"/>
  <c r="N28" i="7"/>
  <c r="O28" i="7"/>
  <c r="P28" i="7"/>
  <c r="R28" i="7" s="1"/>
  <c r="K68" i="7"/>
  <c r="L68" i="7"/>
  <c r="M68" i="7"/>
  <c r="N68" i="7"/>
  <c r="O68" i="7"/>
  <c r="P68" i="7"/>
  <c r="R68" i="7" s="1"/>
  <c r="K58" i="7"/>
  <c r="L58" i="7"/>
  <c r="M58" i="7"/>
  <c r="N58" i="7"/>
  <c r="O58" i="7"/>
  <c r="K12" i="7"/>
  <c r="L12" i="7"/>
  <c r="M12" i="7"/>
  <c r="N12" i="7"/>
  <c r="O12" i="7"/>
  <c r="K9" i="7"/>
  <c r="L9" i="7"/>
  <c r="M9" i="7"/>
  <c r="N9" i="7"/>
  <c r="O9" i="7"/>
  <c r="K39" i="7"/>
  <c r="L39" i="7"/>
  <c r="M39" i="7"/>
  <c r="N39" i="7"/>
  <c r="O39" i="7"/>
  <c r="K40" i="7"/>
  <c r="L40" i="7"/>
  <c r="M40" i="7"/>
  <c r="N40" i="7"/>
  <c r="O40" i="7"/>
  <c r="K41" i="7"/>
  <c r="L41" i="7"/>
  <c r="M41" i="7"/>
  <c r="N41" i="7"/>
  <c r="O41" i="7"/>
  <c r="K42" i="7"/>
  <c r="L42" i="7"/>
  <c r="M42" i="7"/>
  <c r="N42" i="7"/>
  <c r="O42" i="7"/>
  <c r="P42" i="7"/>
  <c r="K49" i="7"/>
  <c r="L49" i="7"/>
  <c r="M49" i="7"/>
  <c r="N49" i="7"/>
  <c r="O49" i="7"/>
  <c r="P49" i="7"/>
  <c r="R49" i="7" s="1"/>
  <c r="K63" i="7"/>
  <c r="L63" i="7"/>
  <c r="M63" i="7"/>
  <c r="N63" i="7"/>
  <c r="O63" i="7"/>
  <c r="P63" i="7"/>
  <c r="K27" i="7"/>
  <c r="L27" i="7"/>
  <c r="M27" i="7"/>
  <c r="N27" i="7"/>
  <c r="O27" i="7"/>
  <c r="P27" i="7"/>
  <c r="R27" i="7" s="1"/>
  <c r="K24" i="7"/>
  <c r="L24" i="7"/>
  <c r="M24" i="7"/>
  <c r="N24" i="7"/>
  <c r="O24" i="7"/>
  <c r="K80" i="7"/>
  <c r="L80" i="7"/>
  <c r="M80" i="7"/>
  <c r="N80" i="7"/>
  <c r="O80" i="7"/>
  <c r="P80" i="7"/>
  <c r="R80" i="7" s="1"/>
  <c r="K64" i="7"/>
  <c r="L64" i="7"/>
  <c r="M64" i="7"/>
  <c r="N64" i="7"/>
  <c r="O64" i="7"/>
  <c r="P64" i="7"/>
  <c r="R64" i="7" s="1"/>
  <c r="K33" i="7"/>
  <c r="L33" i="7"/>
  <c r="M33" i="7"/>
  <c r="N33" i="7"/>
  <c r="O33" i="7"/>
  <c r="P33" i="7"/>
  <c r="R33" i="7" s="1"/>
  <c r="K87" i="7"/>
  <c r="L87" i="7"/>
  <c r="M87" i="7"/>
  <c r="N87" i="7"/>
  <c r="O87" i="7"/>
  <c r="P87" i="7"/>
  <c r="R87" i="7" s="1"/>
  <c r="K81" i="7"/>
  <c r="L81" i="7"/>
  <c r="M81" i="7"/>
  <c r="N81" i="7"/>
  <c r="O81" i="7"/>
  <c r="P81" i="7"/>
  <c r="R81" i="7" s="1"/>
  <c r="K88" i="7"/>
  <c r="L88" i="7"/>
  <c r="M88" i="7"/>
  <c r="N88" i="7"/>
  <c r="O88" i="7"/>
  <c r="P88" i="7"/>
  <c r="K48" i="7"/>
  <c r="L48" i="7"/>
  <c r="M48" i="7"/>
  <c r="N48" i="7"/>
  <c r="O48" i="7"/>
  <c r="P48" i="7"/>
  <c r="R48" i="7" s="1"/>
  <c r="K7" i="7"/>
  <c r="L7" i="7"/>
  <c r="M7" i="7"/>
  <c r="N7" i="7"/>
  <c r="O7" i="7"/>
  <c r="P7" i="7"/>
  <c r="R7" i="7" s="1"/>
  <c r="K37" i="7"/>
  <c r="L37" i="7"/>
  <c r="M37" i="7"/>
  <c r="N37" i="7"/>
  <c r="O37" i="7"/>
  <c r="P37" i="7"/>
  <c r="R37" i="7" s="1"/>
  <c r="K65" i="7"/>
  <c r="L65" i="7"/>
  <c r="M65" i="7"/>
  <c r="N65" i="7"/>
  <c r="O65" i="7"/>
  <c r="P65" i="7"/>
  <c r="R65" i="7" s="1"/>
  <c r="K73" i="7"/>
  <c r="L73" i="7"/>
  <c r="M73" i="7"/>
  <c r="N73" i="7"/>
  <c r="O73" i="7"/>
  <c r="P73" i="7"/>
  <c r="R73" i="7" s="1"/>
  <c r="K71" i="7"/>
  <c r="L71" i="7"/>
  <c r="M71" i="7"/>
  <c r="N71" i="7"/>
  <c r="O71" i="7"/>
  <c r="P71" i="7"/>
  <c r="R71" i="7" s="1"/>
  <c r="K79" i="7"/>
  <c r="L79" i="7"/>
  <c r="M79" i="7"/>
  <c r="N79" i="7"/>
  <c r="O79" i="7"/>
  <c r="P79" i="7"/>
  <c r="R79" i="7" s="1"/>
  <c r="K75" i="7"/>
  <c r="L75" i="7"/>
  <c r="M75" i="7"/>
  <c r="N75" i="7"/>
  <c r="O75" i="7"/>
  <c r="P75" i="7"/>
  <c r="R75" i="7" s="1"/>
  <c r="K82" i="7"/>
  <c r="L82" i="7"/>
  <c r="M82" i="7"/>
  <c r="N82" i="7"/>
  <c r="O82" i="7"/>
  <c r="P82" i="7"/>
  <c r="R82" i="7" s="1"/>
  <c r="K78" i="7"/>
  <c r="L78" i="7"/>
  <c r="M78" i="7"/>
  <c r="N78" i="7"/>
  <c r="O78" i="7"/>
  <c r="P78" i="7"/>
  <c r="R78" i="7" s="1"/>
  <c r="K20" i="7"/>
  <c r="L20" i="7"/>
  <c r="M20" i="7"/>
  <c r="N20" i="7"/>
  <c r="O20" i="7"/>
  <c r="P20" i="7"/>
  <c r="R20" i="7" s="1"/>
  <c r="K90" i="7"/>
  <c r="L90" i="7"/>
  <c r="M90" i="7"/>
  <c r="N90" i="7"/>
  <c r="O90" i="7"/>
  <c r="P90" i="7"/>
  <c r="R90" i="7" s="1"/>
  <c r="K94" i="7"/>
  <c r="L94" i="7"/>
  <c r="M94" i="7"/>
  <c r="N94" i="7"/>
  <c r="O94" i="7"/>
  <c r="K17" i="7"/>
  <c r="L17" i="7"/>
  <c r="M17" i="7"/>
  <c r="N17" i="7"/>
  <c r="O17" i="7"/>
  <c r="P17" i="7"/>
  <c r="R17" i="7" s="1"/>
  <c r="K52" i="7"/>
  <c r="L52" i="7"/>
  <c r="M52" i="7"/>
  <c r="N52" i="7"/>
  <c r="O52" i="7"/>
  <c r="P52" i="7"/>
  <c r="R52" i="7" s="1"/>
  <c r="K62" i="7"/>
  <c r="L62" i="7"/>
  <c r="M62" i="7"/>
  <c r="N62" i="7"/>
  <c r="O62" i="7"/>
  <c r="P62" i="7"/>
  <c r="R62" i="7" s="1"/>
  <c r="K3" i="7"/>
  <c r="L3" i="7"/>
  <c r="M3" i="7"/>
  <c r="N3" i="7"/>
  <c r="O3" i="7"/>
  <c r="P3" i="7"/>
  <c r="R3" i="7" s="1"/>
  <c r="K5" i="7"/>
  <c r="L5" i="7"/>
  <c r="M5" i="7"/>
  <c r="N5" i="7"/>
  <c r="O5" i="7"/>
  <c r="P5" i="7"/>
  <c r="R5" i="7" s="1"/>
  <c r="K54" i="7"/>
  <c r="L54" i="7"/>
  <c r="M54" i="7"/>
  <c r="N54" i="7"/>
  <c r="O54" i="7"/>
  <c r="K47" i="7"/>
  <c r="L47" i="7"/>
  <c r="M47" i="7"/>
  <c r="N47" i="7"/>
  <c r="O47" i="7"/>
  <c r="K45" i="7"/>
  <c r="L45" i="7"/>
  <c r="M45" i="7"/>
  <c r="N45" i="7"/>
  <c r="O45" i="7"/>
  <c r="K44" i="7"/>
  <c r="L44" i="7"/>
  <c r="M44" i="7"/>
  <c r="N44" i="7"/>
  <c r="O44" i="7"/>
  <c r="K32" i="7"/>
  <c r="L32" i="7"/>
  <c r="M32" i="7"/>
  <c r="N32" i="7"/>
  <c r="O32" i="7"/>
  <c r="K89" i="7"/>
  <c r="L89" i="7"/>
  <c r="M89" i="7"/>
  <c r="N89" i="7"/>
  <c r="O89" i="7"/>
  <c r="K19" i="7"/>
  <c r="L19" i="7"/>
  <c r="M19" i="7"/>
  <c r="N19" i="7"/>
  <c r="O19" i="7"/>
  <c r="K21" i="7"/>
  <c r="L21" i="7"/>
  <c r="M21" i="7"/>
  <c r="N21" i="7"/>
  <c r="O21" i="7"/>
  <c r="K51" i="7"/>
  <c r="L51" i="7"/>
  <c r="M51" i="7"/>
  <c r="N51" i="7"/>
  <c r="O51" i="7"/>
  <c r="K86" i="7"/>
  <c r="L86" i="7"/>
  <c r="M86" i="7"/>
  <c r="N86" i="7"/>
  <c r="O86" i="7"/>
  <c r="K67" i="7"/>
  <c r="L67" i="7"/>
  <c r="M67" i="7"/>
  <c r="N67" i="7"/>
  <c r="O67" i="7"/>
  <c r="K25" i="7"/>
  <c r="L25" i="7"/>
  <c r="M25" i="7"/>
  <c r="N25" i="7"/>
  <c r="O25" i="7"/>
  <c r="P25" i="7"/>
  <c r="R25" i="7" s="1"/>
  <c r="K11" i="7"/>
  <c r="L11" i="7"/>
  <c r="M11" i="7"/>
  <c r="N11" i="7"/>
  <c r="O11" i="7"/>
  <c r="P11" i="7"/>
  <c r="R11" i="7" s="1"/>
  <c r="K18" i="7"/>
  <c r="L18" i="7"/>
  <c r="M18" i="7"/>
  <c r="N18" i="7"/>
  <c r="O18" i="7"/>
  <c r="P18" i="7"/>
  <c r="R18" i="7" s="1"/>
  <c r="K38" i="7"/>
  <c r="L38" i="7"/>
  <c r="M38" i="7"/>
  <c r="N38" i="7"/>
  <c r="O38" i="7"/>
  <c r="K14" i="7"/>
  <c r="L14" i="7"/>
  <c r="M14" i="7"/>
  <c r="N14" i="7"/>
  <c r="O14" i="7"/>
  <c r="P14" i="7"/>
  <c r="R14" i="7" s="1"/>
  <c r="K69" i="7"/>
  <c r="L69" i="7"/>
  <c r="M69" i="7"/>
  <c r="N69" i="7"/>
  <c r="O69" i="7"/>
  <c r="P69" i="7"/>
  <c r="R69" i="7" s="1"/>
  <c r="K16" i="7"/>
  <c r="L16" i="7"/>
  <c r="M16" i="7"/>
  <c r="N16" i="7"/>
  <c r="O16" i="7"/>
  <c r="P16" i="7"/>
  <c r="R16" i="7" s="1"/>
  <c r="K8" i="7"/>
  <c r="L8" i="7"/>
  <c r="M8" i="7"/>
  <c r="N8" i="7"/>
  <c r="O8" i="7"/>
  <c r="P8" i="7"/>
  <c r="R8" i="7" s="1"/>
  <c r="K60" i="7"/>
  <c r="L60" i="7"/>
  <c r="M60" i="7"/>
  <c r="N60" i="7"/>
  <c r="O60" i="7"/>
  <c r="P60" i="7"/>
  <c r="R60" i="7" s="1"/>
  <c r="K50" i="7"/>
  <c r="L50" i="7"/>
  <c r="M50" i="7"/>
  <c r="N50" i="7"/>
  <c r="O50" i="7"/>
  <c r="P50" i="7"/>
  <c r="R50" i="7" s="1"/>
  <c r="K30" i="7"/>
  <c r="L30" i="7"/>
  <c r="M30" i="7"/>
  <c r="N30" i="7"/>
  <c r="O30" i="7"/>
  <c r="P30" i="7"/>
  <c r="R30" i="7" s="1"/>
  <c r="K13" i="7"/>
  <c r="L13" i="7"/>
  <c r="M13" i="7"/>
  <c r="N13" i="7"/>
  <c r="O13" i="7"/>
  <c r="P13" i="7"/>
  <c r="R13" i="7" s="1"/>
  <c r="K92" i="7"/>
  <c r="L92" i="7"/>
  <c r="M92" i="7"/>
  <c r="N92" i="7"/>
  <c r="O92" i="7"/>
  <c r="P92" i="7"/>
  <c r="R92" i="7" s="1"/>
  <c r="K23" i="7"/>
  <c r="L23" i="7"/>
  <c r="M23" i="7"/>
  <c r="N23" i="7"/>
  <c r="O23" i="7"/>
  <c r="P23" i="7"/>
  <c r="R23" i="7" s="1"/>
  <c r="K55" i="7"/>
  <c r="L55" i="7"/>
  <c r="M55" i="7"/>
  <c r="N55" i="7"/>
  <c r="O55" i="7"/>
  <c r="P55" i="7"/>
  <c r="R55" i="7" s="1"/>
  <c r="K46" i="7"/>
  <c r="L46" i="7"/>
  <c r="M46" i="7"/>
  <c r="N46" i="7"/>
  <c r="O46" i="7"/>
  <c r="P46" i="7"/>
  <c r="R46" i="7" s="1"/>
  <c r="K84" i="7"/>
  <c r="L84" i="7"/>
  <c r="M84" i="7"/>
  <c r="N84" i="7"/>
  <c r="O84" i="7"/>
  <c r="P84" i="7"/>
  <c r="R84" i="7" s="1"/>
  <c r="K22" i="7"/>
  <c r="L22" i="7"/>
  <c r="M22" i="7"/>
  <c r="N22" i="7"/>
  <c r="O22" i="7"/>
  <c r="P22" i="7"/>
  <c r="R22" i="7" s="1"/>
  <c r="K53" i="7"/>
  <c r="L53" i="7"/>
  <c r="M53" i="7"/>
  <c r="N53" i="7"/>
  <c r="O53" i="7"/>
  <c r="P53" i="7"/>
  <c r="R53" i="7" s="1"/>
  <c r="K29" i="7"/>
  <c r="L29" i="7"/>
  <c r="M29" i="7"/>
  <c r="N29" i="7"/>
  <c r="O29" i="7"/>
  <c r="P29" i="7"/>
  <c r="R29" i="7" s="1"/>
  <c r="K61" i="7"/>
  <c r="L61" i="7"/>
  <c r="M61" i="7"/>
  <c r="N61" i="7"/>
  <c r="O61" i="7"/>
  <c r="P61" i="7"/>
  <c r="R61" i="7" s="1"/>
  <c r="K35" i="7"/>
  <c r="L35" i="7"/>
  <c r="M35" i="7"/>
  <c r="N35" i="7"/>
  <c r="O35" i="7"/>
  <c r="P35" i="7"/>
  <c r="R35" i="7" s="1"/>
  <c r="K74" i="7"/>
  <c r="L74" i="7"/>
  <c r="M74" i="7"/>
  <c r="N74" i="7"/>
  <c r="O74" i="7"/>
  <c r="P74" i="7"/>
  <c r="R74" i="7" s="1"/>
  <c r="K66" i="7"/>
  <c r="L66" i="7"/>
  <c r="M66" i="7"/>
  <c r="N66" i="7"/>
  <c r="O66" i="7"/>
  <c r="P66" i="7"/>
  <c r="R66" i="7" s="1"/>
  <c r="K26" i="7"/>
  <c r="L26" i="7"/>
  <c r="M26" i="7"/>
  <c r="N26" i="7"/>
  <c r="O26" i="7"/>
  <c r="P26" i="7"/>
  <c r="K59" i="7"/>
  <c r="L59" i="7"/>
  <c r="M59" i="7"/>
  <c r="N59" i="7"/>
  <c r="O59" i="7"/>
  <c r="P59" i="7"/>
  <c r="R59" i="7" s="1"/>
  <c r="K34" i="7"/>
  <c r="L34" i="7"/>
  <c r="M34" i="7"/>
  <c r="N34" i="7"/>
  <c r="O34" i="7"/>
  <c r="P34" i="7"/>
  <c r="R34" i="7" s="1"/>
  <c r="K70" i="7"/>
  <c r="L70" i="7"/>
  <c r="M70" i="7"/>
  <c r="N70" i="7"/>
  <c r="O70" i="7"/>
  <c r="P70" i="7"/>
  <c r="R70" i="7" s="1"/>
  <c r="K91" i="7"/>
  <c r="L91" i="7"/>
  <c r="M91" i="7"/>
  <c r="N91" i="7"/>
  <c r="O91" i="7"/>
  <c r="P91" i="7"/>
  <c r="R91" i="7" s="1"/>
  <c r="K76" i="7"/>
  <c r="L76" i="7"/>
  <c r="M76" i="7"/>
  <c r="N76" i="7"/>
  <c r="O76" i="7"/>
  <c r="P76" i="7"/>
  <c r="R76" i="7" s="1"/>
  <c r="K31" i="7"/>
  <c r="L31" i="7"/>
  <c r="M31" i="7"/>
  <c r="N31" i="7"/>
  <c r="O31" i="7"/>
  <c r="P31" i="7"/>
  <c r="R31" i="7" s="1"/>
  <c r="K36" i="7"/>
  <c r="L36" i="7"/>
  <c r="M36" i="7"/>
  <c r="N36" i="7"/>
  <c r="O36" i="7"/>
  <c r="P36" i="7"/>
  <c r="R36" i="7" s="1"/>
  <c r="K77" i="7"/>
  <c r="L77" i="7"/>
  <c r="M77" i="7"/>
  <c r="N77" i="7"/>
  <c r="O77" i="7"/>
  <c r="P77" i="7"/>
  <c r="R77" i="7" s="1"/>
  <c r="K83" i="7"/>
  <c r="L83" i="7"/>
  <c r="M83" i="7"/>
  <c r="N83" i="7"/>
  <c r="O83" i="7"/>
  <c r="P83" i="7"/>
  <c r="R83" i="7" s="1"/>
  <c r="K4" i="7"/>
  <c r="L4" i="7"/>
  <c r="M4" i="7"/>
  <c r="N4" i="7"/>
  <c r="O4" i="7"/>
  <c r="P4" i="7"/>
  <c r="R4" i="7" s="1"/>
  <c r="K15" i="7"/>
  <c r="L15" i="7"/>
  <c r="M15" i="7"/>
  <c r="N15" i="7"/>
  <c r="O15" i="7"/>
  <c r="P15" i="7"/>
  <c r="R15" i="7" s="1"/>
  <c r="K6" i="7"/>
  <c r="L6" i="7"/>
  <c r="M6" i="7"/>
  <c r="N6" i="7"/>
  <c r="O6" i="7"/>
  <c r="P6" i="7"/>
  <c r="R6" i="7" s="1"/>
  <c r="K93" i="7"/>
  <c r="L93" i="7"/>
  <c r="M93" i="7"/>
  <c r="N93" i="7"/>
  <c r="O93" i="7"/>
  <c r="P93" i="7"/>
  <c r="R93" i="7" s="1"/>
  <c r="K56" i="7"/>
  <c r="L56" i="7"/>
  <c r="M56" i="7"/>
  <c r="N56" i="7"/>
  <c r="O56" i="7"/>
  <c r="P56" i="7"/>
  <c r="R56" i="7" s="1"/>
  <c r="K43" i="7"/>
  <c r="L43" i="7"/>
  <c r="M43" i="7"/>
  <c r="N43" i="7"/>
  <c r="O43" i="7"/>
  <c r="P43" i="7"/>
  <c r="R43" i="7" s="1"/>
  <c r="K10" i="7"/>
  <c r="L10" i="7"/>
  <c r="M10" i="7"/>
  <c r="N10" i="7"/>
  <c r="O10" i="7"/>
  <c r="P10" i="7"/>
  <c r="R10" i="7" s="1"/>
  <c r="L2" i="7"/>
  <c r="M2" i="7"/>
  <c r="N2" i="7"/>
  <c r="O2" i="7"/>
  <c r="P2" i="7"/>
  <c r="K2" i="7"/>
  <c r="A40" i="7"/>
  <c r="B40" i="7"/>
  <c r="C40" i="7"/>
  <c r="D40" i="7"/>
  <c r="E40" i="7"/>
  <c r="F40" i="7"/>
  <c r="A12" i="7"/>
  <c r="B12" i="7"/>
  <c r="C12" i="7"/>
  <c r="D12" i="7"/>
  <c r="E12" i="7"/>
  <c r="A25" i="7"/>
  <c r="B25" i="7"/>
  <c r="C25" i="7"/>
  <c r="D25" i="7"/>
  <c r="E25" i="7"/>
  <c r="F25" i="7"/>
  <c r="A69" i="7"/>
  <c r="B69" i="7"/>
  <c r="C69" i="7"/>
  <c r="D69" i="7"/>
  <c r="E69" i="7"/>
  <c r="F69" i="7"/>
  <c r="A29" i="7"/>
  <c r="B29" i="7"/>
  <c r="C29" i="7"/>
  <c r="D29" i="7"/>
  <c r="E29" i="7"/>
  <c r="F29" i="7"/>
  <c r="A39" i="7"/>
  <c r="B39" i="7"/>
  <c r="C39" i="7"/>
  <c r="D39" i="7"/>
  <c r="E39" i="7"/>
  <c r="A84" i="7"/>
  <c r="B84" i="7"/>
  <c r="C84" i="7"/>
  <c r="D84" i="7"/>
  <c r="E84" i="7"/>
  <c r="A87" i="7"/>
  <c r="B87" i="7"/>
  <c r="C87" i="7"/>
  <c r="D87" i="7"/>
  <c r="E87" i="7"/>
  <c r="A55" i="7"/>
  <c r="B55" i="7"/>
  <c r="C55" i="7"/>
  <c r="D55" i="7"/>
  <c r="E55" i="7"/>
  <c r="A56" i="7"/>
  <c r="B56" i="7"/>
  <c r="C56" i="7"/>
  <c r="D56" i="7"/>
  <c r="E56" i="7"/>
  <c r="A57" i="7"/>
  <c r="B57" i="7"/>
  <c r="C57" i="7"/>
  <c r="D57" i="7"/>
  <c r="E57" i="7"/>
  <c r="A58" i="7"/>
  <c r="B58" i="7"/>
  <c r="C58" i="7"/>
  <c r="D58" i="7"/>
  <c r="E58" i="7"/>
  <c r="F58" i="7"/>
  <c r="A48" i="7"/>
  <c r="B48" i="7"/>
  <c r="C48" i="7"/>
  <c r="D48" i="7"/>
  <c r="E48" i="7"/>
  <c r="F48" i="7"/>
  <c r="A34" i="7"/>
  <c r="B34" i="7"/>
  <c r="C34" i="7"/>
  <c r="D34" i="7"/>
  <c r="E34" i="7"/>
  <c r="F34" i="7"/>
  <c r="A70" i="7"/>
  <c r="B70" i="7"/>
  <c r="C70" i="7"/>
  <c r="D70" i="7"/>
  <c r="E70" i="7"/>
  <c r="F70" i="7"/>
  <c r="A73" i="7"/>
  <c r="B73" i="7"/>
  <c r="C73" i="7"/>
  <c r="D73" i="7"/>
  <c r="E73" i="7"/>
  <c r="A17" i="7"/>
  <c r="B17" i="7"/>
  <c r="C17" i="7"/>
  <c r="D17" i="7"/>
  <c r="E17" i="7"/>
  <c r="F17" i="7"/>
  <c r="A33" i="7"/>
  <c r="B33" i="7"/>
  <c r="C33" i="7"/>
  <c r="D33" i="7"/>
  <c r="E33" i="7"/>
  <c r="F33" i="7"/>
  <c r="A64" i="7"/>
  <c r="B64" i="7"/>
  <c r="C64" i="7"/>
  <c r="D64" i="7"/>
  <c r="E64" i="7"/>
  <c r="F64" i="7"/>
  <c r="A10" i="7"/>
  <c r="B10" i="7"/>
  <c r="C10" i="7"/>
  <c r="D10" i="7"/>
  <c r="E10" i="7"/>
  <c r="F10" i="7"/>
  <c r="A16" i="7"/>
  <c r="B16" i="7"/>
  <c r="C16" i="7"/>
  <c r="D16" i="7"/>
  <c r="E16" i="7"/>
  <c r="F16" i="7"/>
  <c r="A9" i="7"/>
  <c r="B9" i="7"/>
  <c r="C9" i="7"/>
  <c r="D9" i="7"/>
  <c r="E9" i="7"/>
  <c r="F9" i="7"/>
  <c r="A49" i="7"/>
  <c r="B49" i="7"/>
  <c r="C49" i="7"/>
  <c r="D49" i="7"/>
  <c r="E49" i="7"/>
  <c r="F49" i="7"/>
  <c r="A89" i="7"/>
  <c r="B89" i="7"/>
  <c r="C89" i="7"/>
  <c r="D89" i="7"/>
  <c r="E89" i="7"/>
  <c r="F89" i="7"/>
  <c r="A60" i="7"/>
  <c r="B60" i="7"/>
  <c r="C60" i="7"/>
  <c r="D60" i="7"/>
  <c r="E60" i="7"/>
  <c r="F60" i="7"/>
  <c r="A32" i="7"/>
  <c r="B32" i="7"/>
  <c r="C32" i="7"/>
  <c r="D32" i="7"/>
  <c r="E32" i="7"/>
  <c r="F32" i="7"/>
  <c r="A24" i="7"/>
  <c r="B24" i="7"/>
  <c r="C24" i="7"/>
  <c r="D24" i="7"/>
  <c r="E24" i="7"/>
  <c r="F24" i="7"/>
  <c r="A26" i="7"/>
  <c r="B26" i="7"/>
  <c r="C26" i="7"/>
  <c r="D26" i="7"/>
  <c r="E26" i="7"/>
  <c r="F26" i="7"/>
  <c r="A18" i="7"/>
  <c r="B18" i="7"/>
  <c r="C18" i="7"/>
  <c r="D18" i="7"/>
  <c r="E18" i="7"/>
  <c r="F18" i="7"/>
  <c r="A22" i="7"/>
  <c r="B22" i="7"/>
  <c r="C22" i="7"/>
  <c r="D22" i="7"/>
  <c r="E22" i="7"/>
  <c r="F22" i="7"/>
  <c r="A15" i="7"/>
  <c r="B15" i="7"/>
  <c r="C15" i="7"/>
  <c r="D15" i="7"/>
  <c r="E15" i="7"/>
  <c r="F15" i="7"/>
  <c r="A19" i="7"/>
  <c r="B19" i="7"/>
  <c r="C19" i="7"/>
  <c r="D19" i="7"/>
  <c r="E19" i="7"/>
  <c r="F19" i="7"/>
  <c r="A77" i="7"/>
  <c r="B77" i="7"/>
  <c r="C77" i="7"/>
  <c r="D77" i="7"/>
  <c r="E77" i="7"/>
  <c r="F77" i="7"/>
  <c r="A7" i="7"/>
  <c r="B7" i="7"/>
  <c r="C7" i="7"/>
  <c r="D7" i="7"/>
  <c r="E7" i="7"/>
  <c r="F7" i="7"/>
  <c r="A3" i="7"/>
  <c r="B3" i="7"/>
  <c r="C3" i="7"/>
  <c r="D3" i="7"/>
  <c r="E3" i="7"/>
  <c r="A94" i="7"/>
  <c r="B94" i="7"/>
  <c r="C94" i="7"/>
  <c r="D94" i="7"/>
  <c r="E94" i="7"/>
  <c r="F94" i="7"/>
  <c r="A45" i="7"/>
  <c r="B45" i="7"/>
  <c r="C45" i="7"/>
  <c r="D45" i="7"/>
  <c r="E45" i="7"/>
  <c r="F45" i="7"/>
  <c r="A35" i="7"/>
  <c r="B35" i="7"/>
  <c r="C35" i="7"/>
  <c r="D35" i="7"/>
  <c r="E35" i="7"/>
  <c r="F35" i="7"/>
  <c r="A93" i="7"/>
  <c r="B93" i="7"/>
  <c r="C93" i="7"/>
  <c r="D93" i="7"/>
  <c r="E93" i="7"/>
  <c r="F93" i="7"/>
  <c r="A91" i="7"/>
  <c r="B91" i="7"/>
  <c r="C91" i="7"/>
  <c r="D91" i="7"/>
  <c r="E91" i="7"/>
  <c r="F91" i="7"/>
  <c r="A43" i="7"/>
  <c r="B43" i="7"/>
  <c r="C43" i="7"/>
  <c r="D43" i="7"/>
  <c r="E43" i="7"/>
  <c r="A50" i="7"/>
  <c r="B50" i="7"/>
  <c r="C50" i="7"/>
  <c r="D50" i="7"/>
  <c r="E50" i="7"/>
  <c r="A52" i="7"/>
  <c r="B52" i="7"/>
  <c r="C52" i="7"/>
  <c r="D52" i="7"/>
  <c r="E52" i="7"/>
  <c r="A53" i="7"/>
  <c r="B53" i="7"/>
  <c r="C53" i="7"/>
  <c r="D53" i="7"/>
  <c r="E53" i="7"/>
  <c r="A65" i="7"/>
  <c r="B65" i="7"/>
  <c r="C65" i="7"/>
  <c r="D65" i="7"/>
  <c r="E65" i="7"/>
  <c r="A8" i="7"/>
  <c r="B8" i="7"/>
  <c r="C8" i="7"/>
  <c r="D8" i="7"/>
  <c r="E8" i="7"/>
  <c r="A78" i="7"/>
  <c r="B78" i="7"/>
  <c r="C78" i="7"/>
  <c r="D78" i="7"/>
  <c r="E78" i="7"/>
  <c r="A76" i="7"/>
  <c r="B76" i="7"/>
  <c r="C76" i="7"/>
  <c r="D76" i="7"/>
  <c r="E76" i="7"/>
  <c r="A46" i="7"/>
  <c r="B46" i="7"/>
  <c r="C46" i="7"/>
  <c r="D46" i="7"/>
  <c r="E46" i="7"/>
  <c r="A11" i="7"/>
  <c r="B11" i="7"/>
  <c r="C11" i="7"/>
  <c r="D11" i="7"/>
  <c r="E11" i="7"/>
  <c r="A30" i="7"/>
  <c r="B30" i="7"/>
  <c r="C30" i="7"/>
  <c r="D30" i="7"/>
  <c r="E30" i="7"/>
  <c r="A72" i="7"/>
  <c r="B72" i="7"/>
  <c r="C72" i="7"/>
  <c r="D72" i="7"/>
  <c r="E72" i="7"/>
  <c r="F72" i="7"/>
  <c r="A85" i="7"/>
  <c r="B85" i="7"/>
  <c r="C85" i="7"/>
  <c r="D85" i="7"/>
  <c r="E85" i="7"/>
  <c r="F85" i="7"/>
  <c r="A79" i="7"/>
  <c r="B79" i="7"/>
  <c r="C79" i="7"/>
  <c r="D79" i="7"/>
  <c r="E79" i="7"/>
  <c r="F79" i="7"/>
  <c r="A59" i="7"/>
  <c r="B59" i="7"/>
  <c r="C59" i="7"/>
  <c r="D59" i="7"/>
  <c r="E59" i="7"/>
  <c r="A82" i="7"/>
  <c r="B82" i="7"/>
  <c r="C82" i="7"/>
  <c r="D82" i="7"/>
  <c r="E82" i="7"/>
  <c r="F82" i="7"/>
  <c r="A28" i="7"/>
  <c r="B28" i="7"/>
  <c r="C28" i="7"/>
  <c r="D28" i="7"/>
  <c r="E28" i="7"/>
  <c r="F28" i="7"/>
  <c r="A80" i="7"/>
  <c r="B80" i="7"/>
  <c r="C80" i="7"/>
  <c r="D80" i="7"/>
  <c r="E80" i="7"/>
  <c r="F80" i="7"/>
  <c r="A88" i="7"/>
  <c r="B88" i="7"/>
  <c r="C88" i="7"/>
  <c r="D88" i="7"/>
  <c r="E88" i="7"/>
  <c r="F88" i="7"/>
  <c r="A37" i="7"/>
  <c r="B37" i="7"/>
  <c r="C37" i="7"/>
  <c r="D37" i="7"/>
  <c r="E37" i="7"/>
  <c r="F37" i="7"/>
  <c r="A47" i="7"/>
  <c r="B47" i="7"/>
  <c r="C47" i="7"/>
  <c r="D47" i="7"/>
  <c r="E47" i="7"/>
  <c r="F47" i="7"/>
  <c r="A67" i="7"/>
  <c r="B67" i="7"/>
  <c r="C67" i="7"/>
  <c r="D67" i="7"/>
  <c r="E67" i="7"/>
  <c r="F67" i="7"/>
  <c r="A83" i="7"/>
  <c r="B83" i="7"/>
  <c r="C83" i="7"/>
  <c r="D83" i="7"/>
  <c r="E83" i="7"/>
  <c r="F83" i="7"/>
  <c r="A5" i="7"/>
  <c r="B5" i="7"/>
  <c r="C5" i="7"/>
  <c r="D5" i="7"/>
  <c r="E5" i="7"/>
  <c r="F5" i="7"/>
  <c r="A74" i="7"/>
  <c r="B74" i="7"/>
  <c r="C74" i="7"/>
  <c r="D74" i="7"/>
  <c r="E74" i="7"/>
  <c r="F74" i="7"/>
  <c r="A42" i="7"/>
  <c r="B42" i="7"/>
  <c r="C42" i="7"/>
  <c r="D42" i="7"/>
  <c r="E42" i="7"/>
  <c r="F42" i="7"/>
  <c r="A51" i="7"/>
  <c r="B51" i="7"/>
  <c r="C51" i="7"/>
  <c r="D51" i="7"/>
  <c r="E51" i="7"/>
  <c r="F51" i="7"/>
  <c r="A13" i="7"/>
  <c r="B13" i="7"/>
  <c r="C13" i="7"/>
  <c r="D13" i="7"/>
  <c r="E13" i="7"/>
  <c r="F13" i="7"/>
  <c r="A75" i="7"/>
  <c r="B75" i="7"/>
  <c r="C75" i="7"/>
  <c r="D75" i="7"/>
  <c r="E75" i="7"/>
  <c r="F75" i="7"/>
  <c r="A44" i="7"/>
  <c r="B44" i="7"/>
  <c r="C44" i="7"/>
  <c r="D44" i="7"/>
  <c r="E44" i="7"/>
  <c r="F44" i="7"/>
  <c r="A68" i="7"/>
  <c r="B68" i="7"/>
  <c r="C68" i="7"/>
  <c r="D68" i="7"/>
  <c r="E68" i="7"/>
  <c r="F68" i="7"/>
  <c r="A36" i="7"/>
  <c r="B36" i="7"/>
  <c r="C36" i="7"/>
  <c r="D36" i="7"/>
  <c r="E36" i="7"/>
  <c r="F36" i="7"/>
  <c r="A62" i="7"/>
  <c r="B62" i="7"/>
  <c r="C62" i="7"/>
  <c r="D62" i="7"/>
  <c r="E62" i="7"/>
  <c r="F62" i="7"/>
  <c r="A23" i="7"/>
  <c r="B23" i="7"/>
  <c r="C23" i="7"/>
  <c r="D23" i="7"/>
  <c r="E23" i="7"/>
  <c r="F23" i="7"/>
  <c r="A31" i="7"/>
  <c r="B31" i="7"/>
  <c r="C31" i="7"/>
  <c r="D31" i="7"/>
  <c r="E31" i="7"/>
  <c r="F31" i="7"/>
  <c r="A71" i="7"/>
  <c r="B71" i="7"/>
  <c r="C71" i="7"/>
  <c r="D71" i="7"/>
  <c r="E71" i="7"/>
  <c r="F71" i="7"/>
  <c r="A38" i="7"/>
  <c r="B38" i="7"/>
  <c r="C38" i="7"/>
  <c r="D38" i="7"/>
  <c r="E38" i="7"/>
  <c r="F38" i="7"/>
  <c r="A63" i="7"/>
  <c r="B63" i="7"/>
  <c r="C63" i="7"/>
  <c r="D63" i="7"/>
  <c r="E63" i="7"/>
  <c r="F63" i="7"/>
  <c r="A27" i="7"/>
  <c r="B27" i="7"/>
  <c r="C27" i="7"/>
  <c r="D27" i="7"/>
  <c r="E27" i="7"/>
  <c r="F27" i="7"/>
  <c r="A6" i="7"/>
  <c r="B6" i="7"/>
  <c r="C6" i="7"/>
  <c r="D6" i="7"/>
  <c r="E6" i="7"/>
  <c r="F6" i="7"/>
  <c r="A21" i="7"/>
  <c r="B21" i="7"/>
  <c r="C21" i="7"/>
  <c r="D21" i="7"/>
  <c r="E21" i="7"/>
  <c r="F21" i="7"/>
  <c r="A66" i="7"/>
  <c r="B66" i="7"/>
  <c r="C66" i="7"/>
  <c r="D66" i="7"/>
  <c r="E66" i="7"/>
  <c r="F66" i="7"/>
  <c r="A61" i="7"/>
  <c r="B61" i="7"/>
  <c r="C61" i="7"/>
  <c r="D61" i="7"/>
  <c r="E61" i="7"/>
  <c r="F61" i="7"/>
  <c r="A20" i="7"/>
  <c r="B20" i="7"/>
  <c r="C20" i="7"/>
  <c r="D20" i="7"/>
  <c r="E20" i="7"/>
  <c r="F20" i="7"/>
  <c r="A14" i="7"/>
  <c r="B14" i="7"/>
  <c r="C14" i="7"/>
  <c r="D14" i="7"/>
  <c r="E14" i="7"/>
  <c r="F14" i="7"/>
  <c r="A92" i="7"/>
  <c r="B92" i="7"/>
  <c r="C92" i="7"/>
  <c r="D92" i="7"/>
  <c r="E92" i="7"/>
  <c r="F92" i="7"/>
  <c r="A81" i="7"/>
  <c r="B81" i="7"/>
  <c r="C81" i="7"/>
  <c r="D81" i="7"/>
  <c r="E81" i="7"/>
  <c r="F81" i="7"/>
  <c r="A90" i="7"/>
  <c r="B90" i="7"/>
  <c r="C90" i="7"/>
  <c r="D90" i="7"/>
  <c r="E90" i="7"/>
  <c r="F90" i="7"/>
  <c r="A4" i="7"/>
  <c r="B4" i="7"/>
  <c r="C4" i="7"/>
  <c r="D4" i="7"/>
  <c r="E4" i="7"/>
  <c r="F4" i="7"/>
  <c r="A41" i="7"/>
  <c r="B41" i="7"/>
  <c r="C41" i="7"/>
  <c r="D41" i="7"/>
  <c r="E41" i="7"/>
  <c r="F41" i="7"/>
  <c r="A54" i="7"/>
  <c r="B54" i="7"/>
  <c r="C54" i="7"/>
  <c r="D54" i="7"/>
  <c r="E54" i="7"/>
  <c r="F54" i="7"/>
  <c r="A86" i="7"/>
  <c r="B86" i="7"/>
  <c r="C86" i="7"/>
  <c r="D86" i="7"/>
  <c r="E86" i="7"/>
  <c r="F86" i="7"/>
  <c r="B2" i="7"/>
  <c r="C2" i="7"/>
  <c r="D2" i="7"/>
  <c r="E2" i="7"/>
  <c r="F2" i="7"/>
  <c r="A2" i="7"/>
  <c r="F49" i="1" l="1"/>
  <c r="F54" i="1"/>
  <c r="F53" i="1"/>
  <c r="F38" i="1"/>
  <c r="F51" i="1"/>
  <c r="F50" i="1"/>
  <c r="F52" i="1"/>
  <c r="F58" i="1"/>
  <c r="F48" i="1"/>
  <c r="F44" i="1"/>
  <c r="F47" i="1"/>
  <c r="F46" i="1"/>
  <c r="F45" i="1"/>
  <c r="F19" i="1"/>
  <c r="F14" i="1"/>
  <c r="F13" i="1"/>
  <c r="F12" i="1"/>
  <c r="F11" i="1"/>
  <c r="F10" i="1"/>
  <c r="F9" i="1"/>
  <c r="F5" i="1"/>
  <c r="P9" i="7" l="1"/>
  <c r="F87" i="7"/>
  <c r="F73" i="7"/>
  <c r="P24" i="7"/>
  <c r="R24" i="7" s="1"/>
  <c r="N50" i="1"/>
  <c r="J50" i="1"/>
  <c r="F78" i="7"/>
  <c r="P19" i="7"/>
  <c r="R19" i="7" s="1"/>
  <c r="P85" i="7"/>
  <c r="R85" i="7" s="1"/>
  <c r="F12" i="7"/>
  <c r="P47" i="7"/>
  <c r="R47" i="7" s="1"/>
  <c r="F50" i="7"/>
  <c r="P21" i="7"/>
  <c r="R21" i="7" s="1"/>
  <c r="F76" i="7"/>
  <c r="F39" i="7"/>
  <c r="P58" i="7"/>
  <c r="R58" i="7" s="1"/>
  <c r="F59" i="7"/>
  <c r="P38" i="7"/>
  <c r="R38" i="7" s="1"/>
  <c r="F3" i="7"/>
  <c r="P94" i="7"/>
  <c r="R94" i="7" s="1"/>
  <c r="F43" i="7"/>
  <c r="P54" i="7"/>
  <c r="R54" i="7" s="1"/>
  <c r="F30" i="7"/>
  <c r="P67" i="7"/>
  <c r="R67" i="7" s="1"/>
  <c r="F55" i="7"/>
  <c r="P39" i="7"/>
  <c r="R39" i="7" s="1"/>
  <c r="F65" i="7"/>
  <c r="P32" i="7"/>
  <c r="R32" i="7" s="1"/>
  <c r="P89" i="7"/>
  <c r="R89" i="7" s="1"/>
  <c r="F8" i="7"/>
  <c r="P40" i="7"/>
  <c r="R40" i="7" s="1"/>
  <c r="F56" i="7"/>
  <c r="F52" i="7"/>
  <c r="P45" i="7"/>
  <c r="R45" i="7" s="1"/>
  <c r="F84" i="7"/>
  <c r="P12" i="7"/>
  <c r="R12" i="7" s="1"/>
  <c r="F57" i="7"/>
  <c r="P41" i="7"/>
  <c r="R41" i="7" s="1"/>
  <c r="P44" i="7"/>
  <c r="R44" i="7" s="1"/>
  <c r="F53" i="7"/>
  <c r="F46" i="7"/>
  <c r="P51" i="7"/>
  <c r="R51" i="7" s="1"/>
  <c r="P86" i="7"/>
  <c r="R86" i="7" s="1"/>
  <c r="F11" i="7"/>
  <c r="O1" i="6"/>
  <c r="P1" i="6" s="1"/>
  <c r="M34" i="3"/>
  <c r="M35" i="3"/>
  <c r="M36" i="3"/>
  <c r="M37" i="3"/>
  <c r="M33" i="3"/>
  <c r="J34" i="3"/>
  <c r="J35" i="3"/>
  <c r="J36" i="3"/>
  <c r="J37" i="3"/>
  <c r="J33" i="3"/>
  <c r="I37" i="3"/>
  <c r="I34" i="3"/>
  <c r="I35" i="3"/>
  <c r="I36" i="3"/>
  <c r="I33" i="3"/>
  <c r="H34" i="3"/>
  <c r="H35" i="3"/>
  <c r="H36" i="3"/>
  <c r="H37" i="3"/>
  <c r="H33" i="3"/>
  <c r="K34" i="3"/>
  <c r="K35" i="3"/>
  <c r="K36" i="3"/>
  <c r="K37" i="3"/>
  <c r="K33" i="3"/>
  <c r="F34" i="3"/>
  <c r="F35" i="3"/>
  <c r="F36" i="3"/>
  <c r="F37" i="3"/>
  <c r="F33" i="3"/>
  <c r="C34" i="3"/>
  <c r="C35" i="3"/>
  <c r="C36" i="3"/>
  <c r="C37" i="3"/>
  <c r="C33" i="3"/>
  <c r="B34" i="3"/>
  <c r="B35" i="3"/>
  <c r="B36" i="3"/>
  <c r="B37" i="3"/>
  <c r="B33" i="3"/>
  <c r="A34" i="3"/>
  <c r="A35" i="3"/>
  <c r="A36" i="3"/>
  <c r="A37" i="3"/>
  <c r="A33" i="3"/>
  <c r="D34" i="3"/>
  <c r="D35" i="3"/>
  <c r="D36" i="3"/>
  <c r="D37" i="3"/>
  <c r="D33" i="3"/>
  <c r="T29" i="3"/>
  <c r="H4" i="4"/>
  <c r="B4" i="6"/>
  <c r="B15" i="5"/>
  <c r="W15" i="5" s="1"/>
  <c r="C15" i="5"/>
  <c r="X15" i="5" s="1"/>
  <c r="D6" i="4"/>
  <c r="D7" i="4"/>
  <c r="D8" i="4"/>
  <c r="D9" i="4"/>
  <c r="H9" i="4" s="1"/>
  <c r="D10" i="4"/>
  <c r="H10" i="4" s="1"/>
  <c r="D11" i="4"/>
  <c r="H11" i="4" s="1"/>
  <c r="D12" i="4"/>
  <c r="H12" i="4" s="1"/>
  <c r="D13" i="4"/>
  <c r="H13" i="4" s="1"/>
  <c r="D14" i="4"/>
  <c r="H14" i="4" s="1"/>
  <c r="D15" i="4"/>
  <c r="H15" i="4" s="1"/>
  <c r="D16" i="4"/>
  <c r="H16" i="4" s="1"/>
  <c r="D17" i="4"/>
  <c r="H17" i="4" s="1"/>
  <c r="D18" i="4"/>
  <c r="H18" i="4" s="1"/>
  <c r="D19" i="4"/>
  <c r="H19" i="4" s="1"/>
  <c r="D20" i="4"/>
  <c r="H20" i="4" s="1"/>
  <c r="D21" i="4"/>
  <c r="H21" i="4" s="1"/>
  <c r="D22" i="4"/>
  <c r="H22" i="4" s="1"/>
  <c r="D23" i="4"/>
  <c r="H23" i="4" s="1"/>
  <c r="D24" i="4"/>
  <c r="H24" i="4" s="1"/>
  <c r="D25" i="4"/>
  <c r="H25" i="4" s="1"/>
  <c r="D26" i="4"/>
  <c r="H26" i="4" s="1"/>
  <c r="D27" i="4"/>
  <c r="H27" i="4" s="1"/>
  <c r="D28" i="4"/>
  <c r="H28" i="4" s="1"/>
  <c r="D29" i="4"/>
  <c r="H29" i="4" s="1"/>
  <c r="D30" i="4"/>
  <c r="H30" i="4" s="1"/>
  <c r="D31" i="4"/>
  <c r="H31" i="4" s="1"/>
  <c r="D32" i="4"/>
  <c r="H32" i="4" s="1"/>
  <c r="D33" i="4"/>
  <c r="H33" i="4" s="1"/>
  <c r="D34" i="4"/>
  <c r="H34" i="4" s="1"/>
  <c r="D35" i="4"/>
  <c r="H35" i="4" s="1"/>
  <c r="D36" i="4"/>
  <c r="H36" i="4" s="1"/>
  <c r="D37" i="4"/>
  <c r="H37" i="4" s="1"/>
  <c r="D38" i="4"/>
  <c r="H38" i="4" s="1"/>
  <c r="D39" i="4"/>
  <c r="H39" i="4" s="1"/>
  <c r="D40" i="4"/>
  <c r="H40" i="4" s="1"/>
  <c r="D41" i="4"/>
  <c r="H41" i="4" s="1"/>
  <c r="D42" i="4"/>
  <c r="H42" i="4" s="1"/>
  <c r="D43" i="4"/>
  <c r="H43" i="4" s="1"/>
  <c r="D44" i="4"/>
  <c r="H44" i="4" s="1"/>
  <c r="D45" i="4"/>
  <c r="H45" i="4" s="1"/>
  <c r="D46" i="4"/>
  <c r="H46" i="4" s="1"/>
  <c r="D47" i="4"/>
  <c r="H47" i="4" s="1"/>
  <c r="D48" i="4"/>
  <c r="H48" i="4" s="1"/>
  <c r="D49" i="4"/>
  <c r="H49" i="4" s="1"/>
  <c r="D50" i="4"/>
  <c r="H50" i="4" s="1"/>
  <c r="D51" i="4"/>
  <c r="H51" i="4" s="1"/>
  <c r="D52" i="4"/>
  <c r="H52" i="4" s="1"/>
  <c r="D53" i="4"/>
  <c r="H53" i="4" s="1"/>
  <c r="D5" i="4"/>
  <c r="D4" i="4"/>
  <c r="Z14" i="5"/>
  <c r="Z15" i="5"/>
  <c r="Z16" i="5"/>
  <c r="Y17" i="5"/>
  <c r="Z17" i="5"/>
  <c r="Z18" i="5"/>
  <c r="Z19" i="5"/>
  <c r="Z20" i="5"/>
  <c r="Z21" i="5"/>
  <c r="Z22" i="5"/>
  <c r="Z23" i="5"/>
  <c r="V24" i="5"/>
  <c r="Z24" i="5"/>
  <c r="Y25" i="5"/>
  <c r="Z25" i="5"/>
  <c r="Z26" i="5"/>
  <c r="Z27" i="5"/>
  <c r="Z28" i="5"/>
  <c r="Z29" i="5"/>
  <c r="Z30" i="5"/>
  <c r="Z31" i="5"/>
  <c r="V32" i="5"/>
  <c r="Z32" i="5"/>
  <c r="Y33" i="5"/>
  <c r="Z33" i="5"/>
  <c r="Z34" i="5"/>
  <c r="Z35" i="5"/>
  <c r="Z36" i="5"/>
  <c r="Z37" i="5"/>
  <c r="Z38" i="5"/>
  <c r="Z39" i="5"/>
  <c r="V40" i="5"/>
  <c r="Z40" i="5"/>
  <c r="Z41" i="5"/>
  <c r="Z42" i="5"/>
  <c r="Z43" i="5"/>
  <c r="Z44" i="5"/>
  <c r="Z45" i="5"/>
  <c r="Z46" i="5"/>
  <c r="Z47" i="5"/>
  <c r="Z48" i="5"/>
  <c r="Y49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V64" i="5"/>
  <c r="Z64" i="5"/>
  <c r="Z65" i="5"/>
  <c r="Z66" i="5"/>
  <c r="W67" i="5"/>
  <c r="Z67" i="5"/>
  <c r="Z68" i="5"/>
  <c r="Z69" i="5"/>
  <c r="Z70" i="5"/>
  <c r="Z71" i="5"/>
  <c r="Z72" i="5"/>
  <c r="Y73" i="5"/>
  <c r="Z73" i="5"/>
  <c r="Z74" i="5"/>
  <c r="Z75" i="5"/>
  <c r="Z76" i="5"/>
  <c r="Z77" i="5"/>
  <c r="X78" i="5"/>
  <c r="Z78" i="5"/>
  <c r="Z79" i="5"/>
  <c r="Z80" i="5"/>
  <c r="Z81" i="5"/>
  <c r="Z82" i="5"/>
  <c r="Z83" i="5"/>
  <c r="Z84" i="5"/>
  <c r="Z85" i="5"/>
  <c r="Z86" i="5"/>
  <c r="Z87" i="5"/>
  <c r="Z88" i="5"/>
  <c r="Z89" i="5"/>
  <c r="Z90" i="5"/>
  <c r="Z91" i="5"/>
  <c r="Z92" i="5"/>
  <c r="Z93" i="5"/>
  <c r="Z94" i="5"/>
  <c r="Z95" i="5"/>
  <c r="Z96" i="5"/>
  <c r="Z97" i="5"/>
  <c r="Z98" i="5"/>
  <c r="Z99" i="5"/>
  <c r="Z100" i="5"/>
  <c r="Z101" i="5"/>
  <c r="Z102" i="5"/>
  <c r="Z103" i="5"/>
  <c r="O14" i="5"/>
  <c r="P14" i="5"/>
  <c r="Q14" i="5"/>
  <c r="R14" i="5"/>
  <c r="S14" i="5"/>
  <c r="O15" i="5"/>
  <c r="P15" i="5"/>
  <c r="Q15" i="5"/>
  <c r="R15" i="5"/>
  <c r="S15" i="5"/>
  <c r="O16" i="5"/>
  <c r="P16" i="5"/>
  <c r="Q16" i="5"/>
  <c r="R16" i="5"/>
  <c r="S16" i="5"/>
  <c r="O17" i="5"/>
  <c r="P17" i="5"/>
  <c r="Q17" i="5"/>
  <c r="R17" i="5"/>
  <c r="S17" i="5"/>
  <c r="O18" i="5"/>
  <c r="P18" i="5"/>
  <c r="Q18" i="5"/>
  <c r="R18" i="5"/>
  <c r="S18" i="5"/>
  <c r="O19" i="5"/>
  <c r="P19" i="5"/>
  <c r="Q19" i="5"/>
  <c r="R19" i="5"/>
  <c r="S19" i="5"/>
  <c r="O20" i="5"/>
  <c r="P20" i="5"/>
  <c r="Q20" i="5"/>
  <c r="R20" i="5"/>
  <c r="S20" i="5"/>
  <c r="O21" i="5"/>
  <c r="P21" i="5"/>
  <c r="Q21" i="5"/>
  <c r="R21" i="5"/>
  <c r="S21" i="5"/>
  <c r="O22" i="5"/>
  <c r="P22" i="5"/>
  <c r="Q22" i="5"/>
  <c r="R22" i="5"/>
  <c r="S22" i="5"/>
  <c r="O23" i="5"/>
  <c r="P23" i="5"/>
  <c r="Q23" i="5"/>
  <c r="R23" i="5"/>
  <c r="S23" i="5"/>
  <c r="O24" i="5"/>
  <c r="P24" i="5"/>
  <c r="Q24" i="5"/>
  <c r="R24" i="5"/>
  <c r="S24" i="5"/>
  <c r="O25" i="5"/>
  <c r="P25" i="5"/>
  <c r="Q25" i="5"/>
  <c r="R25" i="5"/>
  <c r="S25" i="5"/>
  <c r="O26" i="5"/>
  <c r="P26" i="5"/>
  <c r="Q26" i="5"/>
  <c r="R26" i="5"/>
  <c r="S26" i="5"/>
  <c r="O27" i="5"/>
  <c r="P27" i="5"/>
  <c r="Q27" i="5"/>
  <c r="R27" i="5"/>
  <c r="S27" i="5"/>
  <c r="O28" i="5"/>
  <c r="P28" i="5"/>
  <c r="Q28" i="5"/>
  <c r="R28" i="5"/>
  <c r="S28" i="5"/>
  <c r="O29" i="5"/>
  <c r="P29" i="5"/>
  <c r="Q29" i="5"/>
  <c r="R29" i="5"/>
  <c r="S29" i="5"/>
  <c r="O30" i="5"/>
  <c r="P30" i="5"/>
  <c r="Q30" i="5"/>
  <c r="R30" i="5"/>
  <c r="S30" i="5"/>
  <c r="O31" i="5"/>
  <c r="P31" i="5"/>
  <c r="Q31" i="5"/>
  <c r="R31" i="5"/>
  <c r="S31" i="5"/>
  <c r="O32" i="5"/>
  <c r="P32" i="5"/>
  <c r="Q32" i="5"/>
  <c r="R32" i="5"/>
  <c r="S32" i="5"/>
  <c r="O33" i="5"/>
  <c r="P33" i="5"/>
  <c r="Q33" i="5"/>
  <c r="R33" i="5"/>
  <c r="S33" i="5"/>
  <c r="O34" i="5"/>
  <c r="P34" i="5"/>
  <c r="Q34" i="5"/>
  <c r="R34" i="5"/>
  <c r="S34" i="5"/>
  <c r="O35" i="5"/>
  <c r="P35" i="5"/>
  <c r="Q35" i="5"/>
  <c r="R35" i="5"/>
  <c r="S35" i="5"/>
  <c r="O36" i="5"/>
  <c r="P36" i="5"/>
  <c r="Q36" i="5"/>
  <c r="R36" i="5"/>
  <c r="S36" i="5"/>
  <c r="O37" i="5"/>
  <c r="P37" i="5"/>
  <c r="Q37" i="5"/>
  <c r="R37" i="5"/>
  <c r="S37" i="5"/>
  <c r="O38" i="5"/>
  <c r="P38" i="5"/>
  <c r="Q38" i="5"/>
  <c r="R38" i="5"/>
  <c r="S38" i="5"/>
  <c r="O39" i="5"/>
  <c r="P39" i="5"/>
  <c r="Q39" i="5"/>
  <c r="R39" i="5"/>
  <c r="S39" i="5"/>
  <c r="S40" i="5"/>
  <c r="O41" i="5"/>
  <c r="P41" i="5"/>
  <c r="Q41" i="5"/>
  <c r="R41" i="5"/>
  <c r="S41" i="5"/>
  <c r="O42" i="5"/>
  <c r="P42" i="5"/>
  <c r="Q42" i="5"/>
  <c r="R42" i="5"/>
  <c r="S42" i="5"/>
  <c r="O43" i="5"/>
  <c r="P43" i="5"/>
  <c r="Q43" i="5"/>
  <c r="R43" i="5"/>
  <c r="S43" i="5"/>
  <c r="S44" i="5"/>
  <c r="O45" i="5"/>
  <c r="P45" i="5"/>
  <c r="Q45" i="5"/>
  <c r="R45" i="5"/>
  <c r="S45" i="5"/>
  <c r="O46" i="5"/>
  <c r="P46" i="5"/>
  <c r="Q46" i="5"/>
  <c r="R46" i="5"/>
  <c r="S46" i="5"/>
  <c r="O47" i="5"/>
  <c r="P47" i="5"/>
  <c r="Q47" i="5"/>
  <c r="R47" i="5"/>
  <c r="S47" i="5"/>
  <c r="O48" i="5"/>
  <c r="P48" i="5"/>
  <c r="Q48" i="5"/>
  <c r="R48" i="5"/>
  <c r="S48" i="5"/>
  <c r="O49" i="5"/>
  <c r="P49" i="5"/>
  <c r="Q49" i="5"/>
  <c r="R49" i="5"/>
  <c r="S49" i="5"/>
  <c r="O50" i="5"/>
  <c r="P50" i="5"/>
  <c r="Q50" i="5"/>
  <c r="R50" i="5"/>
  <c r="S50" i="5"/>
  <c r="O51" i="5"/>
  <c r="P51" i="5"/>
  <c r="Q51" i="5"/>
  <c r="R51" i="5"/>
  <c r="S51" i="5"/>
  <c r="S52" i="5"/>
  <c r="O53" i="5"/>
  <c r="P53" i="5"/>
  <c r="Q53" i="5"/>
  <c r="R53" i="5"/>
  <c r="S53" i="5"/>
  <c r="O54" i="5"/>
  <c r="P54" i="5"/>
  <c r="Q54" i="5"/>
  <c r="R54" i="5"/>
  <c r="S54" i="5"/>
  <c r="O55" i="5"/>
  <c r="P55" i="5"/>
  <c r="Q55" i="5"/>
  <c r="R55" i="5"/>
  <c r="S55" i="5"/>
  <c r="O56" i="5"/>
  <c r="P56" i="5"/>
  <c r="Q56" i="5"/>
  <c r="R56" i="5"/>
  <c r="S56" i="5"/>
  <c r="O57" i="5"/>
  <c r="P57" i="5"/>
  <c r="Q57" i="5"/>
  <c r="R57" i="5"/>
  <c r="S57" i="5"/>
  <c r="O58" i="5"/>
  <c r="P58" i="5"/>
  <c r="Q58" i="5"/>
  <c r="R58" i="5"/>
  <c r="S58" i="5"/>
  <c r="O59" i="5"/>
  <c r="P59" i="5"/>
  <c r="Q59" i="5"/>
  <c r="R59" i="5"/>
  <c r="S59" i="5"/>
  <c r="O60" i="5"/>
  <c r="P60" i="5"/>
  <c r="Q60" i="5"/>
  <c r="R60" i="5"/>
  <c r="S60" i="5"/>
  <c r="O61" i="5"/>
  <c r="P61" i="5"/>
  <c r="Q61" i="5"/>
  <c r="R61" i="5"/>
  <c r="S61" i="5"/>
  <c r="O62" i="5"/>
  <c r="P62" i="5"/>
  <c r="Q62" i="5"/>
  <c r="R62" i="5"/>
  <c r="S62" i="5"/>
  <c r="O63" i="5"/>
  <c r="P63" i="5"/>
  <c r="Q63" i="5"/>
  <c r="R63" i="5"/>
  <c r="S63" i="5"/>
  <c r="S64" i="5"/>
  <c r="O65" i="5"/>
  <c r="P65" i="5"/>
  <c r="Q65" i="5"/>
  <c r="R65" i="5"/>
  <c r="S65" i="5"/>
  <c r="O66" i="5"/>
  <c r="P66" i="5"/>
  <c r="Q66" i="5"/>
  <c r="R66" i="5"/>
  <c r="S66" i="5"/>
  <c r="O67" i="5"/>
  <c r="P67" i="5"/>
  <c r="Q67" i="5"/>
  <c r="R67" i="5"/>
  <c r="S67" i="5"/>
  <c r="O68" i="5"/>
  <c r="P68" i="5"/>
  <c r="Q68" i="5"/>
  <c r="R68" i="5"/>
  <c r="S68" i="5"/>
  <c r="S69" i="5"/>
  <c r="O70" i="5"/>
  <c r="P70" i="5"/>
  <c r="Q70" i="5"/>
  <c r="R70" i="5"/>
  <c r="S70" i="5"/>
  <c r="O71" i="5"/>
  <c r="P71" i="5"/>
  <c r="Q71" i="5"/>
  <c r="R71" i="5"/>
  <c r="S71" i="5"/>
  <c r="O72" i="5"/>
  <c r="P72" i="5"/>
  <c r="Q72" i="5"/>
  <c r="R72" i="5"/>
  <c r="S72" i="5"/>
  <c r="S73" i="5"/>
  <c r="O74" i="5"/>
  <c r="P74" i="5"/>
  <c r="Q74" i="5"/>
  <c r="R74" i="5"/>
  <c r="S74" i="5"/>
  <c r="O75" i="5"/>
  <c r="P75" i="5"/>
  <c r="Q75" i="5"/>
  <c r="R75" i="5"/>
  <c r="S75" i="5"/>
  <c r="O76" i="5"/>
  <c r="P76" i="5"/>
  <c r="Q76" i="5"/>
  <c r="R76" i="5"/>
  <c r="S76" i="5"/>
  <c r="O77" i="5"/>
  <c r="P77" i="5"/>
  <c r="Q77" i="5"/>
  <c r="R77" i="5"/>
  <c r="S77" i="5"/>
  <c r="O78" i="5"/>
  <c r="P78" i="5"/>
  <c r="Q78" i="5"/>
  <c r="R78" i="5"/>
  <c r="S78" i="5"/>
  <c r="O79" i="5"/>
  <c r="P79" i="5"/>
  <c r="Q79" i="5"/>
  <c r="R79" i="5"/>
  <c r="S79" i="5"/>
  <c r="S80" i="5"/>
  <c r="O81" i="5"/>
  <c r="P81" i="5"/>
  <c r="Q81" i="5"/>
  <c r="R81" i="5"/>
  <c r="S81" i="5"/>
  <c r="O82" i="5"/>
  <c r="P82" i="5"/>
  <c r="Q82" i="5"/>
  <c r="R82" i="5"/>
  <c r="S82" i="5"/>
  <c r="O83" i="5"/>
  <c r="P83" i="5"/>
  <c r="Q83" i="5"/>
  <c r="R83" i="5"/>
  <c r="S83" i="5"/>
  <c r="O84" i="5"/>
  <c r="P84" i="5"/>
  <c r="Q84" i="5"/>
  <c r="R84" i="5"/>
  <c r="S84" i="5"/>
  <c r="O85" i="5"/>
  <c r="P85" i="5"/>
  <c r="Q85" i="5"/>
  <c r="R85" i="5"/>
  <c r="S85" i="5"/>
  <c r="O86" i="5"/>
  <c r="P86" i="5"/>
  <c r="Q86" i="5"/>
  <c r="R86" i="5"/>
  <c r="S86" i="5"/>
  <c r="O87" i="5"/>
  <c r="P87" i="5"/>
  <c r="Q87" i="5"/>
  <c r="R87" i="5"/>
  <c r="S87" i="5"/>
  <c r="O88" i="5"/>
  <c r="P88" i="5"/>
  <c r="Q88" i="5"/>
  <c r="R88" i="5"/>
  <c r="S88" i="5"/>
  <c r="O89" i="5"/>
  <c r="P89" i="5"/>
  <c r="Q89" i="5"/>
  <c r="R89" i="5"/>
  <c r="S89" i="5"/>
  <c r="O90" i="5"/>
  <c r="P90" i="5"/>
  <c r="Q90" i="5"/>
  <c r="R90" i="5"/>
  <c r="S90" i="5"/>
  <c r="O91" i="5"/>
  <c r="P91" i="5"/>
  <c r="Q91" i="5"/>
  <c r="R91" i="5"/>
  <c r="S91" i="5"/>
  <c r="O92" i="5"/>
  <c r="P92" i="5"/>
  <c r="Q92" i="5"/>
  <c r="R92" i="5"/>
  <c r="S92" i="5"/>
  <c r="S93" i="5"/>
  <c r="O94" i="5"/>
  <c r="P94" i="5"/>
  <c r="Q94" i="5"/>
  <c r="R94" i="5"/>
  <c r="S94" i="5"/>
  <c r="O95" i="5"/>
  <c r="P95" i="5"/>
  <c r="Q95" i="5"/>
  <c r="R95" i="5"/>
  <c r="S95" i="5"/>
  <c r="O96" i="5"/>
  <c r="P96" i="5"/>
  <c r="Q96" i="5"/>
  <c r="R96" i="5"/>
  <c r="S96" i="5"/>
  <c r="O97" i="5"/>
  <c r="P97" i="5"/>
  <c r="Q97" i="5"/>
  <c r="R97" i="5"/>
  <c r="S97" i="5"/>
  <c r="O98" i="5"/>
  <c r="P98" i="5"/>
  <c r="Q98" i="5"/>
  <c r="R98" i="5"/>
  <c r="S98" i="5"/>
  <c r="O99" i="5"/>
  <c r="P99" i="5"/>
  <c r="Q99" i="5"/>
  <c r="R99" i="5"/>
  <c r="S99" i="5"/>
  <c r="O100" i="5"/>
  <c r="P100" i="5"/>
  <c r="Q100" i="5"/>
  <c r="R100" i="5"/>
  <c r="S100" i="5"/>
  <c r="O101" i="5"/>
  <c r="P101" i="5"/>
  <c r="Q101" i="5"/>
  <c r="R101" i="5"/>
  <c r="S101" i="5"/>
  <c r="O102" i="5"/>
  <c r="P102" i="5"/>
  <c r="Q102" i="5"/>
  <c r="R102" i="5"/>
  <c r="S102" i="5"/>
  <c r="O103" i="5"/>
  <c r="P103" i="5"/>
  <c r="Q103" i="5"/>
  <c r="R103" i="5"/>
  <c r="S103" i="5"/>
  <c r="H14" i="5"/>
  <c r="I14" i="5"/>
  <c r="J14" i="5"/>
  <c r="K14" i="5"/>
  <c r="L14" i="5"/>
  <c r="H15" i="5"/>
  <c r="I15" i="5"/>
  <c r="J15" i="5"/>
  <c r="K15" i="5"/>
  <c r="L15" i="5"/>
  <c r="H16" i="5"/>
  <c r="I16" i="5"/>
  <c r="J16" i="5"/>
  <c r="K16" i="5"/>
  <c r="L16" i="5"/>
  <c r="L17" i="5"/>
  <c r="H18" i="5"/>
  <c r="I18" i="5"/>
  <c r="J18" i="5"/>
  <c r="K18" i="5"/>
  <c r="L18" i="5"/>
  <c r="H19" i="5"/>
  <c r="I19" i="5"/>
  <c r="J19" i="5"/>
  <c r="K19" i="5"/>
  <c r="L19" i="5"/>
  <c r="L20" i="5"/>
  <c r="L21" i="5"/>
  <c r="H22" i="5"/>
  <c r="I22" i="5"/>
  <c r="J22" i="5"/>
  <c r="K22" i="5"/>
  <c r="L22" i="5"/>
  <c r="L23" i="5"/>
  <c r="L24" i="5"/>
  <c r="L25" i="5"/>
  <c r="H26" i="5"/>
  <c r="I26" i="5"/>
  <c r="J26" i="5"/>
  <c r="K26" i="5"/>
  <c r="L26" i="5"/>
  <c r="H27" i="5"/>
  <c r="I27" i="5"/>
  <c r="J27" i="5"/>
  <c r="K27" i="5"/>
  <c r="L27" i="5"/>
  <c r="H28" i="5"/>
  <c r="I28" i="5"/>
  <c r="J28" i="5"/>
  <c r="K28" i="5"/>
  <c r="L28" i="5"/>
  <c r="L29" i="5"/>
  <c r="L30" i="5"/>
  <c r="L31" i="5"/>
  <c r="L32" i="5"/>
  <c r="L33" i="5"/>
  <c r="L34" i="5"/>
  <c r="L35" i="5"/>
  <c r="H36" i="5"/>
  <c r="I36" i="5"/>
  <c r="J36" i="5"/>
  <c r="K36" i="5"/>
  <c r="L36" i="5"/>
  <c r="L37" i="5"/>
  <c r="L38" i="5"/>
  <c r="H39" i="5"/>
  <c r="I39" i="5"/>
  <c r="J39" i="5"/>
  <c r="K39" i="5"/>
  <c r="L39" i="5"/>
  <c r="H40" i="5"/>
  <c r="I40" i="5"/>
  <c r="J40" i="5"/>
  <c r="L40" i="5"/>
  <c r="L41" i="5"/>
  <c r="H42" i="5"/>
  <c r="I42" i="5"/>
  <c r="J42" i="5"/>
  <c r="K42" i="5"/>
  <c r="L42" i="5"/>
  <c r="H43" i="5"/>
  <c r="I43" i="5"/>
  <c r="J43" i="5"/>
  <c r="K43" i="5"/>
  <c r="L43" i="5"/>
  <c r="H44" i="5"/>
  <c r="I44" i="5"/>
  <c r="J44" i="5"/>
  <c r="K44" i="5"/>
  <c r="L44" i="5"/>
  <c r="H45" i="5"/>
  <c r="I45" i="5"/>
  <c r="J45" i="5"/>
  <c r="K45" i="5"/>
  <c r="L45" i="5"/>
  <c r="H46" i="5"/>
  <c r="I46" i="5"/>
  <c r="J46" i="5"/>
  <c r="K46" i="5"/>
  <c r="L46" i="5"/>
  <c r="H47" i="5"/>
  <c r="I47" i="5"/>
  <c r="J47" i="5"/>
  <c r="K47" i="5"/>
  <c r="L47" i="5"/>
  <c r="H48" i="5"/>
  <c r="I48" i="5"/>
  <c r="J48" i="5"/>
  <c r="K48" i="5"/>
  <c r="L48" i="5"/>
  <c r="L49" i="5"/>
  <c r="H50" i="5"/>
  <c r="I50" i="5"/>
  <c r="J50" i="5"/>
  <c r="K50" i="5"/>
  <c r="L50" i="5"/>
  <c r="H51" i="5"/>
  <c r="I51" i="5"/>
  <c r="J51" i="5"/>
  <c r="K51" i="5"/>
  <c r="L51" i="5"/>
  <c r="H52" i="5"/>
  <c r="I52" i="5"/>
  <c r="J52" i="5"/>
  <c r="K52" i="5"/>
  <c r="L52" i="5"/>
  <c r="L53" i="5"/>
  <c r="L54" i="5"/>
  <c r="H55" i="5"/>
  <c r="I55" i="5"/>
  <c r="J55" i="5"/>
  <c r="K55" i="5"/>
  <c r="L55" i="5"/>
  <c r="H56" i="5"/>
  <c r="I56" i="5"/>
  <c r="J56" i="5"/>
  <c r="K56" i="5"/>
  <c r="L56" i="5"/>
  <c r="H57" i="5"/>
  <c r="I57" i="5"/>
  <c r="J57" i="5"/>
  <c r="K57" i="5"/>
  <c r="L57" i="5"/>
  <c r="H58" i="5"/>
  <c r="I58" i="5"/>
  <c r="J58" i="5"/>
  <c r="K58" i="5"/>
  <c r="L58" i="5"/>
  <c r="H59" i="5"/>
  <c r="I59" i="5"/>
  <c r="J59" i="5"/>
  <c r="K59" i="5"/>
  <c r="L59" i="5"/>
  <c r="L60" i="5"/>
  <c r="H61" i="5"/>
  <c r="I61" i="5"/>
  <c r="J61" i="5"/>
  <c r="K61" i="5"/>
  <c r="L61" i="5"/>
  <c r="H62" i="5"/>
  <c r="I62" i="5"/>
  <c r="J62" i="5"/>
  <c r="K62" i="5"/>
  <c r="L62" i="5"/>
  <c r="L63" i="5"/>
  <c r="H64" i="5"/>
  <c r="I64" i="5"/>
  <c r="J64" i="5"/>
  <c r="K64" i="5"/>
  <c r="L64" i="5"/>
  <c r="H65" i="5"/>
  <c r="I65" i="5"/>
  <c r="J65" i="5"/>
  <c r="K65" i="5"/>
  <c r="L65" i="5"/>
  <c r="H66" i="5"/>
  <c r="I66" i="5"/>
  <c r="J66" i="5"/>
  <c r="K66" i="5"/>
  <c r="L66" i="5"/>
  <c r="L67" i="5"/>
  <c r="H68" i="5"/>
  <c r="I68" i="5"/>
  <c r="J68" i="5"/>
  <c r="K68" i="5"/>
  <c r="L68" i="5"/>
  <c r="H69" i="5"/>
  <c r="I69" i="5"/>
  <c r="J69" i="5"/>
  <c r="K69" i="5"/>
  <c r="L69" i="5"/>
  <c r="H70" i="5"/>
  <c r="I70" i="5"/>
  <c r="J70" i="5"/>
  <c r="K70" i="5"/>
  <c r="L70" i="5"/>
  <c r="L71" i="5"/>
  <c r="H72" i="5"/>
  <c r="I72" i="5"/>
  <c r="J72" i="5"/>
  <c r="K72" i="5"/>
  <c r="L72" i="5"/>
  <c r="H73" i="5"/>
  <c r="I73" i="5"/>
  <c r="J73" i="5"/>
  <c r="K73" i="5"/>
  <c r="L73" i="5"/>
  <c r="H74" i="5"/>
  <c r="I74" i="5"/>
  <c r="J74" i="5"/>
  <c r="K74" i="5"/>
  <c r="L74" i="5"/>
  <c r="L75" i="5"/>
  <c r="H76" i="5"/>
  <c r="I76" i="5"/>
  <c r="J76" i="5"/>
  <c r="K76" i="5"/>
  <c r="L76" i="5"/>
  <c r="L77" i="5"/>
  <c r="L78" i="5"/>
  <c r="H79" i="5"/>
  <c r="I79" i="5"/>
  <c r="J79" i="5"/>
  <c r="K79" i="5"/>
  <c r="L79" i="5"/>
  <c r="H80" i="5"/>
  <c r="I80" i="5"/>
  <c r="J80" i="5"/>
  <c r="K80" i="5"/>
  <c r="L80" i="5"/>
  <c r="H81" i="5"/>
  <c r="I81" i="5"/>
  <c r="J81" i="5"/>
  <c r="K81" i="5"/>
  <c r="L81" i="5"/>
  <c r="L82" i="5"/>
  <c r="L83" i="5"/>
  <c r="L84" i="5"/>
  <c r="H85" i="5"/>
  <c r="I85" i="5"/>
  <c r="J85" i="5"/>
  <c r="K85" i="5"/>
  <c r="L85" i="5"/>
  <c r="H86" i="5"/>
  <c r="I86" i="5"/>
  <c r="J86" i="5"/>
  <c r="K86" i="5"/>
  <c r="L86" i="5"/>
  <c r="H87" i="5"/>
  <c r="L87" i="5"/>
  <c r="L88" i="5"/>
  <c r="H89" i="5"/>
  <c r="I89" i="5"/>
  <c r="J89" i="5"/>
  <c r="K89" i="5"/>
  <c r="L89" i="5"/>
  <c r="H90" i="5"/>
  <c r="I90" i="5"/>
  <c r="J90" i="5"/>
  <c r="K90" i="5"/>
  <c r="L90" i="5"/>
  <c r="H91" i="5"/>
  <c r="I91" i="5"/>
  <c r="J91" i="5"/>
  <c r="K91" i="5"/>
  <c r="L91" i="5"/>
  <c r="L92" i="5"/>
  <c r="H93" i="5"/>
  <c r="I93" i="5"/>
  <c r="J93" i="5"/>
  <c r="L93" i="5"/>
  <c r="H94" i="5"/>
  <c r="I94" i="5"/>
  <c r="J94" i="5"/>
  <c r="K94" i="5"/>
  <c r="L94" i="5"/>
  <c r="H95" i="5"/>
  <c r="I95" i="5"/>
  <c r="J95" i="5"/>
  <c r="K95" i="5"/>
  <c r="L95" i="5"/>
  <c r="H96" i="5"/>
  <c r="I96" i="5"/>
  <c r="J96" i="5"/>
  <c r="K96" i="5"/>
  <c r="L96" i="5"/>
  <c r="H97" i="5"/>
  <c r="I97" i="5"/>
  <c r="J97" i="5"/>
  <c r="K97" i="5"/>
  <c r="L97" i="5"/>
  <c r="H98" i="5"/>
  <c r="I98" i="5"/>
  <c r="J98" i="5"/>
  <c r="K98" i="5"/>
  <c r="L98" i="5"/>
  <c r="H99" i="5"/>
  <c r="I99" i="5"/>
  <c r="J99" i="5"/>
  <c r="K99" i="5"/>
  <c r="L99" i="5"/>
  <c r="H100" i="5"/>
  <c r="I100" i="5"/>
  <c r="J100" i="5"/>
  <c r="K100" i="5"/>
  <c r="L100" i="5"/>
  <c r="H101" i="5"/>
  <c r="I101" i="5"/>
  <c r="J101" i="5"/>
  <c r="K101" i="5"/>
  <c r="L101" i="5"/>
  <c r="H102" i="5"/>
  <c r="I102" i="5"/>
  <c r="J102" i="5"/>
  <c r="K102" i="5"/>
  <c r="L102" i="5"/>
  <c r="H103" i="5"/>
  <c r="I103" i="5"/>
  <c r="J103" i="5"/>
  <c r="K103" i="5"/>
  <c r="L103" i="5"/>
  <c r="A103" i="5"/>
  <c r="V103" i="5" s="1"/>
  <c r="B103" i="5"/>
  <c r="W103" i="5" s="1"/>
  <c r="C103" i="5"/>
  <c r="X103" i="5" s="1"/>
  <c r="E103" i="5"/>
  <c r="A5" i="5"/>
  <c r="B5" i="5"/>
  <c r="C5" i="5"/>
  <c r="E5" i="5"/>
  <c r="A6" i="5"/>
  <c r="B6" i="5"/>
  <c r="C6" i="5"/>
  <c r="E6" i="5"/>
  <c r="A7" i="5"/>
  <c r="B7" i="5"/>
  <c r="C7" i="5"/>
  <c r="E7" i="5"/>
  <c r="A8" i="5"/>
  <c r="B8" i="5"/>
  <c r="C8" i="5"/>
  <c r="E8" i="5"/>
  <c r="A9" i="5"/>
  <c r="B9" i="5"/>
  <c r="C9" i="5"/>
  <c r="E9" i="5"/>
  <c r="A10" i="5"/>
  <c r="B10" i="5"/>
  <c r="C10" i="5"/>
  <c r="E10" i="5"/>
  <c r="A11" i="5"/>
  <c r="B11" i="5"/>
  <c r="C11" i="5"/>
  <c r="E11" i="5"/>
  <c r="A12" i="5"/>
  <c r="B12" i="5"/>
  <c r="C12" i="5"/>
  <c r="E12" i="5"/>
  <c r="A13" i="5"/>
  <c r="B13" i="5"/>
  <c r="C13" i="5"/>
  <c r="E13" i="5"/>
  <c r="A14" i="5"/>
  <c r="V14" i="5" s="1"/>
  <c r="B14" i="5"/>
  <c r="W14" i="5" s="1"/>
  <c r="C14" i="5"/>
  <c r="X14" i="5" s="1"/>
  <c r="E14" i="5"/>
  <c r="A15" i="5"/>
  <c r="V15" i="5" s="1"/>
  <c r="E15" i="5"/>
  <c r="A16" i="5"/>
  <c r="V16" i="5" s="1"/>
  <c r="B16" i="5"/>
  <c r="W16" i="5" s="1"/>
  <c r="C16" i="5"/>
  <c r="X16" i="5" s="1"/>
  <c r="E16" i="5"/>
  <c r="A17" i="5"/>
  <c r="V17" i="5" s="1"/>
  <c r="B17" i="5"/>
  <c r="W17" i="5" s="1"/>
  <c r="C17" i="5"/>
  <c r="X17" i="5" s="1"/>
  <c r="E17" i="5"/>
  <c r="A18" i="5"/>
  <c r="V18" i="5" s="1"/>
  <c r="B18" i="5"/>
  <c r="W18" i="5" s="1"/>
  <c r="C18" i="5"/>
  <c r="X18" i="5" s="1"/>
  <c r="E18" i="5"/>
  <c r="A19" i="5"/>
  <c r="V19" i="5" s="1"/>
  <c r="B19" i="5"/>
  <c r="W19" i="5" s="1"/>
  <c r="C19" i="5"/>
  <c r="X19" i="5" s="1"/>
  <c r="E19" i="5"/>
  <c r="A20" i="5"/>
  <c r="V20" i="5" s="1"/>
  <c r="B20" i="5"/>
  <c r="W20" i="5" s="1"/>
  <c r="C20" i="5"/>
  <c r="X20" i="5" s="1"/>
  <c r="E20" i="5"/>
  <c r="A21" i="5"/>
  <c r="V21" i="5" s="1"/>
  <c r="B21" i="5"/>
  <c r="W21" i="5" s="1"/>
  <c r="C21" i="5"/>
  <c r="X21" i="5" s="1"/>
  <c r="E21" i="5"/>
  <c r="A22" i="5"/>
  <c r="V22" i="5" s="1"/>
  <c r="B22" i="5"/>
  <c r="W22" i="5" s="1"/>
  <c r="C22" i="5"/>
  <c r="X22" i="5" s="1"/>
  <c r="E22" i="5"/>
  <c r="A23" i="5"/>
  <c r="V23" i="5" s="1"/>
  <c r="B23" i="5"/>
  <c r="W23" i="5" s="1"/>
  <c r="C23" i="5"/>
  <c r="X23" i="5" s="1"/>
  <c r="E23" i="5"/>
  <c r="A24" i="5"/>
  <c r="H24" i="5" s="1"/>
  <c r="B24" i="5"/>
  <c r="W24" i="5" s="1"/>
  <c r="C24" i="5"/>
  <c r="X24" i="5" s="1"/>
  <c r="E24" i="5"/>
  <c r="A25" i="5"/>
  <c r="V25" i="5" s="1"/>
  <c r="B25" i="5"/>
  <c r="W25" i="5" s="1"/>
  <c r="C25" i="5"/>
  <c r="X25" i="5" s="1"/>
  <c r="E25" i="5"/>
  <c r="A26" i="5"/>
  <c r="V26" i="5" s="1"/>
  <c r="B26" i="5"/>
  <c r="W26" i="5" s="1"/>
  <c r="C26" i="5"/>
  <c r="X26" i="5" s="1"/>
  <c r="E26" i="5"/>
  <c r="A27" i="5"/>
  <c r="V27" i="5" s="1"/>
  <c r="B27" i="5"/>
  <c r="W27" i="5" s="1"/>
  <c r="C27" i="5"/>
  <c r="X27" i="5" s="1"/>
  <c r="E27" i="5"/>
  <c r="A28" i="5"/>
  <c r="V28" i="5" s="1"/>
  <c r="B28" i="5"/>
  <c r="W28" i="5" s="1"/>
  <c r="C28" i="5"/>
  <c r="X28" i="5" s="1"/>
  <c r="E28" i="5"/>
  <c r="A29" i="5"/>
  <c r="V29" i="5" s="1"/>
  <c r="B29" i="5"/>
  <c r="W29" i="5" s="1"/>
  <c r="C29" i="5"/>
  <c r="X29" i="5" s="1"/>
  <c r="E29" i="5"/>
  <c r="A30" i="5"/>
  <c r="V30" i="5" s="1"/>
  <c r="B30" i="5"/>
  <c r="W30" i="5" s="1"/>
  <c r="C30" i="5"/>
  <c r="X30" i="5" s="1"/>
  <c r="E30" i="5"/>
  <c r="A31" i="5"/>
  <c r="V31" i="5" s="1"/>
  <c r="B31" i="5"/>
  <c r="W31" i="5" s="1"/>
  <c r="C31" i="5"/>
  <c r="X31" i="5" s="1"/>
  <c r="E31" i="5"/>
  <c r="A32" i="5"/>
  <c r="H32" i="5" s="1"/>
  <c r="B32" i="5"/>
  <c r="W32" i="5" s="1"/>
  <c r="C32" i="5"/>
  <c r="X32" i="5" s="1"/>
  <c r="E32" i="5"/>
  <c r="A33" i="5"/>
  <c r="V33" i="5" s="1"/>
  <c r="B33" i="5"/>
  <c r="W33" i="5" s="1"/>
  <c r="C33" i="5"/>
  <c r="X33" i="5" s="1"/>
  <c r="E33" i="5"/>
  <c r="A34" i="5"/>
  <c r="V34" i="5" s="1"/>
  <c r="B34" i="5"/>
  <c r="W34" i="5" s="1"/>
  <c r="C34" i="5"/>
  <c r="X34" i="5" s="1"/>
  <c r="E34" i="5"/>
  <c r="A35" i="5"/>
  <c r="V35" i="5" s="1"/>
  <c r="B35" i="5"/>
  <c r="W35" i="5" s="1"/>
  <c r="C35" i="5"/>
  <c r="X35" i="5" s="1"/>
  <c r="E35" i="5"/>
  <c r="A36" i="5"/>
  <c r="V36" i="5" s="1"/>
  <c r="B36" i="5"/>
  <c r="W36" i="5" s="1"/>
  <c r="C36" i="5"/>
  <c r="X36" i="5" s="1"/>
  <c r="E36" i="5"/>
  <c r="A37" i="5"/>
  <c r="V37" i="5" s="1"/>
  <c r="B37" i="5"/>
  <c r="W37" i="5" s="1"/>
  <c r="C37" i="5"/>
  <c r="X37" i="5" s="1"/>
  <c r="E37" i="5"/>
  <c r="A38" i="5"/>
  <c r="V38" i="5" s="1"/>
  <c r="B38" i="5"/>
  <c r="W38" i="5" s="1"/>
  <c r="C38" i="5"/>
  <c r="X38" i="5" s="1"/>
  <c r="E38" i="5"/>
  <c r="A39" i="5"/>
  <c r="V39" i="5" s="1"/>
  <c r="B39" i="5"/>
  <c r="W39" i="5" s="1"/>
  <c r="C39" i="5"/>
  <c r="X39" i="5" s="1"/>
  <c r="E39" i="5"/>
  <c r="A40" i="5"/>
  <c r="O40" i="5" s="1"/>
  <c r="B40" i="5"/>
  <c r="W40" i="5" s="1"/>
  <c r="C40" i="5"/>
  <c r="X40" i="5" s="1"/>
  <c r="E40" i="5"/>
  <c r="A41" i="5"/>
  <c r="V41" i="5" s="1"/>
  <c r="B41" i="5"/>
  <c r="W41" i="5" s="1"/>
  <c r="C41" i="5"/>
  <c r="X41" i="5" s="1"/>
  <c r="E41" i="5"/>
  <c r="A42" i="5"/>
  <c r="V42" i="5" s="1"/>
  <c r="B42" i="5"/>
  <c r="W42" i="5" s="1"/>
  <c r="C42" i="5"/>
  <c r="X42" i="5" s="1"/>
  <c r="E42" i="5"/>
  <c r="A43" i="5"/>
  <c r="V43" i="5" s="1"/>
  <c r="B43" i="5"/>
  <c r="W43" i="5" s="1"/>
  <c r="C43" i="5"/>
  <c r="X43" i="5" s="1"/>
  <c r="E43" i="5"/>
  <c r="A44" i="5"/>
  <c r="V44" i="5" s="1"/>
  <c r="B44" i="5"/>
  <c r="W44" i="5" s="1"/>
  <c r="C44" i="5"/>
  <c r="X44" i="5" s="1"/>
  <c r="E44" i="5"/>
  <c r="A45" i="5"/>
  <c r="V45" i="5" s="1"/>
  <c r="B45" i="5"/>
  <c r="W45" i="5" s="1"/>
  <c r="C45" i="5"/>
  <c r="X45" i="5" s="1"/>
  <c r="E45" i="5"/>
  <c r="A46" i="5"/>
  <c r="V46" i="5" s="1"/>
  <c r="B46" i="5"/>
  <c r="W46" i="5" s="1"/>
  <c r="C46" i="5"/>
  <c r="X46" i="5" s="1"/>
  <c r="E46" i="5"/>
  <c r="A47" i="5"/>
  <c r="V47" i="5" s="1"/>
  <c r="B47" i="5"/>
  <c r="W47" i="5" s="1"/>
  <c r="C47" i="5"/>
  <c r="X47" i="5" s="1"/>
  <c r="E47" i="5"/>
  <c r="A48" i="5"/>
  <c r="V48" i="5" s="1"/>
  <c r="B48" i="5"/>
  <c r="W48" i="5" s="1"/>
  <c r="C48" i="5"/>
  <c r="X48" i="5" s="1"/>
  <c r="E48" i="5"/>
  <c r="A49" i="5"/>
  <c r="V49" i="5" s="1"/>
  <c r="B49" i="5"/>
  <c r="W49" i="5" s="1"/>
  <c r="C49" i="5"/>
  <c r="X49" i="5" s="1"/>
  <c r="E49" i="5"/>
  <c r="A50" i="5"/>
  <c r="V50" i="5" s="1"/>
  <c r="B50" i="5"/>
  <c r="W50" i="5" s="1"/>
  <c r="C50" i="5"/>
  <c r="X50" i="5" s="1"/>
  <c r="E50" i="5"/>
  <c r="A51" i="5"/>
  <c r="V51" i="5" s="1"/>
  <c r="B51" i="5"/>
  <c r="W51" i="5" s="1"/>
  <c r="C51" i="5"/>
  <c r="X51" i="5" s="1"/>
  <c r="E51" i="5"/>
  <c r="A52" i="5"/>
  <c r="V52" i="5" s="1"/>
  <c r="B52" i="5"/>
  <c r="W52" i="5" s="1"/>
  <c r="C52" i="5"/>
  <c r="X52" i="5" s="1"/>
  <c r="E52" i="5"/>
  <c r="A53" i="5"/>
  <c r="V53" i="5" s="1"/>
  <c r="B53" i="5"/>
  <c r="W53" i="5" s="1"/>
  <c r="C53" i="5"/>
  <c r="X53" i="5" s="1"/>
  <c r="E53" i="5"/>
  <c r="A54" i="5"/>
  <c r="V54" i="5" s="1"/>
  <c r="B54" i="5"/>
  <c r="W54" i="5" s="1"/>
  <c r="C54" i="5"/>
  <c r="X54" i="5" s="1"/>
  <c r="E54" i="5"/>
  <c r="A55" i="5"/>
  <c r="V55" i="5" s="1"/>
  <c r="B55" i="5"/>
  <c r="W55" i="5" s="1"/>
  <c r="C55" i="5"/>
  <c r="X55" i="5" s="1"/>
  <c r="E55" i="5"/>
  <c r="A56" i="5"/>
  <c r="V56" i="5" s="1"/>
  <c r="B56" i="5"/>
  <c r="W56" i="5" s="1"/>
  <c r="C56" i="5"/>
  <c r="X56" i="5" s="1"/>
  <c r="E56" i="5"/>
  <c r="A57" i="5"/>
  <c r="V57" i="5" s="1"/>
  <c r="B57" i="5"/>
  <c r="W57" i="5" s="1"/>
  <c r="C57" i="5"/>
  <c r="X57" i="5" s="1"/>
  <c r="E57" i="5"/>
  <c r="A58" i="5"/>
  <c r="V58" i="5" s="1"/>
  <c r="B58" i="5"/>
  <c r="W58" i="5" s="1"/>
  <c r="C58" i="5"/>
  <c r="X58" i="5" s="1"/>
  <c r="E58" i="5"/>
  <c r="A59" i="5"/>
  <c r="V59" i="5" s="1"/>
  <c r="B59" i="5"/>
  <c r="W59" i="5" s="1"/>
  <c r="C59" i="5"/>
  <c r="X59" i="5" s="1"/>
  <c r="E59" i="5"/>
  <c r="A60" i="5"/>
  <c r="V60" i="5" s="1"/>
  <c r="B60" i="5"/>
  <c r="W60" i="5" s="1"/>
  <c r="C60" i="5"/>
  <c r="X60" i="5" s="1"/>
  <c r="E60" i="5"/>
  <c r="A61" i="5"/>
  <c r="V61" i="5" s="1"/>
  <c r="B61" i="5"/>
  <c r="W61" i="5" s="1"/>
  <c r="C61" i="5"/>
  <c r="X61" i="5" s="1"/>
  <c r="E61" i="5"/>
  <c r="A62" i="5"/>
  <c r="V62" i="5" s="1"/>
  <c r="B62" i="5"/>
  <c r="W62" i="5" s="1"/>
  <c r="C62" i="5"/>
  <c r="X62" i="5" s="1"/>
  <c r="E62" i="5"/>
  <c r="A63" i="5"/>
  <c r="V63" i="5" s="1"/>
  <c r="B63" i="5"/>
  <c r="W63" i="5" s="1"/>
  <c r="C63" i="5"/>
  <c r="X63" i="5" s="1"/>
  <c r="E63" i="5"/>
  <c r="A64" i="5"/>
  <c r="O64" i="5" s="1"/>
  <c r="B64" i="5"/>
  <c r="W64" i="5" s="1"/>
  <c r="C64" i="5"/>
  <c r="X64" i="5" s="1"/>
  <c r="E64" i="5"/>
  <c r="A65" i="5"/>
  <c r="V65" i="5" s="1"/>
  <c r="B65" i="5"/>
  <c r="W65" i="5" s="1"/>
  <c r="C65" i="5"/>
  <c r="X65" i="5" s="1"/>
  <c r="E65" i="5"/>
  <c r="A66" i="5"/>
  <c r="V66" i="5" s="1"/>
  <c r="B66" i="5"/>
  <c r="W66" i="5" s="1"/>
  <c r="C66" i="5"/>
  <c r="X66" i="5" s="1"/>
  <c r="E66" i="5"/>
  <c r="A67" i="5"/>
  <c r="V67" i="5" s="1"/>
  <c r="B67" i="5"/>
  <c r="I67" i="5" s="1"/>
  <c r="C67" i="5"/>
  <c r="X67" i="5" s="1"/>
  <c r="E67" i="5"/>
  <c r="A68" i="5"/>
  <c r="V68" i="5" s="1"/>
  <c r="B68" i="5"/>
  <c r="W68" i="5" s="1"/>
  <c r="C68" i="5"/>
  <c r="X68" i="5" s="1"/>
  <c r="E68" i="5"/>
  <c r="A69" i="5"/>
  <c r="V69" i="5" s="1"/>
  <c r="B69" i="5"/>
  <c r="W69" i="5" s="1"/>
  <c r="C69" i="5"/>
  <c r="X69" i="5" s="1"/>
  <c r="E69" i="5"/>
  <c r="A70" i="5"/>
  <c r="V70" i="5" s="1"/>
  <c r="B70" i="5"/>
  <c r="W70" i="5" s="1"/>
  <c r="C70" i="5"/>
  <c r="X70" i="5" s="1"/>
  <c r="E70" i="5"/>
  <c r="A71" i="5"/>
  <c r="V71" i="5" s="1"/>
  <c r="B71" i="5"/>
  <c r="W71" i="5" s="1"/>
  <c r="C71" i="5"/>
  <c r="X71" i="5" s="1"/>
  <c r="E71" i="5"/>
  <c r="A72" i="5"/>
  <c r="V72" i="5" s="1"/>
  <c r="B72" i="5"/>
  <c r="W72" i="5" s="1"/>
  <c r="C72" i="5"/>
  <c r="X72" i="5" s="1"/>
  <c r="E72" i="5"/>
  <c r="A73" i="5"/>
  <c r="V73" i="5" s="1"/>
  <c r="B73" i="5"/>
  <c r="W73" i="5" s="1"/>
  <c r="C73" i="5"/>
  <c r="X73" i="5" s="1"/>
  <c r="E73" i="5"/>
  <c r="A74" i="5"/>
  <c r="V74" i="5" s="1"/>
  <c r="B74" i="5"/>
  <c r="W74" i="5" s="1"/>
  <c r="C74" i="5"/>
  <c r="X74" i="5" s="1"/>
  <c r="E74" i="5"/>
  <c r="A75" i="5"/>
  <c r="V75" i="5" s="1"/>
  <c r="B75" i="5"/>
  <c r="W75" i="5" s="1"/>
  <c r="C75" i="5"/>
  <c r="X75" i="5" s="1"/>
  <c r="E75" i="5"/>
  <c r="A76" i="5"/>
  <c r="V76" i="5" s="1"/>
  <c r="B76" i="5"/>
  <c r="W76" i="5" s="1"/>
  <c r="C76" i="5"/>
  <c r="X76" i="5" s="1"/>
  <c r="E76" i="5"/>
  <c r="A77" i="5"/>
  <c r="V77" i="5" s="1"/>
  <c r="B77" i="5"/>
  <c r="W77" i="5" s="1"/>
  <c r="C77" i="5"/>
  <c r="X77" i="5" s="1"/>
  <c r="E77" i="5"/>
  <c r="A78" i="5"/>
  <c r="V78" i="5" s="1"/>
  <c r="B78" i="5"/>
  <c r="W78" i="5" s="1"/>
  <c r="C78" i="5"/>
  <c r="J78" i="5" s="1"/>
  <c r="E78" i="5"/>
  <c r="A79" i="5"/>
  <c r="V79" i="5" s="1"/>
  <c r="B79" i="5"/>
  <c r="W79" i="5" s="1"/>
  <c r="C79" i="5"/>
  <c r="X79" i="5" s="1"/>
  <c r="E79" i="5"/>
  <c r="A80" i="5"/>
  <c r="V80" i="5" s="1"/>
  <c r="B80" i="5"/>
  <c r="W80" i="5" s="1"/>
  <c r="C80" i="5"/>
  <c r="X80" i="5" s="1"/>
  <c r="E80" i="5"/>
  <c r="A81" i="5"/>
  <c r="V81" i="5" s="1"/>
  <c r="B81" i="5"/>
  <c r="W81" i="5" s="1"/>
  <c r="C81" i="5"/>
  <c r="X81" i="5" s="1"/>
  <c r="E81" i="5"/>
  <c r="A82" i="5"/>
  <c r="V82" i="5" s="1"/>
  <c r="B82" i="5"/>
  <c r="W82" i="5" s="1"/>
  <c r="C82" i="5"/>
  <c r="X82" i="5" s="1"/>
  <c r="E82" i="5"/>
  <c r="A83" i="5"/>
  <c r="V83" i="5" s="1"/>
  <c r="B83" i="5"/>
  <c r="W83" i="5" s="1"/>
  <c r="C83" i="5"/>
  <c r="X83" i="5" s="1"/>
  <c r="E83" i="5"/>
  <c r="A84" i="5"/>
  <c r="V84" i="5" s="1"/>
  <c r="B84" i="5"/>
  <c r="W84" i="5" s="1"/>
  <c r="C84" i="5"/>
  <c r="X84" i="5" s="1"/>
  <c r="E84" i="5"/>
  <c r="A85" i="5"/>
  <c r="V85" i="5" s="1"/>
  <c r="B85" i="5"/>
  <c r="W85" i="5" s="1"/>
  <c r="C85" i="5"/>
  <c r="X85" i="5" s="1"/>
  <c r="E85" i="5"/>
  <c r="A86" i="5"/>
  <c r="V86" i="5" s="1"/>
  <c r="B86" i="5"/>
  <c r="W86" i="5" s="1"/>
  <c r="C86" i="5"/>
  <c r="X86" i="5" s="1"/>
  <c r="E86" i="5"/>
  <c r="A87" i="5"/>
  <c r="V87" i="5" s="1"/>
  <c r="B87" i="5"/>
  <c r="W87" i="5" s="1"/>
  <c r="C87" i="5"/>
  <c r="X87" i="5" s="1"/>
  <c r="E87" i="5"/>
  <c r="A88" i="5"/>
  <c r="V88" i="5" s="1"/>
  <c r="B88" i="5"/>
  <c r="W88" i="5" s="1"/>
  <c r="C88" i="5"/>
  <c r="X88" i="5" s="1"/>
  <c r="E88" i="5"/>
  <c r="A89" i="5"/>
  <c r="V89" i="5" s="1"/>
  <c r="B89" i="5"/>
  <c r="W89" i="5" s="1"/>
  <c r="C89" i="5"/>
  <c r="X89" i="5" s="1"/>
  <c r="E89" i="5"/>
  <c r="A90" i="5"/>
  <c r="V90" i="5" s="1"/>
  <c r="B90" i="5"/>
  <c r="W90" i="5" s="1"/>
  <c r="C90" i="5"/>
  <c r="X90" i="5" s="1"/>
  <c r="E90" i="5"/>
  <c r="A91" i="5"/>
  <c r="V91" i="5" s="1"/>
  <c r="B91" i="5"/>
  <c r="W91" i="5" s="1"/>
  <c r="C91" i="5"/>
  <c r="X91" i="5" s="1"/>
  <c r="E91" i="5"/>
  <c r="A92" i="5"/>
  <c r="V92" i="5" s="1"/>
  <c r="B92" i="5"/>
  <c r="W92" i="5" s="1"/>
  <c r="C92" i="5"/>
  <c r="X92" i="5" s="1"/>
  <c r="E92" i="5"/>
  <c r="A93" i="5"/>
  <c r="V93" i="5" s="1"/>
  <c r="B93" i="5"/>
  <c r="W93" i="5" s="1"/>
  <c r="C93" i="5"/>
  <c r="X93" i="5" s="1"/>
  <c r="E93" i="5"/>
  <c r="A94" i="5"/>
  <c r="V94" i="5" s="1"/>
  <c r="B94" i="5"/>
  <c r="W94" i="5" s="1"/>
  <c r="C94" i="5"/>
  <c r="X94" i="5" s="1"/>
  <c r="E94" i="5"/>
  <c r="A95" i="5"/>
  <c r="V95" i="5" s="1"/>
  <c r="B95" i="5"/>
  <c r="W95" i="5" s="1"/>
  <c r="C95" i="5"/>
  <c r="X95" i="5" s="1"/>
  <c r="E95" i="5"/>
  <c r="A96" i="5"/>
  <c r="V96" i="5" s="1"/>
  <c r="B96" i="5"/>
  <c r="W96" i="5" s="1"/>
  <c r="C96" i="5"/>
  <c r="X96" i="5" s="1"/>
  <c r="D96" i="5"/>
  <c r="Y96" i="5" s="1"/>
  <c r="E96" i="5"/>
  <c r="A97" i="5"/>
  <c r="V97" i="5" s="1"/>
  <c r="B97" i="5"/>
  <c r="W97" i="5" s="1"/>
  <c r="C97" i="5"/>
  <c r="X97" i="5" s="1"/>
  <c r="E97" i="5"/>
  <c r="A98" i="5"/>
  <c r="V98" i="5" s="1"/>
  <c r="B98" i="5"/>
  <c r="W98" i="5" s="1"/>
  <c r="C98" i="5"/>
  <c r="X98" i="5" s="1"/>
  <c r="E98" i="5"/>
  <c r="A99" i="5"/>
  <c r="V99" i="5" s="1"/>
  <c r="B99" i="5"/>
  <c r="W99" i="5" s="1"/>
  <c r="C99" i="5"/>
  <c r="X99" i="5" s="1"/>
  <c r="E99" i="5"/>
  <c r="A100" i="5"/>
  <c r="V100" i="5" s="1"/>
  <c r="B100" i="5"/>
  <c r="W100" i="5" s="1"/>
  <c r="C100" i="5"/>
  <c r="X100" i="5" s="1"/>
  <c r="D100" i="5"/>
  <c r="Y100" i="5" s="1"/>
  <c r="E100" i="5"/>
  <c r="A101" i="5"/>
  <c r="V101" i="5" s="1"/>
  <c r="B101" i="5"/>
  <c r="W101" i="5" s="1"/>
  <c r="C101" i="5"/>
  <c r="X101" i="5" s="1"/>
  <c r="E101" i="5"/>
  <c r="A102" i="5"/>
  <c r="V102" i="5" s="1"/>
  <c r="B102" i="5"/>
  <c r="W102" i="5" s="1"/>
  <c r="C102" i="5"/>
  <c r="X102" i="5" s="1"/>
  <c r="E102" i="5"/>
  <c r="B4" i="5"/>
  <c r="C4" i="5"/>
  <c r="A4" i="5"/>
  <c r="E4" i="5"/>
  <c r="Z103" i="1"/>
  <c r="D102" i="5" s="1"/>
  <c r="Y102" i="5" s="1"/>
  <c r="Z102" i="1"/>
  <c r="Z101" i="1"/>
  <c r="Z100" i="1"/>
  <c r="Z99" i="1"/>
  <c r="D98" i="5" s="1"/>
  <c r="Y98" i="5" s="1"/>
  <c r="Z98" i="1"/>
  <c r="Z97" i="1"/>
  <c r="Z96" i="1"/>
  <c r="Z95" i="1"/>
  <c r="Z94" i="1"/>
  <c r="Z93" i="1"/>
  <c r="Z92" i="1"/>
  <c r="Z91" i="1"/>
  <c r="Z90" i="1"/>
  <c r="Z89" i="1"/>
  <c r="Z88" i="1"/>
  <c r="Z87" i="1"/>
  <c r="Z86" i="1"/>
  <c r="Z85" i="1"/>
  <c r="Z84" i="1"/>
  <c r="Z83" i="1"/>
  <c r="Z82" i="1"/>
  <c r="Z81" i="1"/>
  <c r="Z80" i="1"/>
  <c r="Z79" i="1"/>
  <c r="Z78" i="1"/>
  <c r="Z77" i="1"/>
  <c r="Z76" i="1"/>
  <c r="Z75" i="1"/>
  <c r="Z74" i="1"/>
  <c r="Z73" i="1"/>
  <c r="Z72" i="1"/>
  <c r="Z71" i="1"/>
  <c r="Z70" i="1"/>
  <c r="Z69" i="1"/>
  <c r="Z68" i="1"/>
  <c r="Z67" i="1"/>
  <c r="Z66" i="1"/>
  <c r="Z65" i="1"/>
  <c r="Z64" i="1"/>
  <c r="Z63" i="1"/>
  <c r="Z62" i="1"/>
  <c r="Z61" i="1"/>
  <c r="Z60" i="1"/>
  <c r="Z59" i="1"/>
  <c r="Z58" i="1"/>
  <c r="Z57" i="1"/>
  <c r="Z56" i="1"/>
  <c r="Z55" i="1"/>
  <c r="Z54" i="1"/>
  <c r="Z53" i="1"/>
  <c r="Z52" i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5" i="1"/>
  <c r="Z14" i="1"/>
  <c r="Z13" i="1"/>
  <c r="Z11" i="1"/>
  <c r="Z10" i="1"/>
  <c r="Z9" i="1"/>
  <c r="Z8" i="1"/>
  <c r="Z7" i="1"/>
  <c r="Z6" i="1"/>
  <c r="Z5" i="1"/>
  <c r="V103" i="1"/>
  <c r="V102" i="1"/>
  <c r="V101" i="1"/>
  <c r="V100" i="1"/>
  <c r="V99" i="1"/>
  <c r="V98" i="1"/>
  <c r="V97" i="1"/>
  <c r="V96" i="1"/>
  <c r="V95" i="1"/>
  <c r="V94" i="1"/>
  <c r="V93" i="1"/>
  <c r="V92" i="1"/>
  <c r="V91" i="1"/>
  <c r="V90" i="1"/>
  <c r="V89" i="1"/>
  <c r="V88" i="1"/>
  <c r="V87" i="1"/>
  <c r="V86" i="1"/>
  <c r="V85" i="1"/>
  <c r="V84" i="1"/>
  <c r="V83" i="1"/>
  <c r="V82" i="1"/>
  <c r="V81" i="1"/>
  <c r="D67" i="6" s="1"/>
  <c r="V80" i="1"/>
  <c r="V79" i="1"/>
  <c r="V78" i="1"/>
  <c r="V77" i="1"/>
  <c r="V76" i="1"/>
  <c r="V75" i="1"/>
  <c r="V74" i="1"/>
  <c r="V73" i="1"/>
  <c r="V72" i="1"/>
  <c r="V71" i="1"/>
  <c r="V70" i="1"/>
  <c r="V69" i="1"/>
  <c r="V68" i="1"/>
  <c r="V67" i="1"/>
  <c r="V66" i="1"/>
  <c r="V65" i="1"/>
  <c r="V64" i="1"/>
  <c r="V63" i="1"/>
  <c r="V62" i="1"/>
  <c r="V61" i="1"/>
  <c r="V60" i="1"/>
  <c r="V59" i="1"/>
  <c r="V58" i="1"/>
  <c r="V57" i="1"/>
  <c r="V56" i="1"/>
  <c r="V55" i="1"/>
  <c r="V54" i="1"/>
  <c r="V53" i="1"/>
  <c r="V52" i="1"/>
  <c r="V51" i="1"/>
  <c r="V50" i="1"/>
  <c r="V49" i="1"/>
  <c r="V48" i="1"/>
  <c r="V47" i="1"/>
  <c r="V46" i="1"/>
  <c r="V45" i="1"/>
  <c r="V44" i="1"/>
  <c r="V43" i="1"/>
  <c r="V42" i="1"/>
  <c r="V41" i="1"/>
  <c r="V40" i="1"/>
  <c r="V39" i="1"/>
  <c r="V38" i="1"/>
  <c r="V37" i="1"/>
  <c r="V36" i="1"/>
  <c r="V35" i="1"/>
  <c r="V34" i="1"/>
  <c r="V33" i="1"/>
  <c r="V32" i="1"/>
  <c r="V31" i="1"/>
  <c r="V30" i="1"/>
  <c r="V29" i="1"/>
  <c r="D31" i="6" s="1"/>
  <c r="V28" i="1"/>
  <c r="V27" i="1"/>
  <c r="V26" i="1"/>
  <c r="V25" i="1"/>
  <c r="V24" i="1"/>
  <c r="V23" i="1"/>
  <c r="D23" i="6" s="1"/>
  <c r="V22" i="1"/>
  <c r="V21" i="1"/>
  <c r="V20" i="1"/>
  <c r="V19" i="1"/>
  <c r="V18" i="1"/>
  <c r="V17" i="1"/>
  <c r="V16" i="1"/>
  <c r="V15" i="1"/>
  <c r="V14" i="1"/>
  <c r="V13" i="1"/>
  <c r="V11" i="1"/>
  <c r="V10" i="1"/>
  <c r="V9" i="1"/>
  <c r="V8" i="1"/>
  <c r="D11" i="6" s="1"/>
  <c r="V7" i="1"/>
  <c r="V6" i="1"/>
  <c r="V5" i="1"/>
  <c r="R103" i="1"/>
  <c r="R102" i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5" i="1"/>
  <c r="R84" i="1"/>
  <c r="R83" i="1"/>
  <c r="R82" i="1"/>
  <c r="D69" i="6" s="1"/>
  <c r="R81" i="1"/>
  <c r="D66" i="6" s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D34" i="6" s="1"/>
  <c r="R30" i="1"/>
  <c r="R29" i="1"/>
  <c r="D30" i="6" s="1"/>
  <c r="R28" i="1"/>
  <c r="R27" i="1"/>
  <c r="R26" i="1"/>
  <c r="R25" i="1"/>
  <c r="D26" i="6" s="1"/>
  <c r="R24" i="1"/>
  <c r="R23" i="1"/>
  <c r="D22" i="6" s="1"/>
  <c r="R22" i="1"/>
  <c r="R21" i="1"/>
  <c r="D19" i="6" s="1"/>
  <c r="R20" i="1"/>
  <c r="R19" i="1"/>
  <c r="R18" i="1"/>
  <c r="R17" i="1"/>
  <c r="R16" i="1"/>
  <c r="R15" i="1"/>
  <c r="R14" i="1"/>
  <c r="R13" i="1"/>
  <c r="R12" i="1"/>
  <c r="R11" i="1"/>
  <c r="R10" i="1"/>
  <c r="R9" i="1"/>
  <c r="R7" i="1"/>
  <c r="R6" i="1"/>
  <c r="R5" i="1"/>
  <c r="D48" i="6" s="1"/>
  <c r="N6" i="1"/>
  <c r="D8" i="6" s="1"/>
  <c r="N7" i="1"/>
  <c r="N8" i="1"/>
  <c r="D9" i="6" s="1"/>
  <c r="N9" i="1"/>
  <c r="N10" i="1"/>
  <c r="N11" i="1"/>
  <c r="N12" i="1"/>
  <c r="N13" i="1"/>
  <c r="N14" i="1"/>
  <c r="N15" i="1"/>
  <c r="N16" i="1"/>
  <c r="N17" i="1"/>
  <c r="N18" i="1"/>
  <c r="D15" i="6" s="1"/>
  <c r="N19" i="1"/>
  <c r="N20" i="1"/>
  <c r="D16" i="6" s="1"/>
  <c r="N21" i="1"/>
  <c r="N22" i="1"/>
  <c r="D20" i="6" s="1"/>
  <c r="N23" i="1"/>
  <c r="D21" i="6" s="1"/>
  <c r="N24" i="1"/>
  <c r="N25" i="1"/>
  <c r="D25" i="6" s="1"/>
  <c r="N26" i="1"/>
  <c r="D28" i="6" s="1"/>
  <c r="N27" i="1"/>
  <c r="N28" i="1"/>
  <c r="D24" i="6" s="1"/>
  <c r="N29" i="1"/>
  <c r="N30" i="1"/>
  <c r="N31" i="1"/>
  <c r="D33" i="6" s="1"/>
  <c r="N32" i="1"/>
  <c r="N33" i="1"/>
  <c r="D36" i="6" s="1"/>
  <c r="N34" i="1"/>
  <c r="D38" i="6" s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1" i="1"/>
  <c r="D45" i="6" s="1"/>
  <c r="N52" i="1"/>
  <c r="D49" i="6" s="1"/>
  <c r="N53" i="1"/>
  <c r="N54" i="1"/>
  <c r="N55" i="1"/>
  <c r="D50" i="6" s="1"/>
  <c r="N56" i="1"/>
  <c r="D83" i="6" s="1"/>
  <c r="N57" i="1"/>
  <c r="N58" i="1"/>
  <c r="D52" i="6" s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D59" i="6" s="1"/>
  <c r="N72" i="1"/>
  <c r="N73" i="1"/>
  <c r="N74" i="1"/>
  <c r="D63" i="6" s="1"/>
  <c r="N75" i="1"/>
  <c r="N76" i="1"/>
  <c r="N77" i="1"/>
  <c r="N78" i="1"/>
  <c r="N79" i="1"/>
  <c r="N80" i="1"/>
  <c r="N81" i="1"/>
  <c r="D65" i="6" s="1"/>
  <c r="N82" i="1"/>
  <c r="D68" i="6" s="1"/>
  <c r="N83" i="1"/>
  <c r="D71" i="6" s="1"/>
  <c r="N84" i="1"/>
  <c r="D70" i="6" s="1"/>
  <c r="N85" i="1"/>
  <c r="N86" i="1"/>
  <c r="D73" i="6" s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D41" i="6" s="1"/>
  <c r="J39" i="1"/>
  <c r="D42" i="6" s="1"/>
  <c r="J40" i="1"/>
  <c r="J41" i="1"/>
  <c r="J42" i="1"/>
  <c r="J43" i="1"/>
  <c r="D44" i="6" s="1"/>
  <c r="J44" i="1"/>
  <c r="J45" i="1"/>
  <c r="J46" i="1"/>
  <c r="J47" i="1"/>
  <c r="J48" i="1"/>
  <c r="J49" i="1"/>
  <c r="J51" i="1"/>
  <c r="J52" i="1"/>
  <c r="J53" i="1"/>
  <c r="J54" i="1"/>
  <c r="J55" i="1"/>
  <c r="J56" i="1"/>
  <c r="J57" i="1"/>
  <c r="J58" i="1"/>
  <c r="J59" i="1"/>
  <c r="D53" i="6" s="1"/>
  <c r="J60" i="1"/>
  <c r="J61" i="1"/>
  <c r="J62" i="1"/>
  <c r="D55" i="6" s="1"/>
  <c r="J63" i="1"/>
  <c r="D56" i="6" s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D83" i="5" s="1"/>
  <c r="J84" i="1"/>
  <c r="J85" i="1"/>
  <c r="D72" i="6" s="1"/>
  <c r="J86" i="1"/>
  <c r="J87" i="1"/>
  <c r="D74" i="6" s="1"/>
  <c r="J88" i="1"/>
  <c r="J89" i="1"/>
  <c r="D75" i="6" s="1"/>
  <c r="J90" i="1"/>
  <c r="J91" i="1"/>
  <c r="D77" i="6" s="1"/>
  <c r="J92" i="1"/>
  <c r="J93" i="1"/>
  <c r="J94" i="1"/>
  <c r="J95" i="1"/>
  <c r="D95" i="5" s="1"/>
  <c r="Y95" i="5" s="1"/>
  <c r="J96" i="1"/>
  <c r="J97" i="1"/>
  <c r="D97" i="5" s="1"/>
  <c r="Y97" i="5" s="1"/>
  <c r="J98" i="1"/>
  <c r="J99" i="1"/>
  <c r="D99" i="5" s="1"/>
  <c r="Y99" i="5" s="1"/>
  <c r="J100" i="1"/>
  <c r="J101" i="1"/>
  <c r="D101" i="5" s="1"/>
  <c r="Y101" i="5" s="1"/>
  <c r="J102" i="1"/>
  <c r="J103" i="1"/>
  <c r="D103" i="5" s="1"/>
  <c r="Y103" i="5" s="1"/>
  <c r="A4" i="6"/>
  <c r="R19" i="6"/>
  <c r="P19" i="6"/>
  <c r="O19" i="6"/>
  <c r="N19" i="6"/>
  <c r="T18" i="6"/>
  <c r="S18" i="6"/>
  <c r="R18" i="6"/>
  <c r="P18" i="6"/>
  <c r="O18" i="6"/>
  <c r="N18" i="6"/>
  <c r="E40" i="4"/>
  <c r="E23" i="4"/>
  <c r="E26" i="4"/>
  <c r="E21" i="4"/>
  <c r="E50" i="4"/>
  <c r="E20" i="4"/>
  <c r="E52" i="4"/>
  <c r="E28" i="4"/>
  <c r="E10" i="4"/>
  <c r="E44" i="4"/>
  <c r="E46" i="4"/>
  <c r="E41" i="4"/>
  <c r="E37" i="4"/>
  <c r="E7" i="4"/>
  <c r="E49" i="4"/>
  <c r="E18" i="4"/>
  <c r="E43" i="4"/>
  <c r="E5" i="4"/>
  <c r="E15" i="4"/>
  <c r="E48" i="4"/>
  <c r="E19" i="4"/>
  <c r="E12" i="4"/>
  <c r="E27" i="4"/>
  <c r="E13" i="4"/>
  <c r="E24" i="4"/>
  <c r="E39" i="4"/>
  <c r="E6" i="4"/>
  <c r="E45" i="4"/>
  <c r="E8" i="4"/>
  <c r="E38" i="4"/>
  <c r="E47" i="4"/>
  <c r="E32" i="4"/>
  <c r="E51" i="4"/>
  <c r="E33" i="4"/>
  <c r="E16" i="4"/>
  <c r="E14" i="4"/>
  <c r="E9" i="4"/>
  <c r="E22" i="4"/>
  <c r="E36" i="4"/>
  <c r="E53" i="4"/>
  <c r="E34" i="4"/>
  <c r="E42" i="4"/>
  <c r="E35" i="4"/>
  <c r="E17" i="4"/>
  <c r="E11" i="4"/>
  <c r="E30" i="4"/>
  <c r="E25" i="4"/>
  <c r="E29" i="4"/>
  <c r="E31" i="4"/>
  <c r="D93" i="5" l="1"/>
  <c r="R93" i="5" s="1"/>
  <c r="I92" i="5"/>
  <c r="D88" i="5"/>
  <c r="D76" i="6"/>
  <c r="D60" i="5"/>
  <c r="Y60" i="5" s="1"/>
  <c r="D52" i="5"/>
  <c r="Y52" i="5" s="1"/>
  <c r="D36" i="5"/>
  <c r="Y36" i="5" s="1"/>
  <c r="D35" i="6"/>
  <c r="D39" i="6"/>
  <c r="D57" i="6"/>
  <c r="I54" i="5"/>
  <c r="D94" i="5"/>
  <c r="Y94" i="5" s="1"/>
  <c r="D74" i="5"/>
  <c r="Y74" i="5" s="1"/>
  <c r="D17" i="6"/>
  <c r="D40" i="6"/>
  <c r="I83" i="5"/>
  <c r="R9" i="7"/>
  <c r="R95" i="7" s="1"/>
  <c r="P95" i="7"/>
  <c r="D18" i="6"/>
  <c r="H92" i="5"/>
  <c r="H83" i="5"/>
  <c r="J77" i="5"/>
  <c r="I35" i="5"/>
  <c r="J88" i="5"/>
  <c r="I77" i="5"/>
  <c r="I71" i="5"/>
  <c r="H49" i="5"/>
  <c r="H37" i="5"/>
  <c r="I29" i="5"/>
  <c r="Q64" i="5"/>
  <c r="D70" i="5"/>
  <c r="Y70" i="5" s="1"/>
  <c r="D58" i="6"/>
  <c r="D32" i="6"/>
  <c r="D29" i="6"/>
  <c r="I88" i="5"/>
  <c r="J82" i="5"/>
  <c r="H77" i="5"/>
  <c r="Q93" i="5"/>
  <c r="Q80" i="5"/>
  <c r="D42" i="5"/>
  <c r="Y42" i="5" s="1"/>
  <c r="D43" i="6"/>
  <c r="D13" i="6"/>
  <c r="H88" i="5"/>
  <c r="J84" i="5"/>
  <c r="I82" i="5"/>
  <c r="I33" i="5"/>
  <c r="P93" i="5"/>
  <c r="O80" i="5"/>
  <c r="Q69" i="5"/>
  <c r="H84" i="5"/>
  <c r="H82" i="5"/>
  <c r="O93" i="5"/>
  <c r="D72" i="5"/>
  <c r="Y72" i="5" s="1"/>
  <c r="D62" i="6"/>
  <c r="D64" i="5"/>
  <c r="R64" i="5" s="1"/>
  <c r="D56" i="5"/>
  <c r="Y56" i="5" s="1"/>
  <c r="D40" i="5"/>
  <c r="R40" i="5" s="1"/>
  <c r="J87" i="5"/>
  <c r="D24" i="5"/>
  <c r="D16" i="5"/>
  <c r="Y16" i="5" s="1"/>
  <c r="J92" i="5"/>
  <c r="I87" i="5"/>
  <c r="J83" i="5"/>
  <c r="H78" i="5"/>
  <c r="I31" i="5"/>
  <c r="D82" i="5"/>
  <c r="K82" i="5" s="1"/>
  <c r="D48" i="5"/>
  <c r="Y48" i="5" s="1"/>
  <c r="D87" i="5"/>
  <c r="K87" i="5" s="1"/>
  <c r="D53" i="5"/>
  <c r="K53" i="5" s="1"/>
  <c r="D38" i="5"/>
  <c r="Y38" i="5" s="1"/>
  <c r="D91" i="5"/>
  <c r="Y91" i="5" s="1"/>
  <c r="D89" i="5"/>
  <c r="Y89" i="5" s="1"/>
  <c r="D75" i="5"/>
  <c r="Y75" i="5" s="1"/>
  <c r="D65" i="5"/>
  <c r="Y65" i="5" s="1"/>
  <c r="D63" i="5"/>
  <c r="K63" i="5" s="1"/>
  <c r="D73" i="5"/>
  <c r="R73" i="5" s="1"/>
  <c r="D57" i="5"/>
  <c r="Y57" i="5" s="1"/>
  <c r="D44" i="5"/>
  <c r="Y44" i="5" s="1"/>
  <c r="D76" i="5"/>
  <c r="Y76" i="5" s="1"/>
  <c r="D46" i="5"/>
  <c r="Y46" i="5" s="1"/>
  <c r="D45" i="5"/>
  <c r="Y45" i="5" s="1"/>
  <c r="D69" i="5"/>
  <c r="D68" i="5"/>
  <c r="Y68" i="5" s="1"/>
  <c r="D90" i="5"/>
  <c r="Y90" i="5" s="1"/>
  <c r="D86" i="5"/>
  <c r="Y86" i="5" s="1"/>
  <c r="D85" i="5"/>
  <c r="Y85" i="5" s="1"/>
  <c r="D84" i="5"/>
  <c r="K84" i="5" s="1"/>
  <c r="Y84" i="5"/>
  <c r="D81" i="5"/>
  <c r="Y81" i="5" s="1"/>
  <c r="D80" i="5"/>
  <c r="R80" i="5" s="1"/>
  <c r="D79" i="5"/>
  <c r="Y79" i="5" s="1"/>
  <c r="Y80" i="5"/>
  <c r="D78" i="5"/>
  <c r="K78" i="5" s="1"/>
  <c r="D77" i="5"/>
  <c r="K77" i="5" s="1"/>
  <c r="D71" i="5"/>
  <c r="Y71" i="5" s="1"/>
  <c r="D54" i="5"/>
  <c r="K54" i="5" s="1"/>
  <c r="D50" i="5"/>
  <c r="Y50" i="5" s="1"/>
  <c r="D92" i="5"/>
  <c r="K92" i="5" s="1"/>
  <c r="Y93" i="5"/>
  <c r="K93" i="5"/>
  <c r="I84" i="5"/>
  <c r="I78" i="5"/>
  <c r="P80" i="5"/>
  <c r="Y92" i="5"/>
  <c r="Y88" i="5"/>
  <c r="K88" i="5"/>
  <c r="Y87" i="5"/>
  <c r="Y83" i="5"/>
  <c r="K83" i="5"/>
  <c r="Y82" i="5"/>
  <c r="Y78" i="5"/>
  <c r="Y77" i="5"/>
  <c r="H71" i="5"/>
  <c r="H54" i="5"/>
  <c r="H35" i="5"/>
  <c r="H33" i="5"/>
  <c r="H31" i="5"/>
  <c r="H29" i="5"/>
  <c r="P69" i="5"/>
  <c r="P64" i="5"/>
  <c r="J67" i="5"/>
  <c r="J38" i="5"/>
  <c r="J25" i="5"/>
  <c r="J23" i="5"/>
  <c r="O69" i="5"/>
  <c r="Q44" i="5"/>
  <c r="H63" i="5"/>
  <c r="J53" i="5"/>
  <c r="I38" i="5"/>
  <c r="J34" i="5"/>
  <c r="J32" i="5"/>
  <c r="J30" i="5"/>
  <c r="I25" i="5"/>
  <c r="I23" i="5"/>
  <c r="J21" i="5"/>
  <c r="J17" i="5"/>
  <c r="Q52" i="5"/>
  <c r="P44" i="5"/>
  <c r="J75" i="5"/>
  <c r="H67" i="5"/>
  <c r="H60" i="5"/>
  <c r="I53" i="5"/>
  <c r="H38" i="5"/>
  <c r="I34" i="5"/>
  <c r="I32" i="5"/>
  <c r="I30" i="5"/>
  <c r="H25" i="5"/>
  <c r="H23" i="5"/>
  <c r="I21" i="5"/>
  <c r="I17" i="5"/>
  <c r="P52" i="5"/>
  <c r="O44" i="5"/>
  <c r="I75" i="5"/>
  <c r="H53" i="5"/>
  <c r="J41" i="5"/>
  <c r="H34" i="5"/>
  <c r="H30" i="5"/>
  <c r="H21" i="5"/>
  <c r="H17" i="5"/>
  <c r="Q73" i="5"/>
  <c r="O52" i="5"/>
  <c r="Q40" i="5"/>
  <c r="H75" i="5"/>
  <c r="J63" i="5"/>
  <c r="J49" i="5"/>
  <c r="I41" i="5"/>
  <c r="J37" i="5"/>
  <c r="J24" i="5"/>
  <c r="P73" i="5"/>
  <c r="P40" i="5"/>
  <c r="J71" i="5"/>
  <c r="I63" i="5"/>
  <c r="J54" i="5"/>
  <c r="I49" i="5"/>
  <c r="H41" i="5"/>
  <c r="I37" i="5"/>
  <c r="J35" i="5"/>
  <c r="J33" i="5"/>
  <c r="J31" i="5"/>
  <c r="J29" i="5"/>
  <c r="I24" i="5"/>
  <c r="H20" i="5"/>
  <c r="O73" i="5"/>
  <c r="Y69" i="5"/>
  <c r="R69" i="5"/>
  <c r="D66" i="5"/>
  <c r="Y66" i="5" s="1"/>
  <c r="D67" i="5"/>
  <c r="K67" i="5" s="1"/>
  <c r="Y67" i="5"/>
  <c r="D58" i="5"/>
  <c r="Y58" i="5" s="1"/>
  <c r="D55" i="5"/>
  <c r="Y55" i="5" s="1"/>
  <c r="Y64" i="5"/>
  <c r="D62" i="5"/>
  <c r="Y62" i="5" s="1"/>
  <c r="K38" i="5"/>
  <c r="Y54" i="5"/>
  <c r="Y53" i="5"/>
  <c r="D51" i="5"/>
  <c r="Y51" i="5" s="1"/>
  <c r="D49" i="5"/>
  <c r="K49" i="5" s="1"/>
  <c r="D47" i="5"/>
  <c r="Y47" i="5" s="1"/>
  <c r="R44" i="5"/>
  <c r="D43" i="5"/>
  <c r="Y43" i="5" s="1"/>
  <c r="D41" i="5"/>
  <c r="Y40" i="5"/>
  <c r="K40" i="5"/>
  <c r="D37" i="5"/>
  <c r="K37" i="5" s="1"/>
  <c r="D34" i="5"/>
  <c r="K34" i="5" s="1"/>
  <c r="D33" i="5"/>
  <c r="K33" i="5" s="1"/>
  <c r="D39" i="5"/>
  <c r="Y39" i="5" s="1"/>
  <c r="D20" i="5"/>
  <c r="K20" i="5" s="1"/>
  <c r="K60" i="5"/>
  <c r="D61" i="5"/>
  <c r="Y61" i="5" s="1"/>
  <c r="D26" i="5"/>
  <c r="Y26" i="5" s="1"/>
  <c r="D14" i="5"/>
  <c r="Y14" i="5" s="1"/>
  <c r="D27" i="5"/>
  <c r="Y37" i="5"/>
  <c r="D35" i="5"/>
  <c r="K35" i="5" s="1"/>
  <c r="Y35" i="5"/>
  <c r="D21" i="5"/>
  <c r="K21" i="5" s="1"/>
  <c r="I60" i="5"/>
  <c r="J60" i="5"/>
  <c r="D59" i="5"/>
  <c r="Y59" i="5" s="1"/>
  <c r="R52" i="5"/>
  <c r="Y34" i="5"/>
  <c r="D32" i="5"/>
  <c r="D31" i="5"/>
  <c r="Y31" i="5" s="1"/>
  <c r="D30" i="5"/>
  <c r="Y30" i="5" s="1"/>
  <c r="D29" i="5"/>
  <c r="H8" i="4"/>
  <c r="Y27" i="5"/>
  <c r="L33" i="3"/>
  <c r="D25" i="5"/>
  <c r="K25" i="5" s="1"/>
  <c r="D28" i="5"/>
  <c r="Y28" i="5" s="1"/>
  <c r="Y24" i="5"/>
  <c r="K24" i="5"/>
  <c r="D23" i="5"/>
  <c r="K23" i="5" s="1"/>
  <c r="Y23" i="5"/>
  <c r="E33" i="3"/>
  <c r="D22" i="5"/>
  <c r="Y22" i="5" s="1"/>
  <c r="Y21" i="5"/>
  <c r="E37" i="3"/>
  <c r="I20" i="5"/>
  <c r="J20" i="5"/>
  <c r="D18" i="5"/>
  <c r="D19" i="5"/>
  <c r="Y19" i="5" s="1"/>
  <c r="Y20" i="5"/>
  <c r="E34" i="3"/>
  <c r="O7" i="6"/>
  <c r="P7" i="6"/>
  <c r="N7" i="6"/>
  <c r="N11" i="6"/>
  <c r="O11" i="6"/>
  <c r="S11" i="6"/>
  <c r="R7" i="6"/>
  <c r="P11" i="6"/>
  <c r="Q11" i="6"/>
  <c r="R11" i="6"/>
  <c r="D21" i="3"/>
  <c r="D22" i="3"/>
  <c r="D23" i="3"/>
  <c r="D24" i="3"/>
  <c r="D20" i="3"/>
  <c r="C21" i="3"/>
  <c r="C22" i="3"/>
  <c r="C23" i="3"/>
  <c r="C24" i="3"/>
  <c r="C20" i="3"/>
  <c r="B21" i="3"/>
  <c r="B22" i="3"/>
  <c r="B23" i="3"/>
  <c r="B24" i="3"/>
  <c r="B20" i="3"/>
  <c r="A21" i="3"/>
  <c r="A22" i="3"/>
  <c r="A23" i="3"/>
  <c r="A24" i="3"/>
  <c r="A20" i="3"/>
  <c r="E22" i="3"/>
  <c r="E23" i="3"/>
  <c r="E24" i="3"/>
  <c r="E21" i="3"/>
  <c r="E20" i="3"/>
  <c r="H5" i="4"/>
  <c r="H7" i="4"/>
  <c r="H6" i="4"/>
  <c r="D17" i="5"/>
  <c r="K17" i="5" s="1"/>
  <c r="G48" i="4"/>
  <c r="G53" i="4"/>
  <c r="G49" i="4"/>
  <c r="G45" i="4"/>
  <c r="G41" i="4"/>
  <c r="G37" i="4"/>
  <c r="G33" i="4"/>
  <c r="G29" i="4"/>
  <c r="G25" i="4"/>
  <c r="G21" i="4"/>
  <c r="G17" i="4"/>
  <c r="G13" i="4"/>
  <c r="G9" i="4"/>
  <c r="G44" i="4"/>
  <c r="G36" i="4"/>
  <c r="G28" i="4"/>
  <c r="G20" i="4"/>
  <c r="G8" i="4"/>
  <c r="G40" i="4"/>
  <c r="G32" i="4"/>
  <c r="G24" i="4"/>
  <c r="G16" i="4"/>
  <c r="G12" i="4"/>
  <c r="G51" i="4"/>
  <c r="G47" i="4"/>
  <c r="G43" i="4"/>
  <c r="G39" i="4"/>
  <c r="G35" i="4"/>
  <c r="G31" i="4"/>
  <c r="G27" i="4"/>
  <c r="G23" i="4"/>
  <c r="G19" i="4"/>
  <c r="G15" i="4"/>
  <c r="G11" i="4"/>
  <c r="G7" i="4"/>
  <c r="G50" i="4"/>
  <c r="G46" i="4"/>
  <c r="G42" i="4"/>
  <c r="G38" i="4"/>
  <c r="G34" i="4"/>
  <c r="G30" i="4"/>
  <c r="G26" i="4"/>
  <c r="G22" i="4"/>
  <c r="G18" i="4"/>
  <c r="G14" i="4"/>
  <c r="G10" i="4"/>
  <c r="G6" i="4"/>
  <c r="G52" i="4"/>
  <c r="D15" i="5"/>
  <c r="Y15" i="5" s="1"/>
  <c r="G5" i="4"/>
  <c r="Z5" i="5"/>
  <c r="Z6" i="5"/>
  <c r="Z7" i="5"/>
  <c r="Z8" i="5"/>
  <c r="Z9" i="5"/>
  <c r="Z10" i="5"/>
  <c r="Z11" i="5"/>
  <c r="Z12" i="5"/>
  <c r="Z13" i="5"/>
  <c r="Z4" i="5"/>
  <c r="S5" i="5"/>
  <c r="S6" i="5"/>
  <c r="S7" i="5"/>
  <c r="S8" i="5"/>
  <c r="S9" i="5"/>
  <c r="S10" i="5"/>
  <c r="S11" i="5"/>
  <c r="S12" i="5"/>
  <c r="S13" i="5"/>
  <c r="S4" i="5"/>
  <c r="L5" i="5"/>
  <c r="L6" i="5"/>
  <c r="L7" i="5"/>
  <c r="L8" i="5"/>
  <c r="L9" i="5"/>
  <c r="L10" i="5"/>
  <c r="L11" i="5"/>
  <c r="L12" i="5"/>
  <c r="L13" i="5"/>
  <c r="L4" i="5"/>
  <c r="O5" i="5"/>
  <c r="P5" i="5"/>
  <c r="Q5" i="5"/>
  <c r="R5" i="5"/>
  <c r="O6" i="5"/>
  <c r="P6" i="5"/>
  <c r="Q6" i="5"/>
  <c r="R6" i="5"/>
  <c r="O7" i="5"/>
  <c r="P7" i="5"/>
  <c r="Q7" i="5"/>
  <c r="R7" i="5"/>
  <c r="O8" i="5"/>
  <c r="P8" i="5"/>
  <c r="Q8" i="5"/>
  <c r="O9" i="5"/>
  <c r="P9" i="5"/>
  <c r="Q9" i="5"/>
  <c r="O10" i="5"/>
  <c r="P10" i="5"/>
  <c r="Q10" i="5"/>
  <c r="R10" i="5"/>
  <c r="O11" i="5"/>
  <c r="P11" i="5"/>
  <c r="Q11" i="5"/>
  <c r="R11" i="5"/>
  <c r="O12" i="5"/>
  <c r="P12" i="5"/>
  <c r="Q12" i="5"/>
  <c r="O13" i="5"/>
  <c r="P13" i="5"/>
  <c r="Q13" i="5"/>
  <c r="R13" i="5"/>
  <c r="P4" i="5"/>
  <c r="Q4" i="5"/>
  <c r="O4" i="5"/>
  <c r="V5" i="5"/>
  <c r="W5" i="5"/>
  <c r="X5" i="5"/>
  <c r="Y5" i="5"/>
  <c r="V6" i="5"/>
  <c r="W6" i="5"/>
  <c r="X6" i="5"/>
  <c r="V7" i="5"/>
  <c r="W7" i="5"/>
  <c r="X7" i="5"/>
  <c r="V8" i="5"/>
  <c r="W8" i="5"/>
  <c r="X8" i="5"/>
  <c r="Y8" i="5"/>
  <c r="V9" i="5"/>
  <c r="W9" i="5"/>
  <c r="X9" i="5"/>
  <c r="V10" i="5"/>
  <c r="W10" i="5"/>
  <c r="X10" i="5"/>
  <c r="V11" i="5"/>
  <c r="W11" i="5"/>
  <c r="X11" i="5"/>
  <c r="V12" i="5"/>
  <c r="W12" i="5"/>
  <c r="X12" i="5"/>
  <c r="V13" i="5"/>
  <c r="W13" i="5"/>
  <c r="X13" i="5"/>
  <c r="W4" i="5"/>
  <c r="X4" i="5"/>
  <c r="Y4" i="5"/>
  <c r="V4" i="5"/>
  <c r="I5" i="5"/>
  <c r="J5" i="5"/>
  <c r="I6" i="5"/>
  <c r="J6" i="5"/>
  <c r="I7" i="5"/>
  <c r="J7" i="5"/>
  <c r="I8" i="5"/>
  <c r="J8" i="5"/>
  <c r="I9" i="5"/>
  <c r="J9" i="5"/>
  <c r="K9" i="5"/>
  <c r="I10" i="5"/>
  <c r="J10" i="5"/>
  <c r="I11" i="5"/>
  <c r="J11" i="5"/>
  <c r="K11" i="5"/>
  <c r="I12" i="5"/>
  <c r="J12" i="5"/>
  <c r="K12" i="5"/>
  <c r="I13" i="5"/>
  <c r="J13" i="5"/>
  <c r="K13" i="5"/>
  <c r="I4" i="5"/>
  <c r="J4" i="5"/>
  <c r="K4" i="5"/>
  <c r="H4" i="5"/>
  <c r="H5" i="5"/>
  <c r="H6" i="5"/>
  <c r="H7" i="5"/>
  <c r="H8" i="5"/>
  <c r="H9" i="5"/>
  <c r="H10" i="5"/>
  <c r="H11" i="5"/>
  <c r="H12" i="5"/>
  <c r="H13" i="5"/>
  <c r="Z12" i="1"/>
  <c r="V12" i="1"/>
  <c r="R8" i="1"/>
  <c r="D10" i="6" s="1"/>
  <c r="N5" i="1"/>
  <c r="J13" i="1"/>
  <c r="D13" i="5" s="1"/>
  <c r="J11" i="1"/>
  <c r="D14" i="6" s="1"/>
  <c r="J10" i="1"/>
  <c r="D10" i="5" s="1"/>
  <c r="J9" i="1"/>
  <c r="J8" i="1"/>
  <c r="J7" i="1"/>
  <c r="J6" i="1"/>
  <c r="D6" i="5" s="1"/>
  <c r="J5" i="1"/>
  <c r="D7" i="6" s="1"/>
  <c r="J4" i="1"/>
  <c r="D6" i="6" s="1"/>
  <c r="J12" i="1"/>
  <c r="K8" i="3" l="1"/>
  <c r="D5" i="6"/>
  <c r="J8" i="3"/>
  <c r="I8" i="3"/>
  <c r="I7" i="3"/>
  <c r="J7" i="3"/>
  <c r="K7" i="3"/>
  <c r="J6" i="3"/>
  <c r="J9" i="3"/>
  <c r="I9" i="3"/>
  <c r="I6" i="3"/>
  <c r="K9" i="3"/>
  <c r="Y63" i="5"/>
  <c r="L34" i="3"/>
  <c r="K75" i="5"/>
  <c r="L35" i="3"/>
  <c r="K71" i="5"/>
  <c r="K31" i="5"/>
  <c r="Y41" i="5"/>
  <c r="K41" i="5"/>
  <c r="Q8" i="3"/>
  <c r="E5" i="3"/>
  <c r="E35" i="3"/>
  <c r="F24" i="3"/>
  <c r="O6" i="3"/>
  <c r="P8" i="3"/>
  <c r="O5" i="3"/>
  <c r="D8" i="5"/>
  <c r="T30" i="3" s="1"/>
  <c r="Q5" i="3"/>
  <c r="Q6" i="3"/>
  <c r="R6" i="3"/>
  <c r="O8" i="3"/>
  <c r="P9" i="3"/>
  <c r="O7" i="3"/>
  <c r="Q9" i="3"/>
  <c r="Q7" i="3"/>
  <c r="P6" i="3"/>
  <c r="P5" i="3"/>
  <c r="P7" i="3"/>
  <c r="C6" i="3"/>
  <c r="O9" i="3"/>
  <c r="F22" i="3"/>
  <c r="F21" i="3"/>
  <c r="K30" i="5"/>
  <c r="Y32" i="5"/>
  <c r="K32" i="5"/>
  <c r="Y29" i="5"/>
  <c r="K29" i="5"/>
  <c r="Y18" i="5"/>
  <c r="F20" i="3"/>
  <c r="U11" i="6"/>
  <c r="M21" i="3"/>
  <c r="M22" i="3"/>
  <c r="M23" i="3"/>
  <c r="M24" i="3"/>
  <c r="M20" i="3"/>
  <c r="K21" i="3"/>
  <c r="K22" i="3"/>
  <c r="K23" i="3"/>
  <c r="K24" i="3"/>
  <c r="K20" i="3"/>
  <c r="J20" i="3"/>
  <c r="J21" i="3"/>
  <c r="J22" i="3"/>
  <c r="J23" i="3"/>
  <c r="J24" i="3"/>
  <c r="I20" i="3"/>
  <c r="I21" i="3"/>
  <c r="I22" i="3"/>
  <c r="I23" i="3"/>
  <c r="I24" i="3"/>
  <c r="H21" i="3"/>
  <c r="H22" i="3"/>
  <c r="H23" i="3"/>
  <c r="H24" i="3"/>
  <c r="H20" i="3"/>
  <c r="L20" i="3"/>
  <c r="L21" i="3"/>
  <c r="L22" i="3"/>
  <c r="L23" i="3"/>
  <c r="L24" i="3"/>
  <c r="F23" i="3"/>
  <c r="C8" i="3"/>
  <c r="S6" i="3"/>
  <c r="S7" i="3"/>
  <c r="S8" i="3"/>
  <c r="S9" i="3"/>
  <c r="S5" i="3"/>
  <c r="B7" i="3"/>
  <c r="D6" i="3"/>
  <c r="C9" i="3"/>
  <c r="B8" i="3"/>
  <c r="E6" i="3"/>
  <c r="E7" i="3"/>
  <c r="E8" i="3"/>
  <c r="E9" i="3"/>
  <c r="C5" i="3"/>
  <c r="B9" i="3"/>
  <c r="C7" i="3"/>
  <c r="H6" i="3"/>
  <c r="L9" i="3"/>
  <c r="H7" i="3"/>
  <c r="L5" i="3"/>
  <c r="H8" i="3"/>
  <c r="H9" i="3"/>
  <c r="H5" i="3"/>
  <c r="L6" i="3"/>
  <c r="I5" i="3"/>
  <c r="J5" i="3"/>
  <c r="L7" i="3"/>
  <c r="L8" i="3"/>
  <c r="B6" i="3"/>
  <c r="B5" i="3"/>
  <c r="D5" i="5"/>
  <c r="K5" i="5" s="1"/>
  <c r="D7" i="3" s="1"/>
  <c r="A6" i="3"/>
  <c r="A7" i="3"/>
  <c r="A8" i="3"/>
  <c r="A9" i="3"/>
  <c r="A5" i="3"/>
  <c r="D12" i="5"/>
  <c r="D11" i="5"/>
  <c r="Y11" i="5" s="1"/>
  <c r="R9" i="3" s="1"/>
  <c r="T6" i="5"/>
  <c r="T14" i="5"/>
  <c r="T22" i="5"/>
  <c r="T30" i="5"/>
  <c r="T38" i="5"/>
  <c r="T46" i="5"/>
  <c r="T54" i="5"/>
  <c r="T62" i="5"/>
  <c r="T70" i="5"/>
  <c r="T78" i="5"/>
  <c r="T86" i="5"/>
  <c r="T94" i="5"/>
  <c r="T102" i="5"/>
  <c r="T7" i="5"/>
  <c r="T15" i="5"/>
  <c r="T23" i="5"/>
  <c r="T31" i="5"/>
  <c r="T39" i="5"/>
  <c r="T47" i="5"/>
  <c r="T55" i="5"/>
  <c r="T63" i="5"/>
  <c r="T71" i="5"/>
  <c r="T79" i="5"/>
  <c r="T87" i="5"/>
  <c r="T95" i="5"/>
  <c r="T103" i="5"/>
  <c r="T8" i="5"/>
  <c r="T16" i="5"/>
  <c r="T24" i="5"/>
  <c r="T32" i="5"/>
  <c r="T40" i="5"/>
  <c r="T48" i="5"/>
  <c r="T56" i="5"/>
  <c r="T64" i="5"/>
  <c r="T72" i="5"/>
  <c r="T80" i="5"/>
  <c r="T88" i="5"/>
  <c r="T96" i="5"/>
  <c r="T13" i="5"/>
  <c r="T29" i="5"/>
  <c r="T37" i="5"/>
  <c r="T53" i="5"/>
  <c r="T69" i="5"/>
  <c r="T85" i="5"/>
  <c r="T101" i="5"/>
  <c r="T9" i="5"/>
  <c r="T17" i="5"/>
  <c r="T25" i="5"/>
  <c r="T33" i="5"/>
  <c r="T41" i="5"/>
  <c r="T49" i="5"/>
  <c r="T57" i="5"/>
  <c r="T65" i="5"/>
  <c r="T73" i="5"/>
  <c r="T81" i="5"/>
  <c r="T89" i="5"/>
  <c r="T97" i="5"/>
  <c r="T4" i="5"/>
  <c r="T10" i="5"/>
  <c r="T18" i="5"/>
  <c r="T26" i="5"/>
  <c r="T34" i="5"/>
  <c r="T42" i="5"/>
  <c r="T50" i="5"/>
  <c r="T58" i="5"/>
  <c r="T66" i="5"/>
  <c r="T74" i="5"/>
  <c r="T82" i="5"/>
  <c r="T90" i="5"/>
  <c r="T98" i="5"/>
  <c r="T11" i="5"/>
  <c r="T19" i="5"/>
  <c r="T27" i="5"/>
  <c r="T35" i="5"/>
  <c r="T43" i="5"/>
  <c r="T51" i="5"/>
  <c r="T59" i="5"/>
  <c r="T67" i="5"/>
  <c r="T75" i="5"/>
  <c r="T83" i="5"/>
  <c r="T91" i="5"/>
  <c r="T99" i="5"/>
  <c r="T12" i="5"/>
  <c r="T20" i="5"/>
  <c r="T28" i="5"/>
  <c r="T36" i="5"/>
  <c r="T44" i="5"/>
  <c r="T52" i="5"/>
  <c r="T60" i="5"/>
  <c r="T68" i="5"/>
  <c r="T76" i="5"/>
  <c r="T84" i="5"/>
  <c r="T92" i="5"/>
  <c r="T100" i="5"/>
  <c r="T5" i="5"/>
  <c r="T21" i="5"/>
  <c r="T45" i="5"/>
  <c r="T61" i="5"/>
  <c r="T77" i="5"/>
  <c r="T93" i="5"/>
  <c r="D4" i="5"/>
  <c r="AA9" i="5"/>
  <c r="AA17" i="5"/>
  <c r="AA25" i="5"/>
  <c r="AA33" i="5"/>
  <c r="AA41" i="5"/>
  <c r="AA49" i="5"/>
  <c r="AA57" i="5"/>
  <c r="AA65" i="5"/>
  <c r="AA73" i="5"/>
  <c r="AA81" i="5"/>
  <c r="AA89" i="5"/>
  <c r="AA97" i="5"/>
  <c r="AA64" i="5"/>
  <c r="AA10" i="5"/>
  <c r="AA18" i="5"/>
  <c r="AA26" i="5"/>
  <c r="AA34" i="5"/>
  <c r="AA42" i="5"/>
  <c r="AA50" i="5"/>
  <c r="AA58" i="5"/>
  <c r="AA66" i="5"/>
  <c r="AA74" i="5"/>
  <c r="AA82" i="5"/>
  <c r="AA90" i="5"/>
  <c r="AA98" i="5"/>
  <c r="AA40" i="5"/>
  <c r="AA11" i="5"/>
  <c r="AA19" i="5"/>
  <c r="AA27" i="5"/>
  <c r="AA35" i="5"/>
  <c r="AA43" i="5"/>
  <c r="AA51" i="5"/>
  <c r="AA59" i="5"/>
  <c r="AA67" i="5"/>
  <c r="AA75" i="5"/>
  <c r="AA83" i="5"/>
  <c r="AA91" i="5"/>
  <c r="AA99" i="5"/>
  <c r="AA4" i="5"/>
  <c r="AA32" i="5"/>
  <c r="AA80" i="5"/>
  <c r="AA96" i="5"/>
  <c r="AA12" i="5"/>
  <c r="AA20" i="5"/>
  <c r="AA28" i="5"/>
  <c r="AA36" i="5"/>
  <c r="AA44" i="5"/>
  <c r="AA52" i="5"/>
  <c r="AA60" i="5"/>
  <c r="AA68" i="5"/>
  <c r="AA76" i="5"/>
  <c r="AA84" i="5"/>
  <c r="AA92" i="5"/>
  <c r="AA100" i="5"/>
  <c r="AA5" i="5"/>
  <c r="AA13" i="5"/>
  <c r="AA21" i="5"/>
  <c r="AA29" i="5"/>
  <c r="AA37" i="5"/>
  <c r="AA45" i="5"/>
  <c r="AA53" i="5"/>
  <c r="AA61" i="5"/>
  <c r="AA69" i="5"/>
  <c r="AA77" i="5"/>
  <c r="AA85" i="5"/>
  <c r="AA93" i="5"/>
  <c r="AA101" i="5"/>
  <c r="AA48" i="5"/>
  <c r="AA6" i="5"/>
  <c r="AA14" i="5"/>
  <c r="AA22" i="5"/>
  <c r="AA30" i="5"/>
  <c r="AA38" i="5"/>
  <c r="AA46" i="5"/>
  <c r="AA54" i="5"/>
  <c r="AA62" i="5"/>
  <c r="AA70" i="5"/>
  <c r="AA78" i="5"/>
  <c r="AA86" i="5"/>
  <c r="AA94" i="5"/>
  <c r="AA102" i="5"/>
  <c r="AA24" i="5"/>
  <c r="AA7" i="5"/>
  <c r="AA15" i="5"/>
  <c r="AA23" i="5"/>
  <c r="AA31" i="5"/>
  <c r="AA39" i="5"/>
  <c r="AA47" i="5"/>
  <c r="AA55" i="5"/>
  <c r="AA63" i="5"/>
  <c r="AA71" i="5"/>
  <c r="AA79" i="5"/>
  <c r="AA87" i="5"/>
  <c r="AA95" i="5"/>
  <c r="AA103" i="5"/>
  <c r="AA8" i="5"/>
  <c r="AA16" i="5"/>
  <c r="AA56" i="5"/>
  <c r="AA72" i="5"/>
  <c r="AA88" i="5"/>
  <c r="Y9" i="5"/>
  <c r="D9" i="5"/>
  <c r="R9" i="5" s="1"/>
  <c r="K6" i="3" s="1"/>
  <c r="K7" i="5"/>
  <c r="D7" i="5"/>
  <c r="Y7" i="5" s="1"/>
  <c r="M5" i="5"/>
  <c r="M13" i="5"/>
  <c r="M21" i="5"/>
  <c r="M29" i="5"/>
  <c r="M37" i="5"/>
  <c r="M45" i="5"/>
  <c r="M53" i="5"/>
  <c r="M61" i="5"/>
  <c r="M69" i="5"/>
  <c r="M77" i="5"/>
  <c r="M85" i="5"/>
  <c r="M93" i="5"/>
  <c r="M101" i="5"/>
  <c r="M23" i="5"/>
  <c r="M55" i="5"/>
  <c r="M79" i="5"/>
  <c r="M95" i="5"/>
  <c r="M6" i="5"/>
  <c r="M14" i="5"/>
  <c r="M22" i="5"/>
  <c r="M30" i="5"/>
  <c r="M38" i="5"/>
  <c r="M46" i="5"/>
  <c r="M54" i="5"/>
  <c r="M62" i="5"/>
  <c r="M70" i="5"/>
  <c r="M78" i="5"/>
  <c r="M86" i="5"/>
  <c r="M94" i="5"/>
  <c r="M102" i="5"/>
  <c r="M15" i="5"/>
  <c r="M71" i="5"/>
  <c r="M103" i="5"/>
  <c r="M7" i="5"/>
  <c r="M8" i="5"/>
  <c r="M16" i="5"/>
  <c r="M24" i="5"/>
  <c r="M32" i="5"/>
  <c r="M40" i="5"/>
  <c r="M48" i="5"/>
  <c r="M56" i="5"/>
  <c r="M64" i="5"/>
  <c r="M72" i="5"/>
  <c r="M80" i="5"/>
  <c r="M88" i="5"/>
  <c r="M96" i="5"/>
  <c r="M4" i="5"/>
  <c r="M35" i="5"/>
  <c r="M9" i="5"/>
  <c r="M17" i="5"/>
  <c r="M25" i="5"/>
  <c r="M33" i="5"/>
  <c r="M41" i="5"/>
  <c r="M49" i="5"/>
  <c r="M57" i="5"/>
  <c r="M65" i="5"/>
  <c r="M73" i="5"/>
  <c r="M81" i="5"/>
  <c r="M89" i="5"/>
  <c r="M97" i="5"/>
  <c r="M27" i="5"/>
  <c r="M51" i="5"/>
  <c r="M67" i="5"/>
  <c r="M83" i="5"/>
  <c r="M99" i="5"/>
  <c r="M10" i="5"/>
  <c r="M18" i="5"/>
  <c r="M26" i="5"/>
  <c r="M34" i="5"/>
  <c r="M42" i="5"/>
  <c r="M50" i="5"/>
  <c r="M58" i="5"/>
  <c r="M66" i="5"/>
  <c r="M74" i="5"/>
  <c r="M82" i="5"/>
  <c r="M90" i="5"/>
  <c r="M98" i="5"/>
  <c r="M19" i="5"/>
  <c r="M43" i="5"/>
  <c r="M59" i="5"/>
  <c r="M75" i="5"/>
  <c r="M91" i="5"/>
  <c r="M11" i="5"/>
  <c r="M12" i="5"/>
  <c r="M20" i="5"/>
  <c r="M28" i="5"/>
  <c r="M36" i="5"/>
  <c r="M44" i="5"/>
  <c r="M52" i="5"/>
  <c r="M60" i="5"/>
  <c r="M68" i="5"/>
  <c r="M76" i="5"/>
  <c r="M84" i="5"/>
  <c r="M92" i="5"/>
  <c r="M100" i="5"/>
  <c r="M31" i="5"/>
  <c r="M39" i="5"/>
  <c r="M47" i="5"/>
  <c r="M63" i="5"/>
  <c r="M87" i="5"/>
  <c r="K6" i="5"/>
  <c r="R4" i="5"/>
  <c r="Y13" i="5"/>
  <c r="Y6" i="5"/>
  <c r="U18" i="6"/>
  <c r="D104" i="5" l="1"/>
  <c r="L37" i="3"/>
  <c r="D5" i="3"/>
  <c r="K5" i="3"/>
  <c r="L36" i="3"/>
  <c r="E36" i="3"/>
  <c r="K10" i="5"/>
  <c r="Y10" i="5"/>
  <c r="R8" i="3" s="1"/>
  <c r="R8" i="5"/>
  <c r="K8" i="5"/>
  <c r="R12" i="5"/>
  <c r="Y12" i="5"/>
  <c r="R7" i="3" l="1"/>
  <c r="R5" i="3"/>
  <c r="D9" i="3"/>
  <c r="D8" i="3"/>
</calcChain>
</file>

<file path=xl/sharedStrings.xml><?xml version="1.0" encoding="utf-8"?>
<sst xmlns="http://schemas.openxmlformats.org/spreadsheetml/2006/main" count="602" uniqueCount="388">
  <si>
    <t>Sponsorenschwimmen</t>
  </si>
  <si>
    <t>Nummer</t>
  </si>
  <si>
    <t xml:space="preserve">Name </t>
  </si>
  <si>
    <t>Vormname</t>
  </si>
  <si>
    <t>Geburtstag</t>
  </si>
  <si>
    <t>Mannschaft</t>
  </si>
  <si>
    <t>Anzahl
Bahnen</t>
  </si>
  <si>
    <t>Name /
Unternehmen</t>
  </si>
  <si>
    <t>Vorname / 
Vertreter</t>
  </si>
  <si>
    <t>Adresse</t>
  </si>
  <si>
    <t>Max.
Betrag</t>
  </si>
  <si>
    <t>Gesponsorte 
Schwimmer / 
Mannschaft</t>
  </si>
  <si>
    <t>Meiste Bahnen - Bis 13J</t>
  </si>
  <si>
    <t xml:space="preserve">Meiste Bahnen - 14 bis 18J </t>
  </si>
  <si>
    <t xml:space="preserve">Meiste Bahnen - Erwachsene </t>
  </si>
  <si>
    <t>Meiste Bahnen - Mannschaft</t>
  </si>
  <si>
    <t>Meiste Bahnen pro Mannschaftsmitglied</t>
  </si>
  <si>
    <t>Team Zusammenstetzungen</t>
  </si>
  <si>
    <t>Team Nummer</t>
  </si>
  <si>
    <t>Team Name</t>
  </si>
  <si>
    <t xml:space="preserve">Verantwortlicher </t>
  </si>
  <si>
    <t>Zugehöriger 
Schwimmer</t>
  </si>
  <si>
    <t>DLRG</t>
  </si>
  <si>
    <t>TVV Schwimm</t>
  </si>
  <si>
    <t>Schüler</t>
  </si>
  <si>
    <t>Muster</t>
  </si>
  <si>
    <t>Spendehöhe 
pro Bahn</t>
  </si>
  <si>
    <t>Max Betrag</t>
  </si>
  <si>
    <t>Sponsor Nr.</t>
  </si>
  <si>
    <t>Förderverein ETB</t>
  </si>
  <si>
    <t>DLRG OG VAI</t>
  </si>
  <si>
    <t>TVV 
Schwimmabteilung</t>
  </si>
  <si>
    <t>Karin</t>
  </si>
  <si>
    <t>Bergstr. 4/2; 71665 Vaihingen</t>
  </si>
  <si>
    <t>Montessoro</t>
  </si>
  <si>
    <t>Samantha</t>
  </si>
  <si>
    <t>FV ETB</t>
  </si>
  <si>
    <t>Schieban</t>
  </si>
  <si>
    <t>Familie</t>
  </si>
  <si>
    <t>Nach Sponsor</t>
  </si>
  <si>
    <t>Spenden
Summe</t>
  </si>
  <si>
    <t>Spenden-
Ergebnis</t>
  </si>
  <si>
    <t>Spenden
Ergebnis</t>
  </si>
  <si>
    <t>Nach Schwimmer Gesamt</t>
  </si>
  <si>
    <t>Nach Schwimmer - Kategorie unter 14</t>
  </si>
  <si>
    <t xml:space="preserve">Nach Schwimmer - Erwachsene </t>
  </si>
  <si>
    <t>Anzahl Bahnen</t>
  </si>
  <si>
    <t>Hueber</t>
  </si>
  <si>
    <t>Elyana</t>
  </si>
  <si>
    <t>Kombächer</t>
  </si>
  <si>
    <t>Anja</t>
  </si>
  <si>
    <t>Lea</t>
  </si>
  <si>
    <t>Ludwig</t>
  </si>
  <si>
    <t>Mariya</t>
  </si>
  <si>
    <t>Sure</t>
  </si>
  <si>
    <t>Doris</t>
  </si>
  <si>
    <t>Schildkröten</t>
  </si>
  <si>
    <t>Familie Hueber</t>
  </si>
  <si>
    <t>Vaihinger Str. 30; 71665 Vaihingen</t>
  </si>
  <si>
    <t>Seel</t>
  </si>
  <si>
    <t>Rita</t>
  </si>
  <si>
    <t>Dürer-Ring 22;74372 Sersheim</t>
  </si>
  <si>
    <t>Häcker</t>
  </si>
  <si>
    <t>Rudi</t>
  </si>
  <si>
    <t>Jahnstr 32; 74372 Sersheim</t>
  </si>
  <si>
    <t>Jürgen</t>
  </si>
  <si>
    <t>Holderstr. 1; 74381 Erligheim</t>
  </si>
  <si>
    <t>Erich</t>
  </si>
  <si>
    <t>ZurTalwiese 24; 57334 BadLaarphe</t>
  </si>
  <si>
    <t>Sponsoren (bis zu 100 Sponsoren vorgesehen)</t>
  </si>
  <si>
    <t>Schwimmer (bis zu 100 Schwimmer vorgesehen)</t>
  </si>
  <si>
    <t>(bis zu 25 Schwimmer im Team und bis zu 50 Teams vorgesehen)</t>
  </si>
  <si>
    <t>Tim Bauer</t>
  </si>
  <si>
    <t>James Hartman</t>
  </si>
  <si>
    <t>Thomas Schmid</t>
  </si>
  <si>
    <t>Nach Schwimmer - Kategorie 14-17 Jahre</t>
  </si>
  <si>
    <t>Rang</t>
  </si>
  <si>
    <t>Spenden-Kalkulation</t>
  </si>
  <si>
    <t>Sponsor 
Nummer</t>
  </si>
  <si>
    <t>Name / 
Unternehmen</t>
  </si>
  <si>
    <t>Vorname /
Vertreter</t>
  </si>
  <si>
    <t>Schwimmer
 Nummer</t>
  </si>
  <si>
    <t>Name</t>
  </si>
  <si>
    <t>Vorname</t>
  </si>
  <si>
    <t>Anzahl 
Bahnen</t>
  </si>
  <si>
    <t>Spende 
pro Bahn</t>
  </si>
  <si>
    <t>Max.
Spende</t>
  </si>
  <si>
    <t>Symmetree GmbH</t>
  </si>
  <si>
    <t>Königstr. 26; 70173 Stuttgart</t>
  </si>
  <si>
    <t>Hartman</t>
  </si>
  <si>
    <t>Eleanor</t>
  </si>
  <si>
    <t>Wilhelmstr. 29; 71739 Oberriexingen</t>
  </si>
  <si>
    <t>Gesamt 
Mitglieder</t>
  </si>
  <si>
    <t>Gesamtanzahl
Bahnen</t>
  </si>
  <si>
    <t>Spende
pro Bahn</t>
  </si>
  <si>
    <t>Spenden-
Betrag</t>
  </si>
  <si>
    <t>Grambow</t>
  </si>
  <si>
    <t>Kerstin</t>
  </si>
  <si>
    <t>Frost</t>
  </si>
  <si>
    <t>Ellen</t>
  </si>
  <si>
    <t>Franz</t>
  </si>
  <si>
    <t>Franzi</t>
  </si>
  <si>
    <t xml:space="preserve">Jiayuan </t>
  </si>
  <si>
    <t>Wang</t>
  </si>
  <si>
    <t>Schwörer</t>
  </si>
  <si>
    <t>Noah</t>
  </si>
  <si>
    <t>503, 504</t>
  </si>
  <si>
    <t>Test</t>
  </si>
  <si>
    <t>12J</t>
  </si>
  <si>
    <t>Schwimmer
Nummer</t>
  </si>
  <si>
    <t>Bahnen pro
Mitglied</t>
  </si>
  <si>
    <t>Anzahl
Mitglieder</t>
  </si>
  <si>
    <t>Jüngsten Schwimmer</t>
  </si>
  <si>
    <t>Ältesten Schwimmer</t>
  </si>
  <si>
    <t>Ergebnisse - Ehrungen - TOP 5 Listen  (Achtung: gibt’s Probleme bei gleiche Bahnzahlen oder gleiche Geburtstag - nur erster treffer in Liste wird gezeigt)</t>
  </si>
  <si>
    <t xml:space="preserve">James </t>
  </si>
  <si>
    <t>Walter-de-Pay Str.; 71665 Vaihingen</t>
  </si>
  <si>
    <t>Walter-de-Pay Str.;  Vaihingen (Enz)</t>
  </si>
  <si>
    <t>Team 
Nummer</t>
  </si>
  <si>
    <t xml:space="preserve"> Schmid</t>
  </si>
  <si>
    <t>Annette</t>
  </si>
  <si>
    <t>Gessler</t>
  </si>
  <si>
    <t>Birget</t>
  </si>
  <si>
    <t>Tom Michael</t>
  </si>
  <si>
    <t>Schmid</t>
  </si>
  <si>
    <t>Hannes</t>
  </si>
  <si>
    <t>Uth</t>
  </si>
  <si>
    <t>Markus</t>
  </si>
  <si>
    <t>Göpel</t>
  </si>
  <si>
    <t>Norah</t>
  </si>
  <si>
    <t>Jakob</t>
  </si>
  <si>
    <t>Schulze</t>
  </si>
  <si>
    <t>Christian</t>
  </si>
  <si>
    <t>Helbeck</t>
  </si>
  <si>
    <t>Jonne</t>
  </si>
  <si>
    <t>Michaels</t>
  </si>
  <si>
    <t>Laurens</t>
  </si>
  <si>
    <t>Schwenk-Fischer</t>
  </si>
  <si>
    <t>Eva</t>
  </si>
  <si>
    <t>Tutsch</t>
  </si>
  <si>
    <t>Moritz</t>
  </si>
  <si>
    <t>Linda</t>
  </si>
  <si>
    <t>Burck</t>
  </si>
  <si>
    <t>Jan Aleander</t>
  </si>
  <si>
    <t>Maier</t>
  </si>
  <si>
    <t>Matis</t>
  </si>
  <si>
    <t>Kesten</t>
  </si>
  <si>
    <t>Annabelle</t>
  </si>
  <si>
    <t>Veit</t>
  </si>
  <si>
    <t>Konstatin</t>
  </si>
  <si>
    <t>Kühn</t>
  </si>
  <si>
    <t>Düsterloh</t>
  </si>
  <si>
    <t>Casper</t>
  </si>
  <si>
    <t>Kinga</t>
  </si>
  <si>
    <t>Rottmann</t>
  </si>
  <si>
    <t>Christof</t>
  </si>
  <si>
    <t>Krilla</t>
  </si>
  <si>
    <t>Stellan</t>
  </si>
  <si>
    <t>Nike</t>
  </si>
  <si>
    <t>Gerngroß</t>
  </si>
  <si>
    <t>Heinz</t>
  </si>
  <si>
    <t>Gerloch</t>
  </si>
  <si>
    <t>Christine</t>
  </si>
  <si>
    <t>Künsemüller</t>
  </si>
  <si>
    <t>Viktoria</t>
  </si>
  <si>
    <t>König</t>
  </si>
  <si>
    <t>Viola</t>
  </si>
  <si>
    <t>Bachmann</t>
  </si>
  <si>
    <t>Bauer</t>
  </si>
  <si>
    <t>Tim</t>
  </si>
  <si>
    <t>Fransiska</t>
  </si>
  <si>
    <t>Sehrt</t>
  </si>
  <si>
    <t>Warga</t>
  </si>
  <si>
    <t>Christina</t>
  </si>
  <si>
    <t>Döber</t>
  </si>
  <si>
    <t>Sophie</t>
  </si>
  <si>
    <t>Baier</t>
  </si>
  <si>
    <t>Emily</t>
  </si>
  <si>
    <t>Louis</t>
  </si>
  <si>
    <t>Theobald</t>
  </si>
  <si>
    <t>Ariane</t>
  </si>
  <si>
    <t>Ulrike</t>
  </si>
  <si>
    <t>Künzemüller</t>
  </si>
  <si>
    <t>Klaus</t>
  </si>
  <si>
    <t>Murschel</t>
  </si>
  <si>
    <t>Sophia</t>
  </si>
  <si>
    <t>Buch</t>
  </si>
  <si>
    <t>Rüdiger</t>
  </si>
  <si>
    <t>Floyd</t>
  </si>
  <si>
    <t>Hecker</t>
  </si>
  <si>
    <t>Zu</t>
  </si>
  <si>
    <t>Yanqi</t>
  </si>
  <si>
    <t>Kanu Klub</t>
  </si>
  <si>
    <t>Michael Fischer</t>
  </si>
  <si>
    <t xml:space="preserve">Veit </t>
  </si>
  <si>
    <t>Dorothea</t>
  </si>
  <si>
    <t>Zimmermann</t>
  </si>
  <si>
    <t>Inge</t>
  </si>
  <si>
    <t>Vorreiter</t>
  </si>
  <si>
    <t>Pia</t>
  </si>
  <si>
    <t>Lene</t>
  </si>
  <si>
    <t>Rink</t>
  </si>
  <si>
    <t>Bärbel</t>
  </si>
  <si>
    <t>Wiebke</t>
  </si>
  <si>
    <t>Henrik</t>
  </si>
  <si>
    <t>Faller</t>
  </si>
  <si>
    <t>Petra</t>
  </si>
  <si>
    <t>Simon</t>
  </si>
  <si>
    <t>Fam. Müller</t>
  </si>
  <si>
    <t>Kombacher</t>
  </si>
  <si>
    <t>Sara</t>
  </si>
  <si>
    <t>Schuppler</t>
  </si>
  <si>
    <t>Bronner</t>
  </si>
  <si>
    <t>Camie</t>
  </si>
  <si>
    <t>Katherina</t>
  </si>
  <si>
    <t>Elisa</t>
  </si>
  <si>
    <t>Amelie</t>
  </si>
  <si>
    <t>Holste</t>
  </si>
  <si>
    <t>Oscar</t>
  </si>
  <si>
    <t>Lotte</t>
  </si>
  <si>
    <t>Ruban</t>
  </si>
  <si>
    <t>Maxi</t>
  </si>
  <si>
    <t>Kalamaris</t>
  </si>
  <si>
    <t>Bossert De Paz</t>
  </si>
  <si>
    <t>Noah Javier</t>
  </si>
  <si>
    <t>Zhou</t>
  </si>
  <si>
    <t>Fiona</t>
  </si>
  <si>
    <t>Robin</t>
  </si>
  <si>
    <t>Mark-Franz</t>
  </si>
  <si>
    <t>Krause</t>
  </si>
  <si>
    <t>Florian</t>
  </si>
  <si>
    <t>Pauls</t>
  </si>
  <si>
    <t xml:space="preserve">Anton </t>
  </si>
  <si>
    <t>Holzworth</t>
  </si>
  <si>
    <t>Zoe Hanna</t>
  </si>
  <si>
    <t>Rossner</t>
  </si>
  <si>
    <t>Hans-Joachim</t>
  </si>
  <si>
    <t>Glass</t>
  </si>
  <si>
    <t>Helmut</t>
  </si>
  <si>
    <t>von Dyken</t>
  </si>
  <si>
    <t>Waltrud</t>
  </si>
  <si>
    <t>Angel</t>
  </si>
  <si>
    <t>Frech</t>
  </si>
  <si>
    <t>Leonie</t>
  </si>
  <si>
    <t>Trinh</t>
  </si>
  <si>
    <t>Han</t>
  </si>
  <si>
    <t>Tu</t>
  </si>
  <si>
    <t>Faigle</t>
  </si>
  <si>
    <t>Gustav</t>
  </si>
  <si>
    <t>Einsteinstr. 10 71665 Vaihingen/Enz</t>
  </si>
  <si>
    <t xml:space="preserve">Gessler </t>
  </si>
  <si>
    <t>Birgit</t>
  </si>
  <si>
    <t>Wilhelmstr. 20/2; 71739 Oberriexingen</t>
  </si>
  <si>
    <t>Andreas</t>
  </si>
  <si>
    <t>Walter</t>
  </si>
  <si>
    <t>Salzäckerstr.9 71665 Vaihingen/Enz</t>
  </si>
  <si>
    <t>Hans-Krieg-Str. 30 71665 Vaihingen/Enz</t>
  </si>
  <si>
    <t>Tetz</t>
  </si>
  <si>
    <t>Dagmar</t>
  </si>
  <si>
    <t>Zepelinstr. 41/1</t>
  </si>
  <si>
    <t>Hans-Peter</t>
  </si>
  <si>
    <t>Haferweg 6 71665 Vaihingen Enz</t>
  </si>
  <si>
    <t>Grafenweg 9 75417 Mühlacker</t>
  </si>
  <si>
    <t>Helbek</t>
  </si>
  <si>
    <t>Kim und Mathis</t>
  </si>
  <si>
    <t>Karl Blessing Str. 2 71665 Vaihingen /enz</t>
  </si>
  <si>
    <t>Schmidt</t>
  </si>
  <si>
    <t xml:space="preserve">Helga und Jürgen </t>
  </si>
  <si>
    <t>Silvanerstr. 41 71665 Vaihingen /enz</t>
  </si>
  <si>
    <t>Lisa Marie und Niklas</t>
  </si>
  <si>
    <t>Sudetenstr. 61 71665 Vaihingen Enz</t>
  </si>
  <si>
    <t>Michels</t>
  </si>
  <si>
    <t>Oberriexinger Weg 90 71665 Vaihingen Enz</t>
  </si>
  <si>
    <t>Schloss Apotheke</t>
  </si>
  <si>
    <t>Andreastr 16/1 71665 Vaihingen/Enz</t>
  </si>
  <si>
    <t>Team Galabau</t>
  </si>
  <si>
    <t>Baiselstr. 3 71665 Vaihingen Enz</t>
  </si>
  <si>
    <t>Daniel</t>
  </si>
  <si>
    <t>Ulmer Schanz 3 75417 Mühlacker</t>
  </si>
  <si>
    <t>^Kanuclub CJD kaltenstein</t>
  </si>
  <si>
    <t>Klaiberstr 7/1 71665 Vaihingen Enz</t>
  </si>
  <si>
    <t>Netsch</t>
  </si>
  <si>
    <t>Astrid</t>
  </si>
  <si>
    <t>Mauerpfefferweg 6 71665 Vaihinegn Enz</t>
  </si>
  <si>
    <t xml:space="preserve">Burck </t>
  </si>
  <si>
    <t>Cordula</t>
  </si>
  <si>
    <t>Mauerpfeferweg 4 71665 Vaihingen Enz</t>
  </si>
  <si>
    <t>Thiele</t>
  </si>
  <si>
    <t>Stephen</t>
  </si>
  <si>
    <t>Friedrichstr 13 71665 Vaihinegn Enz</t>
  </si>
  <si>
    <t>Martin</t>
  </si>
  <si>
    <t>Weizenstr  36 71665 Vaihingn Enz</t>
  </si>
  <si>
    <t>Umminger Veit</t>
  </si>
  <si>
    <t>Sybille</t>
  </si>
  <si>
    <t>Gerokstr. 41 71665 vVaihingen Enz</t>
  </si>
  <si>
    <t xml:space="preserve">Umminger </t>
  </si>
  <si>
    <t>Irmgard</t>
  </si>
  <si>
    <t>Edenkobener Str 22</t>
  </si>
  <si>
    <t>Veith</t>
  </si>
  <si>
    <t xml:space="preserve">Martin </t>
  </si>
  <si>
    <t>Anete und Dario</t>
  </si>
  <si>
    <t>Gothestr. 19/2 71665 Vaihingen Enz</t>
  </si>
  <si>
    <t>Platanenstr. 30 71665 Vaihingen Enz</t>
  </si>
  <si>
    <t>Kleisstr. 3 71665 Vaihingen Enz</t>
  </si>
  <si>
    <t xml:space="preserve">Gerlach </t>
  </si>
  <si>
    <t>Bartenbergstr. 20 71665 Vaihinegen Enz</t>
  </si>
  <si>
    <t>Consbruchstr. 8/2 71665 Vaihingen Enz</t>
  </si>
  <si>
    <t xml:space="preserve">Schieban </t>
  </si>
  <si>
    <t>Gertraud</t>
  </si>
  <si>
    <t xml:space="preserve">Ulrich </t>
  </si>
  <si>
    <t>Am Wolfsberg 13 71665 Vaihinegn/Enz</t>
  </si>
  <si>
    <t>Eichendorfstr. 4 71665 Vaihinegn Enz</t>
  </si>
  <si>
    <t>Weidenweg 10 71665 Vaihingen Enz</t>
  </si>
  <si>
    <t>Ingrid</t>
  </si>
  <si>
    <t>Gerokstr. 78 71665 Vaihingen Enz</t>
  </si>
  <si>
    <t xml:space="preserve">Rüdiger </t>
  </si>
  <si>
    <t>Lärchenweg 27 71665 Vaihingen Enz</t>
  </si>
  <si>
    <t>Döbler</t>
  </si>
  <si>
    <t xml:space="preserve">Zinmmermann </t>
  </si>
  <si>
    <t xml:space="preserve">Jürgen </t>
  </si>
  <si>
    <t xml:space="preserve">Klaiberstr 7 71665 Vaihingen Enz </t>
  </si>
  <si>
    <t>Diane</t>
  </si>
  <si>
    <t>Sonnenblumenweg 2 71665 Vaihingen Enz</t>
  </si>
  <si>
    <t xml:space="preserve">Rink </t>
  </si>
  <si>
    <t>Björn und Bäbel</t>
  </si>
  <si>
    <t>Eugen Eisele Weg 8</t>
  </si>
  <si>
    <t>Müller</t>
  </si>
  <si>
    <t>Friederich</t>
  </si>
  <si>
    <t>Rathausstr. 21/1 71665 Vaihingen enz</t>
  </si>
  <si>
    <t>Dagma</t>
  </si>
  <si>
    <t xml:space="preserve">Kammbächer </t>
  </si>
  <si>
    <t>Zur Talwiese 24</t>
  </si>
  <si>
    <t xml:space="preserve">Rita </t>
  </si>
  <si>
    <t>Dürer Ring 22 74372 Sersheim</t>
  </si>
  <si>
    <t xml:space="preserve">Rudi </t>
  </si>
  <si>
    <t>Jahnstr. 32  74372 Sersheim</t>
  </si>
  <si>
    <t>Emmenweg 5 71739 Oberriexingen</t>
  </si>
  <si>
    <t>Kaalkäckerstr. 9 71665 Vaihingen Enz</t>
  </si>
  <si>
    <t xml:space="preserve">Maier </t>
  </si>
  <si>
    <t>Mauerpfefferweg 4 71665 Vaihingen Enz</t>
  </si>
  <si>
    <t>Kalamanis</t>
  </si>
  <si>
    <t>Dimitry</t>
  </si>
  <si>
    <t>Schulstr 6 7153 Eberdingen</t>
  </si>
  <si>
    <t>Rosalinde</t>
  </si>
  <si>
    <t>Gerokstr 8 71665 Vaihingen enz</t>
  </si>
  <si>
    <t>Korz</t>
  </si>
  <si>
    <t>Susanne</t>
  </si>
  <si>
    <t>Römerstr. 37 71665 Vaihingen enz</t>
  </si>
  <si>
    <t>Mario de Paz</t>
  </si>
  <si>
    <t>Mario</t>
  </si>
  <si>
    <t>Stuttgarter Str. 17 71735 Eberdingen</t>
  </si>
  <si>
    <t>Laisenacker</t>
  </si>
  <si>
    <t>Mühlweg 1 71735 Eberdingen</t>
  </si>
  <si>
    <t>Wenliang</t>
  </si>
  <si>
    <t>Furtbergerstr. 107 71665 Vaihinegn Enz</t>
  </si>
  <si>
    <t>Lingling</t>
  </si>
  <si>
    <t>Xhe</t>
  </si>
  <si>
    <t>Göpl</t>
  </si>
  <si>
    <t>M</t>
  </si>
  <si>
    <t>Hans-Krieg-Strasse 30</t>
  </si>
  <si>
    <t>Rische</t>
  </si>
  <si>
    <t>GmbH</t>
  </si>
  <si>
    <t>Mönchswiesen 16 71735 EBERDINGEN</t>
  </si>
  <si>
    <t>Maike</t>
  </si>
  <si>
    <t>Mühlhäuser Str. 10 71665 Vaihingen Enz</t>
  </si>
  <si>
    <t>Rösner</t>
  </si>
  <si>
    <t>Am Wolfsberg 141 71665 Vaihingen Enz</t>
  </si>
  <si>
    <t>Holzwarth</t>
  </si>
  <si>
    <t>Achim</t>
  </si>
  <si>
    <t>Tulpenweg 18/3 71665 Vaihingen Enz</t>
  </si>
  <si>
    <t>van Dyken</t>
  </si>
  <si>
    <t>Waltraud</t>
  </si>
  <si>
    <t>Unterer Hof 3 71665 Vaihingen Enz</t>
  </si>
  <si>
    <t>Michael Frech GbR</t>
  </si>
  <si>
    <t>Im kleinen Täle 2 71665 Vaihingen Enz</t>
  </si>
  <si>
    <t>Wiederspick</t>
  </si>
  <si>
    <t>Angelika</t>
  </si>
  <si>
    <t>VDK Siedlung 19 90518 Altdorf</t>
  </si>
  <si>
    <t>Timo</t>
  </si>
  <si>
    <t>Lindenbachstrasse 69 70499 Weilimdorf</t>
  </si>
  <si>
    <t>Sven</t>
  </si>
  <si>
    <t>Naumannstar. 38 70378 stuttgart</t>
  </si>
  <si>
    <t xml:space="preserve">Frech </t>
  </si>
  <si>
    <t>Bianca</t>
  </si>
  <si>
    <t>Hölderlinstr. 7 70836 Gerlingen</t>
  </si>
  <si>
    <t>Jungstes Kind</t>
  </si>
  <si>
    <t>Älteste</t>
  </si>
  <si>
    <t>Meter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</si>
</sst>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€&quot;_-;\-* #,##0.00\ &quot;€&quot;_-;_-* &quot;-&quot;??\ &quot;€&quot;_-;_-@_-"/>
    <numFmt numFmtId="43" formatCode="_-* #,##0.00\ _€_-;\-* #,##0.00\ _€_-;_-* &quot;-&quot;??\ _€_-;_-@_-"/>
    <numFmt numFmtId="164" formatCode="#,##0_ ;\-#,##0\ 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47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Alignment="1"/>
    <xf numFmtId="0" fontId="0" fillId="0" borderId="1" xfId="0" applyBorder="1" applyAlignment="1"/>
    <xf numFmtId="0" fontId="0" fillId="0" borderId="2" xfId="0" applyBorder="1" applyAlignment="1">
      <alignment horizontal="center" wrapText="1"/>
    </xf>
    <xf numFmtId="0" fontId="0" fillId="0" borderId="4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4" fontId="0" fillId="0" borderId="0" xfId="0" applyNumberFormat="1" applyBorder="1" applyAlignment="1">
      <alignment horizontal="center"/>
    </xf>
    <xf numFmtId="44" fontId="0" fillId="0" borderId="0" xfId="1" applyFont="1" applyAlignment="1">
      <alignment horizontal="center"/>
    </xf>
    <xf numFmtId="0" fontId="0" fillId="2" borderId="8" xfId="0" applyFill="1" applyBorder="1" applyAlignment="1">
      <alignment horizontal="center" wrapText="1"/>
    </xf>
    <xf numFmtId="0" fontId="0" fillId="2" borderId="9" xfId="0" applyFill="1" applyBorder="1" applyAlignment="1">
      <alignment horizontal="center"/>
    </xf>
    <xf numFmtId="0" fontId="0" fillId="2" borderId="1" xfId="0" applyFill="1" applyBorder="1" applyAlignment="1">
      <alignment horizontal="center" wrapText="1"/>
    </xf>
    <xf numFmtId="0" fontId="0" fillId="2" borderId="2" xfId="0" applyFill="1" applyBorder="1" applyAlignment="1">
      <alignment horizontal="center"/>
    </xf>
    <xf numFmtId="44" fontId="0" fillId="2" borderId="0" xfId="1" applyFont="1" applyFill="1" applyAlignment="1">
      <alignment horizontal="center" wrapText="1"/>
    </xf>
    <xf numFmtId="0" fontId="0" fillId="2" borderId="4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44" fontId="0" fillId="2" borderId="0" xfId="1" applyFont="1" applyFill="1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center"/>
    </xf>
    <xf numFmtId="164" fontId="0" fillId="2" borderId="0" xfId="1" applyNumberFormat="1" applyFont="1" applyFill="1" applyAlignment="1">
      <alignment horizontal="center"/>
    </xf>
    <xf numFmtId="0" fontId="0" fillId="2" borderId="0" xfId="0" applyFill="1" applyAlignment="1">
      <alignment horizontal="center" wrapText="1"/>
    </xf>
    <xf numFmtId="0" fontId="0" fillId="3" borderId="6" xfId="0" applyFill="1" applyBorder="1" applyAlignment="1">
      <alignment horizontal="center" wrapText="1"/>
    </xf>
    <xf numFmtId="0" fontId="0" fillId="3" borderId="7" xfId="0" applyFill="1" applyBorder="1" applyAlignment="1">
      <alignment horizontal="center"/>
    </xf>
    <xf numFmtId="0" fontId="0" fillId="0" borderId="0" xfId="0" applyAlignment="1">
      <alignment horizontal="left"/>
    </xf>
    <xf numFmtId="0" fontId="0" fillId="4" borderId="0" xfId="0" applyFill="1" applyAlignment="1">
      <alignment horizontal="center"/>
    </xf>
    <xf numFmtId="44" fontId="0" fillId="0" borderId="0" xfId="1" applyFont="1" applyBorder="1" applyAlignment="1">
      <alignment horizontal="center"/>
    </xf>
    <xf numFmtId="44" fontId="0" fillId="0" borderId="0" xfId="1" applyFont="1" applyBorder="1"/>
    <xf numFmtId="44" fontId="0" fillId="0" borderId="0" xfId="1" applyFont="1" applyFill="1" applyBorder="1" applyAlignment="1">
      <alignment horizontal="center"/>
    </xf>
    <xf numFmtId="49" fontId="0" fillId="2" borderId="0" xfId="0" applyNumberFormat="1" applyFill="1" applyAlignment="1">
      <alignment horizontal="center"/>
    </xf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 wrapText="1"/>
    </xf>
    <xf numFmtId="0" fontId="0" fillId="0" borderId="0" xfId="0" applyNumberFormat="1" applyBorder="1" applyAlignment="1">
      <alignment horizontal="center"/>
    </xf>
    <xf numFmtId="44" fontId="0" fillId="2" borderId="0" xfId="1" applyFont="1" applyFill="1"/>
    <xf numFmtId="43" fontId="0" fillId="2" borderId="0" xfId="2" applyFont="1" applyFill="1" applyAlignment="1">
      <alignment horizontal="center"/>
    </xf>
    <xf numFmtId="44" fontId="0" fillId="0" borderId="0" xfId="1" applyFont="1"/>
    <xf numFmtId="2" fontId="0" fillId="2" borderId="0" xfId="0" applyNumberFormat="1" applyFill="1"/>
    <xf numFmtId="44" fontId="0" fillId="0" borderId="0" xfId="0" applyNumberFormat="1"/>
    <xf numFmtId="14" fontId="0" fillId="2" borderId="0" xfId="0" applyNumberFormat="1" applyFill="1"/>
    <xf numFmtId="0" fontId="0" fillId="5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4" fontId="0" fillId="0" borderId="0" xfId="0" applyNumberFormat="1"/>
  </cellXfs>
  <cellStyles count="3">
    <cellStyle name="Komma" xfId="2" builtinId="3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4"/>
  <sheetViews>
    <sheetView topLeftCell="A84" workbookViewId="0">
      <selection activeCell="E60" sqref="E60"/>
    </sheetView>
  </sheetViews>
  <sheetFormatPr baseColWidth="10" defaultRowHeight="14.5" x14ac:dyDescent="0.35"/>
  <cols>
    <col min="1" max="1" width="11.453125" style="2"/>
    <col min="2" max="2" width="22.81640625" style="2" customWidth="1"/>
    <col min="3" max="3" width="22.26953125" style="2" customWidth="1"/>
    <col min="4" max="4" width="11.453125" style="2"/>
    <col min="5" max="5" width="22.7265625" style="2" customWidth="1"/>
    <col min="6" max="7" width="11.453125" style="2"/>
    <col min="8" max="11" width="14.1796875" style="2" customWidth="1"/>
    <col min="12" max="15" width="12.81640625" style="2" customWidth="1"/>
    <col min="16" max="19" width="13.54296875" style="2" customWidth="1"/>
    <col min="20" max="23" width="13.7265625" style="2" customWidth="1"/>
    <col min="24" max="24" width="13.1796875" customWidth="1"/>
    <col min="26" max="26" width="13.7265625" style="2" customWidth="1"/>
  </cols>
  <sheetData>
    <row r="1" spans="1:26" x14ac:dyDescent="0.35">
      <c r="A1" s="29" t="s">
        <v>0</v>
      </c>
    </row>
    <row r="2" spans="1:26" ht="15" thickBot="1" x14ac:dyDescent="0.4">
      <c r="A2" s="29" t="s">
        <v>70</v>
      </c>
      <c r="I2" s="4"/>
      <c r="J2" s="4"/>
      <c r="K2" s="4"/>
      <c r="M2" s="4"/>
      <c r="N2" s="4"/>
      <c r="O2" s="4"/>
      <c r="Q2" s="4"/>
      <c r="R2" s="4"/>
      <c r="S2" s="4"/>
      <c r="U2" s="4"/>
      <c r="V2" s="4"/>
      <c r="W2" s="4"/>
      <c r="Y2" s="4"/>
      <c r="Z2" s="4"/>
    </row>
    <row r="3" spans="1:26" ht="29" x14ac:dyDescent="0.35">
      <c r="A3" s="10" t="s">
        <v>1</v>
      </c>
      <c r="B3" s="11" t="s">
        <v>2</v>
      </c>
      <c r="C3" s="11" t="s">
        <v>3</v>
      </c>
      <c r="D3" s="11" t="s">
        <v>4</v>
      </c>
      <c r="E3" s="12" t="s">
        <v>5</v>
      </c>
      <c r="F3" s="27" t="s">
        <v>6</v>
      </c>
      <c r="G3" s="5" t="s">
        <v>28</v>
      </c>
      <c r="H3" s="6" t="s">
        <v>26</v>
      </c>
      <c r="I3" s="6" t="s">
        <v>27</v>
      </c>
      <c r="J3" s="15" t="s">
        <v>41</v>
      </c>
      <c r="K3" s="5" t="s">
        <v>28</v>
      </c>
      <c r="L3" s="6" t="s">
        <v>26</v>
      </c>
      <c r="M3" s="6" t="s">
        <v>27</v>
      </c>
      <c r="N3" s="15" t="s">
        <v>41</v>
      </c>
      <c r="O3" s="5" t="s">
        <v>28</v>
      </c>
      <c r="P3" s="6" t="s">
        <v>26</v>
      </c>
      <c r="Q3" s="6" t="s">
        <v>27</v>
      </c>
      <c r="R3" s="15" t="s">
        <v>42</v>
      </c>
      <c r="S3" s="5" t="s">
        <v>28</v>
      </c>
      <c r="T3" s="6" t="s">
        <v>26</v>
      </c>
      <c r="U3" s="6" t="s">
        <v>27</v>
      </c>
      <c r="V3" s="15" t="s">
        <v>42</v>
      </c>
      <c r="W3" s="5" t="s">
        <v>28</v>
      </c>
      <c r="X3" s="6" t="s">
        <v>26</v>
      </c>
      <c r="Y3" s="6" t="s">
        <v>27</v>
      </c>
      <c r="Z3" s="15" t="s">
        <v>42</v>
      </c>
    </row>
    <row r="4" spans="1:26" x14ac:dyDescent="0.35">
      <c r="A4" s="7">
        <v>1</v>
      </c>
      <c r="B4" s="8" t="s">
        <v>24</v>
      </c>
      <c r="C4" s="8" t="s">
        <v>25</v>
      </c>
      <c r="D4" s="13">
        <v>40269</v>
      </c>
      <c r="E4" s="9">
        <v>503</v>
      </c>
      <c r="F4" s="28">
        <v>1</v>
      </c>
      <c r="G4" s="7">
        <v>1003</v>
      </c>
      <c r="H4" s="31">
        <v>0.5</v>
      </c>
      <c r="I4" s="31"/>
      <c r="J4" s="16">
        <f>IF(AND(F4*H4&gt;I4,I4&gt;0),I4, F4*H4)</f>
        <v>0.5</v>
      </c>
      <c r="K4" s="7"/>
      <c r="L4" s="31"/>
      <c r="M4" s="31"/>
      <c r="N4" s="16"/>
      <c r="O4" s="7"/>
      <c r="P4" s="31"/>
      <c r="Q4" s="31"/>
      <c r="R4" s="16"/>
      <c r="S4" s="7"/>
      <c r="T4" s="31"/>
      <c r="U4" s="31"/>
      <c r="V4" s="16"/>
      <c r="W4" s="7"/>
      <c r="X4" s="32"/>
      <c r="Y4" s="32"/>
      <c r="Z4" s="16"/>
    </row>
    <row r="5" spans="1:26" x14ac:dyDescent="0.35">
      <c r="A5" s="7">
        <v>2</v>
      </c>
      <c r="B5" s="8" t="s">
        <v>34</v>
      </c>
      <c r="C5" s="8" t="s">
        <v>35</v>
      </c>
      <c r="D5" s="13">
        <v>42542</v>
      </c>
      <c r="E5" s="9">
        <v>502</v>
      </c>
      <c r="F5" s="28">
        <f>50+28</f>
        <v>78</v>
      </c>
      <c r="G5" s="7">
        <v>1004</v>
      </c>
      <c r="H5" s="31">
        <v>1</v>
      </c>
      <c r="I5" s="31"/>
      <c r="J5" s="16">
        <f t="shared" ref="J5:J11" si="0">IF(AND(F5*H5&gt;I5,I5&gt;0),I5, F5*H5)</f>
        <v>78</v>
      </c>
      <c r="K5" s="7">
        <v>1002</v>
      </c>
      <c r="L5" s="31">
        <v>0.5</v>
      </c>
      <c r="M5" s="31"/>
      <c r="N5" s="16">
        <f>IF(AND(F5*L5&gt;M5,M5&gt;0),M5, F5*L5)</f>
        <v>39</v>
      </c>
      <c r="O5" s="7">
        <v>1045</v>
      </c>
      <c r="P5" s="31">
        <v>2</v>
      </c>
      <c r="Q5" s="31"/>
      <c r="R5" s="16">
        <f t="shared" ref="R5:R7" si="1">IF(AND(F5*P5&gt;Q5,Q5&gt;0),Q5, F5*P5)</f>
        <v>156</v>
      </c>
      <c r="S5" s="7"/>
      <c r="T5" s="31"/>
      <c r="U5" s="31"/>
      <c r="V5" s="16">
        <f t="shared" ref="V5:V11" si="2">IF(AND(F5*T5&gt;U5,U5&gt;0),U5, F5*T5)</f>
        <v>0</v>
      </c>
      <c r="W5" s="7"/>
      <c r="X5" s="32"/>
      <c r="Y5" s="32"/>
      <c r="Z5" s="16">
        <f t="shared" ref="Z5:Z11" si="3">IF(AND(F5*X5&gt;Y5,Y5&gt;0),Y5, F5*X5)</f>
        <v>0</v>
      </c>
    </row>
    <row r="6" spans="1:26" x14ac:dyDescent="0.35">
      <c r="A6" s="7">
        <v>3</v>
      </c>
      <c r="B6" s="8" t="s">
        <v>47</v>
      </c>
      <c r="C6" s="8" t="s">
        <v>48</v>
      </c>
      <c r="D6" s="13">
        <v>41924</v>
      </c>
      <c r="E6" s="9">
        <v>502</v>
      </c>
      <c r="F6" s="28">
        <v>70</v>
      </c>
      <c r="G6" s="7">
        <v>1002</v>
      </c>
      <c r="H6" s="31">
        <v>0.5</v>
      </c>
      <c r="I6" s="31"/>
      <c r="J6" s="16">
        <f t="shared" si="0"/>
        <v>35</v>
      </c>
      <c r="K6" s="7">
        <v>1005</v>
      </c>
      <c r="L6" s="31">
        <v>2.5</v>
      </c>
      <c r="M6" s="31"/>
      <c r="N6" s="16">
        <f t="shared" ref="N6:N69" si="4">IF(AND(F6*L6&gt;M6,M6&gt;0),M6, F6*L6)</f>
        <v>175</v>
      </c>
      <c r="O6" s="7"/>
      <c r="P6" s="31"/>
      <c r="Q6" s="31"/>
      <c r="R6" s="16">
        <f t="shared" si="1"/>
        <v>0</v>
      </c>
      <c r="S6" s="7"/>
      <c r="T6" s="31"/>
      <c r="U6" s="31"/>
      <c r="V6" s="16">
        <f t="shared" si="2"/>
        <v>0</v>
      </c>
      <c r="W6" s="7"/>
      <c r="X6" s="32"/>
      <c r="Y6" s="32"/>
      <c r="Z6" s="16">
        <f t="shared" si="3"/>
        <v>0</v>
      </c>
    </row>
    <row r="7" spans="1:26" x14ac:dyDescent="0.35">
      <c r="A7" s="7">
        <v>4</v>
      </c>
      <c r="B7" s="8" t="s">
        <v>49</v>
      </c>
      <c r="C7" s="8" t="s">
        <v>50</v>
      </c>
      <c r="D7" s="13">
        <v>30515</v>
      </c>
      <c r="E7" s="9">
        <v>502</v>
      </c>
      <c r="F7" s="28">
        <v>44</v>
      </c>
      <c r="G7" s="7">
        <v>1002</v>
      </c>
      <c r="H7" s="31">
        <v>0.5</v>
      </c>
      <c r="I7" s="31"/>
      <c r="J7" s="16">
        <f t="shared" si="0"/>
        <v>22</v>
      </c>
      <c r="K7" s="7"/>
      <c r="L7" s="31"/>
      <c r="M7" s="31"/>
      <c r="N7" s="16">
        <f t="shared" si="4"/>
        <v>0</v>
      </c>
      <c r="O7" s="7"/>
      <c r="P7" s="31"/>
      <c r="Q7" s="31"/>
      <c r="R7" s="16">
        <f t="shared" si="1"/>
        <v>0</v>
      </c>
      <c r="S7" s="7"/>
      <c r="T7" s="31"/>
      <c r="U7" s="31"/>
      <c r="V7" s="16">
        <f t="shared" si="2"/>
        <v>0</v>
      </c>
      <c r="W7" s="7"/>
      <c r="X7" s="32"/>
      <c r="Y7" s="32"/>
      <c r="Z7" s="16">
        <f t="shared" si="3"/>
        <v>0</v>
      </c>
    </row>
    <row r="8" spans="1:26" x14ac:dyDescent="0.35">
      <c r="A8" s="7">
        <v>5</v>
      </c>
      <c r="B8" s="8" t="s">
        <v>49</v>
      </c>
      <c r="C8" s="8" t="s">
        <v>51</v>
      </c>
      <c r="D8" s="13">
        <v>41712</v>
      </c>
      <c r="E8" s="9">
        <v>502</v>
      </c>
      <c r="F8" s="28">
        <v>80</v>
      </c>
      <c r="G8" s="7">
        <v>1002</v>
      </c>
      <c r="H8" s="31">
        <v>0.5</v>
      </c>
      <c r="I8" s="31"/>
      <c r="J8" s="16">
        <f t="shared" si="0"/>
        <v>40</v>
      </c>
      <c r="K8" s="7">
        <v>1006</v>
      </c>
      <c r="L8" s="31">
        <v>0.5</v>
      </c>
      <c r="M8" s="31">
        <v>50</v>
      </c>
      <c r="N8" s="16">
        <f t="shared" si="4"/>
        <v>40</v>
      </c>
      <c r="O8" s="7">
        <v>1007</v>
      </c>
      <c r="P8" s="31">
        <v>0.5</v>
      </c>
      <c r="Q8" s="31">
        <v>50</v>
      </c>
      <c r="R8" s="16">
        <f>IF(AND(F8*P8&gt;Q8,Q8&gt;0),Q8, F8*P8)</f>
        <v>40</v>
      </c>
      <c r="S8" s="7">
        <v>1008</v>
      </c>
      <c r="T8" s="31">
        <v>0.5</v>
      </c>
      <c r="U8" s="31"/>
      <c r="V8" s="16">
        <f t="shared" si="2"/>
        <v>40</v>
      </c>
      <c r="W8" s="7">
        <v>1009</v>
      </c>
      <c r="X8" s="33">
        <v>0.5</v>
      </c>
      <c r="Y8" s="33">
        <v>50</v>
      </c>
      <c r="Z8" s="16">
        <f t="shared" si="3"/>
        <v>40</v>
      </c>
    </row>
    <row r="9" spans="1:26" x14ac:dyDescent="0.35">
      <c r="A9" s="7">
        <v>6</v>
      </c>
      <c r="B9" s="8" t="s">
        <v>52</v>
      </c>
      <c r="C9" s="8" t="s">
        <v>53</v>
      </c>
      <c r="D9" s="13">
        <v>40298</v>
      </c>
      <c r="E9" s="9">
        <v>502</v>
      </c>
      <c r="F9" s="28">
        <f>52+52</f>
        <v>104</v>
      </c>
      <c r="G9" s="7">
        <v>1002</v>
      </c>
      <c r="H9" s="31">
        <v>0.5</v>
      </c>
      <c r="I9" s="31"/>
      <c r="J9" s="16">
        <f t="shared" si="0"/>
        <v>52</v>
      </c>
      <c r="K9" s="7"/>
      <c r="L9" s="31"/>
      <c r="M9" s="31"/>
      <c r="N9" s="16">
        <f t="shared" si="4"/>
        <v>0</v>
      </c>
      <c r="O9" s="7"/>
      <c r="P9" s="31"/>
      <c r="Q9" s="31"/>
      <c r="R9" s="16">
        <f t="shared" ref="R9:R72" si="5">IF(AND(F9*P9&gt;Q9,Q9&gt;0),Q9, F9*P9)</f>
        <v>0</v>
      </c>
      <c r="S9" s="7"/>
      <c r="T9" s="31"/>
      <c r="U9" s="31"/>
      <c r="V9" s="16">
        <f t="shared" si="2"/>
        <v>0</v>
      </c>
      <c r="W9" s="7"/>
      <c r="X9" s="33"/>
      <c r="Y9" s="33"/>
      <c r="Z9" s="16">
        <f t="shared" si="3"/>
        <v>0</v>
      </c>
    </row>
    <row r="10" spans="1:26" x14ac:dyDescent="0.35">
      <c r="A10" s="7">
        <v>7</v>
      </c>
      <c r="B10" s="8" t="s">
        <v>54</v>
      </c>
      <c r="C10" s="8" t="s">
        <v>55</v>
      </c>
      <c r="D10" s="13">
        <v>22857</v>
      </c>
      <c r="E10" s="9">
        <v>502</v>
      </c>
      <c r="F10" s="28">
        <f>24+16</f>
        <v>40</v>
      </c>
      <c r="G10" s="7">
        <v>1002</v>
      </c>
      <c r="H10" s="31">
        <v>0.5</v>
      </c>
      <c r="I10" s="31"/>
      <c r="J10" s="16">
        <f t="shared" si="0"/>
        <v>20</v>
      </c>
      <c r="K10" s="7"/>
      <c r="L10" s="31"/>
      <c r="M10" s="31"/>
      <c r="N10" s="16">
        <f t="shared" si="4"/>
        <v>0</v>
      </c>
      <c r="O10" s="7"/>
      <c r="P10" s="31"/>
      <c r="Q10" s="31"/>
      <c r="R10" s="16">
        <f t="shared" si="5"/>
        <v>0</v>
      </c>
      <c r="S10" s="7"/>
      <c r="T10" s="31"/>
      <c r="U10" s="31"/>
      <c r="V10" s="16">
        <f t="shared" si="2"/>
        <v>0</v>
      </c>
      <c r="W10" s="7"/>
      <c r="X10" s="33"/>
      <c r="Y10" s="33"/>
      <c r="Z10" s="16">
        <f t="shared" si="3"/>
        <v>0</v>
      </c>
    </row>
    <row r="11" spans="1:26" x14ac:dyDescent="0.35">
      <c r="A11" s="7">
        <v>8</v>
      </c>
      <c r="B11" s="8" t="s">
        <v>89</v>
      </c>
      <c r="C11" s="8" t="s">
        <v>90</v>
      </c>
      <c r="D11" s="13">
        <v>21608</v>
      </c>
      <c r="E11" s="9"/>
      <c r="F11" s="28">
        <f>20+0</f>
        <v>20</v>
      </c>
      <c r="G11" s="7">
        <v>1011</v>
      </c>
      <c r="H11" s="31">
        <v>10</v>
      </c>
      <c r="I11" s="31"/>
      <c r="J11" s="16">
        <f t="shared" si="0"/>
        <v>200</v>
      </c>
      <c r="K11" s="7"/>
      <c r="L11" s="31"/>
      <c r="M11" s="31"/>
      <c r="N11" s="16">
        <f t="shared" si="4"/>
        <v>0</v>
      </c>
      <c r="O11" s="7"/>
      <c r="P11" s="31"/>
      <c r="Q11" s="31"/>
      <c r="R11" s="16">
        <f t="shared" si="5"/>
        <v>0</v>
      </c>
      <c r="S11" s="7"/>
      <c r="T11" s="31"/>
      <c r="U11" s="31"/>
      <c r="V11" s="16">
        <f t="shared" si="2"/>
        <v>0</v>
      </c>
      <c r="W11" s="7"/>
      <c r="X11" s="33"/>
      <c r="Y11" s="33"/>
      <c r="Z11" s="16">
        <f t="shared" si="3"/>
        <v>0</v>
      </c>
    </row>
    <row r="12" spans="1:26" x14ac:dyDescent="0.35">
      <c r="A12" s="7">
        <v>9</v>
      </c>
      <c r="B12" s="8" t="s">
        <v>96</v>
      </c>
      <c r="C12" s="8" t="s">
        <v>97</v>
      </c>
      <c r="D12" s="13">
        <v>35065</v>
      </c>
      <c r="E12" s="9" t="s">
        <v>106</v>
      </c>
      <c r="F12" s="28">
        <f>44+26</f>
        <v>70</v>
      </c>
      <c r="G12" s="7">
        <v>1003</v>
      </c>
      <c r="H12" s="31">
        <v>0.5</v>
      </c>
      <c r="I12" s="31"/>
      <c r="J12" s="16">
        <f>IF(AND(F12*H12&gt;I12,I12&gt;0),I12, F12*H12)</f>
        <v>35</v>
      </c>
      <c r="K12" s="7">
        <v>1010</v>
      </c>
      <c r="L12" s="31">
        <v>0.5</v>
      </c>
      <c r="M12" s="31"/>
      <c r="N12" s="16">
        <f t="shared" si="4"/>
        <v>35</v>
      </c>
      <c r="O12" s="7"/>
      <c r="P12" s="31"/>
      <c r="Q12" s="31"/>
      <c r="R12" s="16">
        <f t="shared" si="5"/>
        <v>0</v>
      </c>
      <c r="S12" s="7"/>
      <c r="T12" s="31"/>
      <c r="U12" s="31"/>
      <c r="V12" s="16">
        <f>IF(AND(F12*T12&gt;U12,U12&gt;0),U12, F12*T12)</f>
        <v>0</v>
      </c>
      <c r="W12" s="7"/>
      <c r="X12" s="33"/>
      <c r="Y12" s="33"/>
      <c r="Z12" s="16">
        <f>IF(AND(F12*X12&gt;Y12,Y12&gt;0),Y12, F12*X12)</f>
        <v>0</v>
      </c>
    </row>
    <row r="13" spans="1:26" x14ac:dyDescent="0.35">
      <c r="A13" s="7">
        <v>10</v>
      </c>
      <c r="B13" s="8" t="s">
        <v>98</v>
      </c>
      <c r="C13" s="8" t="s">
        <v>99</v>
      </c>
      <c r="D13" s="13">
        <v>35065</v>
      </c>
      <c r="E13" s="9" t="s">
        <v>106</v>
      </c>
      <c r="F13" s="28">
        <f>46+0</f>
        <v>46</v>
      </c>
      <c r="G13" s="7">
        <v>1003</v>
      </c>
      <c r="H13" s="31">
        <v>0.5</v>
      </c>
      <c r="I13" s="31"/>
      <c r="J13" s="16">
        <f>IF(AND(F13*H13&gt;I13,I13&gt;0),I13, F13*H13)</f>
        <v>23</v>
      </c>
      <c r="K13" s="7">
        <v>1010</v>
      </c>
      <c r="L13" s="31">
        <v>0.5</v>
      </c>
      <c r="M13" s="31"/>
      <c r="N13" s="16">
        <f t="shared" si="4"/>
        <v>23</v>
      </c>
      <c r="O13" s="7"/>
      <c r="P13" s="31"/>
      <c r="Q13" s="31"/>
      <c r="R13" s="16">
        <f t="shared" si="5"/>
        <v>0</v>
      </c>
      <c r="S13" s="7"/>
      <c r="T13" s="31"/>
      <c r="U13" s="31"/>
      <c r="V13" s="16">
        <f t="shared" ref="V13:V76" si="6">IF(AND(F13*T13&gt;U13,U13&gt;0),U13, F13*T13)</f>
        <v>0</v>
      </c>
      <c r="W13" s="7"/>
      <c r="X13" s="33"/>
      <c r="Y13" s="33"/>
      <c r="Z13" s="16">
        <f t="shared" ref="Z13:Z76" si="7">IF(AND(F13*X13&gt;Y13,Y13&gt;0),Y13, F13*X13)</f>
        <v>0</v>
      </c>
    </row>
    <row r="14" spans="1:26" x14ac:dyDescent="0.35">
      <c r="A14" s="7">
        <v>11</v>
      </c>
      <c r="B14" s="8" t="s">
        <v>100</v>
      </c>
      <c r="C14" s="8" t="s">
        <v>101</v>
      </c>
      <c r="D14" s="13">
        <v>35065</v>
      </c>
      <c r="E14" s="9" t="s">
        <v>106</v>
      </c>
      <c r="F14" s="28">
        <f>50+0</f>
        <v>50</v>
      </c>
      <c r="G14" s="7">
        <v>1003</v>
      </c>
      <c r="H14" s="31">
        <v>0.5</v>
      </c>
      <c r="I14" s="31"/>
      <c r="J14" s="16">
        <f t="shared" ref="J14:J77" si="8">IF(AND(F14*H14&gt;I14,I14&gt;0),I14, F14*H14)</f>
        <v>25</v>
      </c>
      <c r="K14" s="7">
        <v>1010</v>
      </c>
      <c r="L14" s="31">
        <v>0.5</v>
      </c>
      <c r="M14" s="31"/>
      <c r="N14" s="16">
        <f t="shared" si="4"/>
        <v>25</v>
      </c>
      <c r="O14" s="7"/>
      <c r="P14" s="31"/>
      <c r="Q14" s="31"/>
      <c r="R14" s="16">
        <f t="shared" si="5"/>
        <v>0</v>
      </c>
      <c r="S14" s="7"/>
      <c r="T14" s="31"/>
      <c r="U14" s="31"/>
      <c r="V14" s="16">
        <f t="shared" si="6"/>
        <v>0</v>
      </c>
      <c r="W14" s="7"/>
      <c r="X14" s="33"/>
      <c r="Y14" s="33"/>
      <c r="Z14" s="16">
        <f t="shared" si="7"/>
        <v>0</v>
      </c>
    </row>
    <row r="15" spans="1:26" x14ac:dyDescent="0.35">
      <c r="A15" s="7">
        <v>12</v>
      </c>
      <c r="B15" s="2" t="s">
        <v>103</v>
      </c>
      <c r="C15" s="8" t="s">
        <v>102</v>
      </c>
      <c r="D15" s="13">
        <v>35065</v>
      </c>
      <c r="E15" s="9" t="s">
        <v>106</v>
      </c>
      <c r="F15" s="45"/>
      <c r="G15" s="7">
        <v>1003</v>
      </c>
      <c r="H15" s="31">
        <v>0.5</v>
      </c>
      <c r="I15" s="31"/>
      <c r="J15" s="16">
        <f t="shared" si="8"/>
        <v>0</v>
      </c>
      <c r="K15" s="7">
        <v>1010</v>
      </c>
      <c r="L15" s="31">
        <v>0.5</v>
      </c>
      <c r="M15" s="31"/>
      <c r="N15" s="16">
        <f t="shared" si="4"/>
        <v>0</v>
      </c>
      <c r="O15" s="7"/>
      <c r="P15" s="31"/>
      <c r="Q15" s="31"/>
      <c r="R15" s="16">
        <f t="shared" si="5"/>
        <v>0</v>
      </c>
      <c r="S15" s="7"/>
      <c r="T15" s="31"/>
      <c r="U15" s="31"/>
      <c r="V15" s="16">
        <f t="shared" si="6"/>
        <v>0</v>
      </c>
      <c r="W15" s="7"/>
      <c r="X15" s="33"/>
      <c r="Y15" s="33"/>
      <c r="Z15" s="16">
        <f t="shared" si="7"/>
        <v>0</v>
      </c>
    </row>
    <row r="16" spans="1:26" x14ac:dyDescent="0.35">
      <c r="A16" s="7">
        <v>13</v>
      </c>
      <c r="B16" s="8" t="s">
        <v>104</v>
      </c>
      <c r="C16" s="8" t="s">
        <v>105</v>
      </c>
      <c r="D16" s="13">
        <v>38718</v>
      </c>
      <c r="E16" s="9">
        <v>503</v>
      </c>
      <c r="F16" s="45"/>
      <c r="G16" s="7">
        <v>1003</v>
      </c>
      <c r="H16" s="31">
        <v>0.5</v>
      </c>
      <c r="I16" s="31"/>
      <c r="J16" s="16">
        <f t="shared" si="8"/>
        <v>0</v>
      </c>
      <c r="K16" s="7"/>
      <c r="L16" s="31"/>
      <c r="M16" s="31"/>
      <c r="N16" s="16">
        <f t="shared" si="4"/>
        <v>0</v>
      </c>
      <c r="O16" s="7"/>
      <c r="P16" s="31"/>
      <c r="Q16" s="31"/>
      <c r="R16" s="16">
        <f t="shared" si="5"/>
        <v>0</v>
      </c>
      <c r="S16" s="7"/>
      <c r="T16" s="31"/>
      <c r="U16" s="31"/>
      <c r="V16" s="16">
        <f t="shared" si="6"/>
        <v>0</v>
      </c>
      <c r="W16" s="7"/>
      <c r="X16" s="33"/>
      <c r="Y16" s="33"/>
      <c r="Z16" s="16">
        <f t="shared" si="7"/>
        <v>0</v>
      </c>
    </row>
    <row r="17" spans="1:26" x14ac:dyDescent="0.35">
      <c r="A17" s="7">
        <v>14</v>
      </c>
      <c r="B17" s="8" t="s">
        <v>107</v>
      </c>
      <c r="C17" s="8" t="s">
        <v>108</v>
      </c>
      <c r="D17" s="13">
        <v>41275</v>
      </c>
      <c r="E17" s="9"/>
      <c r="F17" s="45"/>
      <c r="G17" s="7">
        <v>1011</v>
      </c>
      <c r="H17" s="31">
        <v>1</v>
      </c>
      <c r="I17" s="31"/>
      <c r="J17" s="16">
        <f t="shared" si="8"/>
        <v>0</v>
      </c>
      <c r="K17" s="7"/>
      <c r="L17" s="31"/>
      <c r="M17" s="31"/>
      <c r="N17" s="16">
        <f t="shared" si="4"/>
        <v>0</v>
      </c>
      <c r="O17" s="7"/>
      <c r="P17" s="31"/>
      <c r="Q17" s="31"/>
      <c r="R17" s="16">
        <f t="shared" si="5"/>
        <v>0</v>
      </c>
      <c r="S17" s="7"/>
      <c r="T17" s="31"/>
      <c r="U17" s="31"/>
      <c r="V17" s="16">
        <f t="shared" si="6"/>
        <v>0</v>
      </c>
      <c r="W17" s="7"/>
      <c r="X17" s="33"/>
      <c r="Y17" s="33"/>
      <c r="Z17" s="16">
        <f t="shared" si="7"/>
        <v>0</v>
      </c>
    </row>
    <row r="18" spans="1:26" x14ac:dyDescent="0.35">
      <c r="A18" s="7">
        <v>15</v>
      </c>
      <c r="B18" s="8" t="s">
        <v>119</v>
      </c>
      <c r="C18" s="8" t="s">
        <v>120</v>
      </c>
      <c r="D18" s="13">
        <v>30400</v>
      </c>
      <c r="E18" s="9">
        <v>502</v>
      </c>
      <c r="F18" s="28">
        <v>40</v>
      </c>
      <c r="G18" s="7">
        <v>1002</v>
      </c>
      <c r="H18" s="31">
        <v>0.5</v>
      </c>
      <c r="I18" s="31"/>
      <c r="J18" s="16">
        <f t="shared" si="8"/>
        <v>20</v>
      </c>
      <c r="K18" s="7">
        <v>1012</v>
      </c>
      <c r="L18" s="31">
        <v>1</v>
      </c>
      <c r="M18" s="31">
        <v>20</v>
      </c>
      <c r="N18" s="16">
        <f t="shared" si="4"/>
        <v>20</v>
      </c>
      <c r="O18" s="7"/>
      <c r="P18" s="31"/>
      <c r="Q18" s="31"/>
      <c r="R18" s="16">
        <f t="shared" si="5"/>
        <v>0</v>
      </c>
      <c r="S18" s="7"/>
      <c r="T18" s="31"/>
      <c r="U18" s="31"/>
      <c r="V18" s="16">
        <f t="shared" si="6"/>
        <v>0</v>
      </c>
      <c r="W18" s="7"/>
      <c r="X18" s="33"/>
      <c r="Y18" s="33"/>
      <c r="Z18" s="16">
        <f t="shared" si="7"/>
        <v>0</v>
      </c>
    </row>
    <row r="19" spans="1:26" x14ac:dyDescent="0.35">
      <c r="A19" s="7">
        <v>16</v>
      </c>
      <c r="B19" s="8" t="s">
        <v>121</v>
      </c>
      <c r="C19" s="8" t="s">
        <v>122</v>
      </c>
      <c r="D19" s="13">
        <v>29380</v>
      </c>
      <c r="E19" s="9">
        <v>502</v>
      </c>
      <c r="F19" s="28">
        <f>40+0</f>
        <v>40</v>
      </c>
      <c r="G19" s="7">
        <v>1002</v>
      </c>
      <c r="H19" s="31">
        <v>0.5</v>
      </c>
      <c r="I19" s="31"/>
      <c r="J19" s="16">
        <f t="shared" si="8"/>
        <v>20</v>
      </c>
      <c r="K19" s="7">
        <v>1014</v>
      </c>
      <c r="L19" s="31">
        <v>0.5</v>
      </c>
      <c r="M19" s="31"/>
      <c r="N19" s="16">
        <f t="shared" si="4"/>
        <v>20</v>
      </c>
      <c r="O19" s="7"/>
      <c r="P19" s="31"/>
      <c r="Q19" s="31"/>
      <c r="R19" s="16">
        <f t="shared" si="5"/>
        <v>0</v>
      </c>
      <c r="S19" s="7"/>
      <c r="T19" s="31"/>
      <c r="U19" s="31"/>
      <c r="V19" s="16">
        <f t="shared" si="6"/>
        <v>0</v>
      </c>
      <c r="W19" s="7"/>
      <c r="X19" s="33"/>
      <c r="Y19" s="33"/>
      <c r="Z19" s="16">
        <f t="shared" si="7"/>
        <v>0</v>
      </c>
    </row>
    <row r="20" spans="1:26" x14ac:dyDescent="0.35">
      <c r="A20" s="7">
        <v>17</v>
      </c>
      <c r="B20" s="8" t="s">
        <v>121</v>
      </c>
      <c r="C20" s="8" t="s">
        <v>123</v>
      </c>
      <c r="D20" s="13">
        <v>42230</v>
      </c>
      <c r="E20" s="9">
        <v>502</v>
      </c>
      <c r="F20" s="28">
        <v>14</v>
      </c>
      <c r="G20" s="7">
        <v>1002</v>
      </c>
      <c r="H20" s="31">
        <v>0.5</v>
      </c>
      <c r="I20" s="31"/>
      <c r="J20" s="16">
        <f t="shared" si="8"/>
        <v>7</v>
      </c>
      <c r="K20" s="7">
        <v>1013</v>
      </c>
      <c r="L20" s="31">
        <v>0.5</v>
      </c>
      <c r="M20" s="31"/>
      <c r="N20" s="16">
        <f t="shared" si="4"/>
        <v>7</v>
      </c>
      <c r="O20" s="7"/>
      <c r="P20" s="31"/>
      <c r="Q20" s="31"/>
      <c r="R20" s="16">
        <f t="shared" si="5"/>
        <v>0</v>
      </c>
      <c r="S20" s="7"/>
      <c r="T20" s="31"/>
      <c r="U20" s="31"/>
      <c r="V20" s="16">
        <f t="shared" si="6"/>
        <v>0</v>
      </c>
      <c r="W20" s="7"/>
      <c r="X20" s="33"/>
      <c r="Y20" s="33"/>
      <c r="Z20" s="16">
        <f t="shared" si="7"/>
        <v>0</v>
      </c>
    </row>
    <row r="21" spans="1:26" x14ac:dyDescent="0.35">
      <c r="A21" s="7">
        <v>18</v>
      </c>
      <c r="B21" s="8" t="s">
        <v>124</v>
      </c>
      <c r="C21" s="8" t="s">
        <v>125</v>
      </c>
      <c r="D21" s="13">
        <v>41282</v>
      </c>
      <c r="E21" s="9">
        <v>502</v>
      </c>
      <c r="F21" s="28">
        <v>92</v>
      </c>
      <c r="G21" s="7">
        <v>1015</v>
      </c>
      <c r="H21" s="31">
        <v>1</v>
      </c>
      <c r="I21" s="31"/>
      <c r="J21" s="16">
        <f t="shared" si="8"/>
        <v>92</v>
      </c>
      <c r="K21" s="7">
        <v>1015</v>
      </c>
      <c r="L21" s="31">
        <v>1</v>
      </c>
      <c r="M21" s="31"/>
      <c r="N21" s="16">
        <f t="shared" si="4"/>
        <v>92</v>
      </c>
      <c r="O21" s="7">
        <v>1016</v>
      </c>
      <c r="P21" s="31">
        <v>1</v>
      </c>
      <c r="Q21" s="31">
        <v>20</v>
      </c>
      <c r="R21" s="16">
        <f t="shared" si="5"/>
        <v>20</v>
      </c>
      <c r="S21" s="7"/>
      <c r="T21" s="31"/>
      <c r="U21" s="31"/>
      <c r="V21" s="16">
        <f t="shared" si="6"/>
        <v>0</v>
      </c>
      <c r="W21" s="7"/>
      <c r="X21" s="33"/>
      <c r="Y21" s="33"/>
      <c r="Z21" s="16">
        <f t="shared" si="7"/>
        <v>0</v>
      </c>
    </row>
    <row r="22" spans="1:26" x14ac:dyDescent="0.35">
      <c r="A22" s="7">
        <v>19</v>
      </c>
      <c r="B22" s="8" t="s">
        <v>126</v>
      </c>
      <c r="C22" s="8" t="s">
        <v>127</v>
      </c>
      <c r="D22" s="13">
        <v>33150</v>
      </c>
      <c r="E22" s="9">
        <v>502</v>
      </c>
      <c r="F22" s="28">
        <v>42</v>
      </c>
      <c r="G22" s="7">
        <v>1002</v>
      </c>
      <c r="H22" s="31">
        <v>0.5</v>
      </c>
      <c r="I22" s="31"/>
      <c r="J22" s="16">
        <f t="shared" si="8"/>
        <v>21</v>
      </c>
      <c r="K22" s="7">
        <v>1017</v>
      </c>
      <c r="L22" s="31">
        <v>100</v>
      </c>
      <c r="M22" s="31">
        <v>100</v>
      </c>
      <c r="N22" s="16">
        <f t="shared" si="4"/>
        <v>100</v>
      </c>
      <c r="O22" s="7"/>
      <c r="P22" s="31"/>
      <c r="Q22" s="31"/>
      <c r="R22" s="16">
        <f t="shared" si="5"/>
        <v>0</v>
      </c>
      <c r="S22" s="7"/>
      <c r="T22" s="31"/>
      <c r="U22" s="31"/>
      <c r="V22" s="16">
        <f t="shared" si="6"/>
        <v>0</v>
      </c>
      <c r="W22" s="7"/>
      <c r="X22" s="33"/>
      <c r="Y22" s="33"/>
      <c r="Z22" s="16">
        <f t="shared" si="7"/>
        <v>0</v>
      </c>
    </row>
    <row r="23" spans="1:26" x14ac:dyDescent="0.35">
      <c r="A23" s="7">
        <v>20</v>
      </c>
      <c r="B23" s="8" t="s">
        <v>128</v>
      </c>
      <c r="C23" s="8" t="s">
        <v>129</v>
      </c>
      <c r="D23" s="13">
        <v>42602</v>
      </c>
      <c r="E23" s="9">
        <v>502</v>
      </c>
      <c r="F23" s="28">
        <v>58</v>
      </c>
      <c r="G23" s="7">
        <v>1002</v>
      </c>
      <c r="H23" s="31">
        <v>0.5</v>
      </c>
      <c r="I23" s="31"/>
      <c r="J23" s="16">
        <f t="shared" si="8"/>
        <v>29</v>
      </c>
      <c r="K23" s="7">
        <v>1018</v>
      </c>
      <c r="L23" s="31">
        <v>2</v>
      </c>
      <c r="M23" s="31"/>
      <c r="N23" s="16">
        <f t="shared" si="4"/>
        <v>116</v>
      </c>
      <c r="O23" s="7">
        <v>1019</v>
      </c>
      <c r="P23" s="31">
        <v>2</v>
      </c>
      <c r="Q23" s="31">
        <v>50</v>
      </c>
      <c r="R23" s="16">
        <f t="shared" si="5"/>
        <v>50</v>
      </c>
      <c r="S23" s="7">
        <v>1020</v>
      </c>
      <c r="T23" s="31">
        <v>2</v>
      </c>
      <c r="U23" s="31">
        <v>50</v>
      </c>
      <c r="V23" s="16">
        <f t="shared" si="6"/>
        <v>50</v>
      </c>
      <c r="W23" s="7"/>
      <c r="X23" s="33"/>
      <c r="Y23" s="33"/>
      <c r="Z23" s="16">
        <f t="shared" si="7"/>
        <v>0</v>
      </c>
    </row>
    <row r="24" spans="1:26" x14ac:dyDescent="0.35">
      <c r="A24" s="7">
        <v>21</v>
      </c>
      <c r="B24" s="8" t="s">
        <v>124</v>
      </c>
      <c r="C24" s="8" t="s">
        <v>130</v>
      </c>
      <c r="D24" s="13">
        <v>42251</v>
      </c>
      <c r="E24" s="9">
        <v>502</v>
      </c>
      <c r="F24" s="28">
        <v>40</v>
      </c>
      <c r="G24" s="7">
        <v>1002</v>
      </c>
      <c r="H24" s="31">
        <v>0.5</v>
      </c>
      <c r="I24" s="31"/>
      <c r="J24" s="16">
        <f t="shared" si="8"/>
        <v>20</v>
      </c>
      <c r="K24" s="7">
        <v>1015</v>
      </c>
      <c r="L24" s="31">
        <v>1</v>
      </c>
      <c r="M24" s="31"/>
      <c r="N24" s="16">
        <f t="shared" si="4"/>
        <v>40</v>
      </c>
      <c r="O24" s="7">
        <v>1016</v>
      </c>
      <c r="P24" s="31">
        <v>1</v>
      </c>
      <c r="Q24" s="31">
        <v>20</v>
      </c>
      <c r="R24" s="16">
        <f t="shared" si="5"/>
        <v>20</v>
      </c>
      <c r="S24" s="7"/>
      <c r="T24" s="31"/>
      <c r="U24" s="31"/>
      <c r="V24" s="16">
        <f t="shared" si="6"/>
        <v>0</v>
      </c>
      <c r="W24" s="7"/>
      <c r="X24" s="33"/>
      <c r="Y24" s="33"/>
      <c r="Z24" s="16">
        <f t="shared" si="7"/>
        <v>0</v>
      </c>
    </row>
    <row r="25" spans="1:26" x14ac:dyDescent="0.35">
      <c r="A25" s="7">
        <v>22</v>
      </c>
      <c r="B25" s="8" t="s">
        <v>133</v>
      </c>
      <c r="C25" s="8" t="s">
        <v>134</v>
      </c>
      <c r="D25" s="13">
        <v>42624</v>
      </c>
      <c r="E25" s="9">
        <v>502</v>
      </c>
      <c r="F25" s="28">
        <v>30</v>
      </c>
      <c r="G25" s="7">
        <v>1002</v>
      </c>
      <c r="H25" s="31">
        <v>0.5</v>
      </c>
      <c r="I25" s="31"/>
      <c r="J25" s="16">
        <f t="shared" si="8"/>
        <v>15</v>
      </c>
      <c r="K25" s="7">
        <v>1022</v>
      </c>
      <c r="L25" s="31">
        <v>2</v>
      </c>
      <c r="M25" s="31"/>
      <c r="N25" s="16">
        <f t="shared" si="4"/>
        <v>60</v>
      </c>
      <c r="O25" s="7">
        <v>1023</v>
      </c>
      <c r="P25" s="31">
        <v>2</v>
      </c>
      <c r="Q25" s="31"/>
      <c r="R25" s="16">
        <f t="shared" si="5"/>
        <v>60</v>
      </c>
      <c r="S25" s="7">
        <v>1014</v>
      </c>
      <c r="T25" s="31">
        <v>2</v>
      </c>
      <c r="U25" s="31"/>
      <c r="V25" s="16">
        <f t="shared" si="6"/>
        <v>60</v>
      </c>
      <c r="W25" s="7"/>
      <c r="X25" s="33"/>
      <c r="Y25" s="33"/>
      <c r="Z25" s="16">
        <f t="shared" si="7"/>
        <v>0</v>
      </c>
    </row>
    <row r="26" spans="1:26" x14ac:dyDescent="0.35">
      <c r="A26" s="7">
        <v>23</v>
      </c>
      <c r="B26" s="8" t="s">
        <v>135</v>
      </c>
      <c r="C26" s="8" t="s">
        <v>136</v>
      </c>
      <c r="D26" s="13">
        <v>37401</v>
      </c>
      <c r="E26" s="9">
        <v>502</v>
      </c>
      <c r="F26" s="28">
        <v>59</v>
      </c>
      <c r="G26" s="7">
        <v>1002</v>
      </c>
      <c r="H26" s="31">
        <v>0.5</v>
      </c>
      <c r="I26" s="31"/>
      <c r="J26" s="16">
        <f t="shared" si="8"/>
        <v>29.5</v>
      </c>
      <c r="K26" s="7">
        <v>1025</v>
      </c>
      <c r="L26" s="31">
        <v>0.5</v>
      </c>
      <c r="M26" s="31"/>
      <c r="N26" s="16">
        <f t="shared" si="4"/>
        <v>29.5</v>
      </c>
      <c r="O26" s="7"/>
      <c r="P26" s="31"/>
      <c r="Q26" s="31"/>
      <c r="R26" s="16">
        <f t="shared" si="5"/>
        <v>0</v>
      </c>
      <c r="S26" s="7"/>
      <c r="T26" s="31"/>
      <c r="U26" s="31"/>
      <c r="V26" s="16">
        <f t="shared" si="6"/>
        <v>0</v>
      </c>
      <c r="W26" s="7"/>
      <c r="X26" s="33"/>
      <c r="Y26" s="33"/>
      <c r="Z26" s="16">
        <f t="shared" si="7"/>
        <v>0</v>
      </c>
    </row>
    <row r="27" spans="1:26" x14ac:dyDescent="0.35">
      <c r="A27" s="7">
        <v>24</v>
      </c>
      <c r="B27" s="8" t="s">
        <v>137</v>
      </c>
      <c r="C27" s="8" t="s">
        <v>138</v>
      </c>
      <c r="D27" s="13">
        <v>20973</v>
      </c>
      <c r="E27" s="9">
        <v>505</v>
      </c>
      <c r="F27" s="28">
        <v>30</v>
      </c>
      <c r="G27" s="7">
        <v>1029</v>
      </c>
      <c r="H27" s="31">
        <v>0.5</v>
      </c>
      <c r="I27" s="31"/>
      <c r="J27" s="16">
        <f t="shared" si="8"/>
        <v>15</v>
      </c>
      <c r="K27" s="7"/>
      <c r="L27" s="31"/>
      <c r="M27" s="31"/>
      <c r="N27" s="16">
        <f t="shared" si="4"/>
        <v>0</v>
      </c>
      <c r="O27" s="7"/>
      <c r="P27" s="31"/>
      <c r="Q27" s="31"/>
      <c r="R27" s="16">
        <f t="shared" si="5"/>
        <v>0</v>
      </c>
      <c r="S27" s="7"/>
      <c r="T27" s="31"/>
      <c r="U27" s="31"/>
      <c r="V27" s="16">
        <f t="shared" si="6"/>
        <v>0</v>
      </c>
      <c r="W27" s="7"/>
      <c r="X27" s="33"/>
      <c r="Y27" s="33"/>
      <c r="Z27" s="16">
        <f t="shared" si="7"/>
        <v>0</v>
      </c>
    </row>
    <row r="28" spans="1:26" x14ac:dyDescent="0.35">
      <c r="A28" s="7">
        <v>25</v>
      </c>
      <c r="B28" s="8" t="s">
        <v>131</v>
      </c>
      <c r="C28" s="8" t="s">
        <v>132</v>
      </c>
      <c r="D28" s="13">
        <v>34948</v>
      </c>
      <c r="E28" s="9">
        <v>502</v>
      </c>
      <c r="F28" s="28">
        <v>58</v>
      </c>
      <c r="G28" s="7">
        <v>1002</v>
      </c>
      <c r="H28" s="31">
        <v>0.5</v>
      </c>
      <c r="I28" s="31"/>
      <c r="J28" s="16">
        <f t="shared" si="8"/>
        <v>29</v>
      </c>
      <c r="K28" s="7">
        <v>1021</v>
      </c>
      <c r="L28" s="31">
        <v>5</v>
      </c>
      <c r="M28" s="31">
        <v>100</v>
      </c>
      <c r="N28" s="16">
        <f t="shared" si="4"/>
        <v>100</v>
      </c>
      <c r="O28" s="7"/>
      <c r="P28" s="31"/>
      <c r="Q28" s="31"/>
      <c r="R28" s="16">
        <f t="shared" si="5"/>
        <v>0</v>
      </c>
      <c r="S28" s="7"/>
      <c r="T28" s="31"/>
      <c r="U28" s="31"/>
      <c r="V28" s="16">
        <f t="shared" si="6"/>
        <v>0</v>
      </c>
      <c r="W28" s="7"/>
      <c r="X28" s="33"/>
      <c r="Y28" s="33"/>
      <c r="Z28" s="16">
        <f t="shared" si="7"/>
        <v>0</v>
      </c>
    </row>
    <row r="29" spans="1:26" x14ac:dyDescent="0.35">
      <c r="A29" s="7">
        <v>26</v>
      </c>
      <c r="B29" s="8" t="s">
        <v>139</v>
      </c>
      <c r="C29" s="8" t="s">
        <v>140</v>
      </c>
      <c r="D29" s="13">
        <v>41321</v>
      </c>
      <c r="E29" s="9">
        <v>505</v>
      </c>
      <c r="F29" s="28">
        <v>68</v>
      </c>
      <c r="G29" s="7">
        <v>1029</v>
      </c>
      <c r="H29" s="31">
        <v>0.5</v>
      </c>
      <c r="I29" s="31"/>
      <c r="J29" s="16">
        <f t="shared" si="8"/>
        <v>34</v>
      </c>
      <c r="K29" s="7">
        <v>1026</v>
      </c>
      <c r="L29" s="31">
        <v>1</v>
      </c>
      <c r="M29" s="31">
        <v>50</v>
      </c>
      <c r="N29" s="16">
        <f t="shared" si="4"/>
        <v>50</v>
      </c>
      <c r="O29" s="7">
        <v>1027</v>
      </c>
      <c r="P29" s="31">
        <v>2</v>
      </c>
      <c r="Q29" s="31"/>
      <c r="R29" s="16">
        <f t="shared" si="5"/>
        <v>136</v>
      </c>
      <c r="S29" s="7">
        <v>1028</v>
      </c>
      <c r="T29" s="31">
        <v>1</v>
      </c>
      <c r="U29" s="31"/>
      <c r="V29" s="16">
        <f t="shared" si="6"/>
        <v>68</v>
      </c>
      <c r="W29" s="7"/>
      <c r="X29" s="33"/>
      <c r="Y29" s="33"/>
      <c r="Z29" s="16">
        <f t="shared" si="7"/>
        <v>0</v>
      </c>
    </row>
    <row r="30" spans="1:26" x14ac:dyDescent="0.35">
      <c r="A30" s="7">
        <v>27</v>
      </c>
      <c r="B30" s="8" t="s">
        <v>139</v>
      </c>
      <c r="C30" s="8" t="s">
        <v>141</v>
      </c>
      <c r="D30" s="13">
        <v>41926</v>
      </c>
      <c r="E30" s="9">
        <v>505</v>
      </c>
      <c r="F30" s="28">
        <v>80</v>
      </c>
      <c r="G30" s="7">
        <v>1029</v>
      </c>
      <c r="H30" s="31">
        <v>0.5</v>
      </c>
      <c r="I30" s="31"/>
      <c r="J30" s="16">
        <f t="shared" si="8"/>
        <v>40</v>
      </c>
      <c r="K30" s="7">
        <v>1026</v>
      </c>
      <c r="L30" s="31">
        <v>1</v>
      </c>
      <c r="M30" s="31">
        <v>50</v>
      </c>
      <c r="N30" s="16">
        <f t="shared" si="4"/>
        <v>50</v>
      </c>
      <c r="O30" s="7">
        <v>1027</v>
      </c>
      <c r="P30" s="31">
        <v>2</v>
      </c>
      <c r="Q30" s="31"/>
      <c r="R30" s="16">
        <f t="shared" si="5"/>
        <v>160</v>
      </c>
      <c r="S30" s="7">
        <v>1028</v>
      </c>
      <c r="T30" s="31">
        <v>1</v>
      </c>
      <c r="U30" s="31"/>
      <c r="V30" s="16">
        <f t="shared" si="6"/>
        <v>80</v>
      </c>
      <c r="W30" s="7"/>
      <c r="X30" s="33"/>
      <c r="Y30" s="33"/>
      <c r="Z30" s="16">
        <f t="shared" si="7"/>
        <v>0</v>
      </c>
    </row>
    <row r="31" spans="1:26" x14ac:dyDescent="0.35">
      <c r="A31" s="7">
        <v>28</v>
      </c>
      <c r="B31" s="8" t="s">
        <v>142</v>
      </c>
      <c r="C31" s="8" t="s">
        <v>143</v>
      </c>
      <c r="D31" s="13">
        <v>41849</v>
      </c>
      <c r="E31" s="9">
        <v>502</v>
      </c>
      <c r="F31" s="28">
        <v>82</v>
      </c>
      <c r="G31" s="7">
        <v>1002</v>
      </c>
      <c r="H31" s="31">
        <v>0.5</v>
      </c>
      <c r="I31" s="31"/>
      <c r="J31" s="16">
        <f t="shared" si="8"/>
        <v>41</v>
      </c>
      <c r="K31" s="7">
        <v>1030</v>
      </c>
      <c r="L31" s="31">
        <v>2</v>
      </c>
      <c r="M31" s="31">
        <v>50</v>
      </c>
      <c r="N31" s="16">
        <f t="shared" si="4"/>
        <v>50</v>
      </c>
      <c r="O31" s="7">
        <v>1031</v>
      </c>
      <c r="P31" s="31">
        <v>1.5</v>
      </c>
      <c r="Q31" s="31">
        <v>70</v>
      </c>
      <c r="R31" s="16">
        <f t="shared" si="5"/>
        <v>70</v>
      </c>
      <c r="S31" s="7"/>
      <c r="T31" s="31"/>
      <c r="U31" s="31"/>
      <c r="V31" s="16">
        <f t="shared" si="6"/>
        <v>0</v>
      </c>
      <c r="W31" s="7"/>
      <c r="X31" s="33"/>
      <c r="Y31" s="33"/>
      <c r="Z31" s="16">
        <f t="shared" si="7"/>
        <v>0</v>
      </c>
    </row>
    <row r="32" spans="1:26" x14ac:dyDescent="0.35">
      <c r="A32" s="7">
        <v>29</v>
      </c>
      <c r="B32" s="8" t="s">
        <v>144</v>
      </c>
      <c r="C32" s="8" t="s">
        <v>145</v>
      </c>
      <c r="D32" s="13">
        <v>42213</v>
      </c>
      <c r="E32" s="9"/>
      <c r="F32" s="28">
        <v>60</v>
      </c>
      <c r="G32" s="7">
        <v>1032</v>
      </c>
      <c r="H32" s="31">
        <v>0.5</v>
      </c>
      <c r="I32" s="31"/>
      <c r="J32" s="16">
        <f t="shared" si="8"/>
        <v>30</v>
      </c>
      <c r="K32" s="7"/>
      <c r="L32" s="31"/>
      <c r="M32" s="31"/>
      <c r="N32" s="16">
        <f t="shared" si="4"/>
        <v>0</v>
      </c>
      <c r="O32" s="7"/>
      <c r="P32" s="31"/>
      <c r="Q32" s="31"/>
      <c r="R32" s="16">
        <f t="shared" si="5"/>
        <v>0</v>
      </c>
      <c r="S32" s="7"/>
      <c r="T32" s="31"/>
      <c r="U32" s="31"/>
      <c r="V32" s="16">
        <f t="shared" si="6"/>
        <v>0</v>
      </c>
      <c r="W32" s="7"/>
      <c r="X32" s="33"/>
      <c r="Y32" s="33"/>
      <c r="Z32" s="16">
        <f t="shared" si="7"/>
        <v>0</v>
      </c>
    </row>
    <row r="33" spans="1:26" x14ac:dyDescent="0.35">
      <c r="A33" s="7">
        <v>30</v>
      </c>
      <c r="B33" s="8" t="s">
        <v>146</v>
      </c>
      <c r="C33" s="8" t="s">
        <v>147</v>
      </c>
      <c r="D33" s="13">
        <v>42053</v>
      </c>
      <c r="E33" s="9">
        <v>503</v>
      </c>
      <c r="F33" s="28">
        <v>98</v>
      </c>
      <c r="G33" s="7">
        <v>1003</v>
      </c>
      <c r="H33" s="31">
        <v>0.5</v>
      </c>
      <c r="I33" s="31"/>
      <c r="J33" s="16">
        <f t="shared" si="8"/>
        <v>49</v>
      </c>
      <c r="K33" s="7">
        <v>1033</v>
      </c>
      <c r="L33" s="31">
        <v>1</v>
      </c>
      <c r="M33" s="31">
        <v>60</v>
      </c>
      <c r="N33" s="16">
        <f t="shared" si="4"/>
        <v>60</v>
      </c>
      <c r="O33" s="7"/>
      <c r="P33" s="31"/>
      <c r="Q33" s="31"/>
      <c r="R33" s="16">
        <f t="shared" si="5"/>
        <v>0</v>
      </c>
      <c r="S33" s="7"/>
      <c r="T33" s="31"/>
      <c r="U33" s="31"/>
      <c r="V33" s="16">
        <f t="shared" si="6"/>
        <v>0</v>
      </c>
      <c r="W33" s="7"/>
      <c r="X33" s="33"/>
      <c r="Y33" s="33"/>
      <c r="Z33" s="16">
        <f t="shared" si="7"/>
        <v>0</v>
      </c>
    </row>
    <row r="34" spans="1:26" x14ac:dyDescent="0.35">
      <c r="A34" s="7">
        <v>31</v>
      </c>
      <c r="B34" s="8" t="s">
        <v>148</v>
      </c>
      <c r="C34" s="8" t="s">
        <v>149</v>
      </c>
      <c r="D34" s="13">
        <v>42325</v>
      </c>
      <c r="E34" s="9">
        <v>503</v>
      </c>
      <c r="F34" s="28">
        <v>50</v>
      </c>
      <c r="G34" s="7">
        <v>1003</v>
      </c>
      <c r="H34" s="31">
        <v>0.5</v>
      </c>
      <c r="I34" s="31"/>
      <c r="J34" s="16">
        <f t="shared" si="8"/>
        <v>25</v>
      </c>
      <c r="K34" s="7">
        <v>1035</v>
      </c>
      <c r="L34" s="31">
        <v>2</v>
      </c>
      <c r="M34" s="31">
        <v>100</v>
      </c>
      <c r="N34" s="16">
        <f t="shared" si="4"/>
        <v>100</v>
      </c>
      <c r="O34" s="7">
        <v>1036</v>
      </c>
      <c r="P34" s="31">
        <v>1</v>
      </c>
      <c r="Q34" s="31">
        <v>40</v>
      </c>
      <c r="R34" s="16">
        <f t="shared" si="5"/>
        <v>40</v>
      </c>
      <c r="S34" s="7">
        <v>1037</v>
      </c>
      <c r="T34" s="31">
        <v>3</v>
      </c>
      <c r="U34" s="31"/>
      <c r="V34" s="16">
        <f t="shared" si="6"/>
        <v>150</v>
      </c>
      <c r="W34" s="7"/>
      <c r="X34" s="33"/>
      <c r="Y34" s="33"/>
      <c r="Z34" s="16">
        <f t="shared" si="7"/>
        <v>0</v>
      </c>
    </row>
    <row r="35" spans="1:26" x14ac:dyDescent="0.35">
      <c r="A35" s="7">
        <v>32</v>
      </c>
      <c r="B35" s="8" t="s">
        <v>194</v>
      </c>
      <c r="C35" s="8" t="s">
        <v>195</v>
      </c>
      <c r="D35" s="13">
        <v>42205</v>
      </c>
      <c r="E35" s="9">
        <v>503</v>
      </c>
      <c r="F35" s="44">
        <v>80</v>
      </c>
      <c r="G35" s="7">
        <v>1003</v>
      </c>
      <c r="H35" s="31">
        <v>0.5</v>
      </c>
      <c r="I35" s="31"/>
      <c r="J35" s="16">
        <f t="shared" si="8"/>
        <v>40</v>
      </c>
      <c r="K35" s="7">
        <v>1035</v>
      </c>
      <c r="L35" s="31">
        <v>2</v>
      </c>
      <c r="M35" s="31">
        <v>100</v>
      </c>
      <c r="N35" s="16">
        <f t="shared" si="4"/>
        <v>100</v>
      </c>
      <c r="O35" s="7">
        <v>1036</v>
      </c>
      <c r="P35" s="31">
        <v>1</v>
      </c>
      <c r="Q35" s="31">
        <v>40</v>
      </c>
      <c r="R35" s="16">
        <f t="shared" si="5"/>
        <v>40</v>
      </c>
      <c r="S35" s="7">
        <v>1037</v>
      </c>
      <c r="T35" s="31">
        <v>3</v>
      </c>
      <c r="U35" s="31"/>
      <c r="V35" s="16">
        <f t="shared" si="6"/>
        <v>240</v>
      </c>
      <c r="W35" s="7"/>
      <c r="X35" s="33"/>
      <c r="Y35" s="33"/>
      <c r="Z35" s="16">
        <f t="shared" si="7"/>
        <v>0</v>
      </c>
    </row>
    <row r="36" spans="1:26" x14ac:dyDescent="0.35">
      <c r="A36" s="7">
        <v>33</v>
      </c>
      <c r="B36" s="8" t="s">
        <v>150</v>
      </c>
      <c r="C36" s="8" t="s">
        <v>65</v>
      </c>
      <c r="D36" s="13">
        <v>27495</v>
      </c>
      <c r="E36" s="9">
        <v>502</v>
      </c>
      <c r="F36" s="28">
        <v>58</v>
      </c>
      <c r="G36" s="7">
        <v>1002</v>
      </c>
      <c r="H36" s="31">
        <v>0.5</v>
      </c>
      <c r="I36" s="31"/>
      <c r="J36" s="16">
        <f t="shared" si="8"/>
        <v>29</v>
      </c>
      <c r="K36" s="7"/>
      <c r="L36" s="31"/>
      <c r="M36" s="31"/>
      <c r="N36" s="16">
        <f t="shared" si="4"/>
        <v>0</v>
      </c>
      <c r="O36" s="7"/>
      <c r="P36" s="31"/>
      <c r="Q36" s="31"/>
      <c r="R36" s="16">
        <f t="shared" si="5"/>
        <v>0</v>
      </c>
      <c r="S36" s="7"/>
      <c r="T36" s="31"/>
      <c r="U36" s="31"/>
      <c r="V36" s="16">
        <f t="shared" si="6"/>
        <v>0</v>
      </c>
      <c r="W36" s="7"/>
      <c r="X36" s="33"/>
      <c r="Y36" s="33"/>
      <c r="Z36" s="16">
        <f t="shared" si="7"/>
        <v>0</v>
      </c>
    </row>
    <row r="37" spans="1:26" x14ac:dyDescent="0.35">
      <c r="A37" s="7">
        <v>34</v>
      </c>
      <c r="B37" s="8" t="s">
        <v>151</v>
      </c>
      <c r="C37" s="8" t="s">
        <v>152</v>
      </c>
      <c r="D37" s="13">
        <v>43311</v>
      </c>
      <c r="E37" s="9">
        <v>503</v>
      </c>
      <c r="F37" s="28">
        <v>4</v>
      </c>
      <c r="G37" s="7">
        <v>1003</v>
      </c>
      <c r="H37" s="31">
        <v>0.5</v>
      </c>
      <c r="I37" s="31"/>
      <c r="J37" s="16">
        <f t="shared" si="8"/>
        <v>2</v>
      </c>
      <c r="K37" s="7"/>
      <c r="L37" s="31">
        <v>10</v>
      </c>
      <c r="M37" s="31"/>
      <c r="N37" s="16">
        <f t="shared" si="4"/>
        <v>40</v>
      </c>
      <c r="O37" s="7"/>
      <c r="P37" s="31"/>
      <c r="Q37" s="31"/>
      <c r="R37" s="16">
        <f t="shared" si="5"/>
        <v>0</v>
      </c>
      <c r="S37" s="7"/>
      <c r="T37" s="31"/>
      <c r="U37" s="31"/>
      <c r="V37" s="16">
        <f t="shared" si="6"/>
        <v>0</v>
      </c>
      <c r="W37" s="7"/>
      <c r="X37" s="33"/>
      <c r="Y37" s="33"/>
      <c r="Z37" s="16">
        <f t="shared" si="7"/>
        <v>0</v>
      </c>
    </row>
    <row r="38" spans="1:26" x14ac:dyDescent="0.35">
      <c r="A38" s="7">
        <v>35</v>
      </c>
      <c r="B38" s="8" t="s">
        <v>151</v>
      </c>
      <c r="C38" s="8" t="s">
        <v>153</v>
      </c>
      <c r="D38" s="13">
        <v>43887</v>
      </c>
      <c r="E38" s="9"/>
      <c r="F38" s="28">
        <f>2+2</f>
        <v>4</v>
      </c>
      <c r="G38" s="7">
        <v>1038</v>
      </c>
      <c r="H38" s="31">
        <v>10</v>
      </c>
      <c r="I38" s="31"/>
      <c r="J38" s="16">
        <f t="shared" si="8"/>
        <v>40</v>
      </c>
      <c r="K38" s="7"/>
      <c r="L38" s="31"/>
      <c r="M38" s="31"/>
      <c r="N38" s="16">
        <f t="shared" si="4"/>
        <v>0</v>
      </c>
      <c r="O38" s="7"/>
      <c r="P38" s="31"/>
      <c r="Q38" s="31"/>
      <c r="R38" s="16">
        <f t="shared" si="5"/>
        <v>0</v>
      </c>
      <c r="S38" s="7"/>
      <c r="T38" s="31"/>
      <c r="U38" s="31"/>
      <c r="V38" s="16">
        <f t="shared" si="6"/>
        <v>0</v>
      </c>
      <c r="W38" s="7"/>
      <c r="X38" s="33"/>
      <c r="Y38" s="33"/>
      <c r="Z38" s="16">
        <f t="shared" si="7"/>
        <v>0</v>
      </c>
    </row>
    <row r="39" spans="1:26" x14ac:dyDescent="0.35">
      <c r="A39" s="7">
        <v>36</v>
      </c>
      <c r="B39" s="8" t="s">
        <v>154</v>
      </c>
      <c r="C39" s="8" t="s">
        <v>155</v>
      </c>
      <c r="D39" s="13">
        <v>26023</v>
      </c>
      <c r="E39" s="9"/>
      <c r="F39" s="28">
        <v>50</v>
      </c>
      <c r="G39" s="7">
        <v>1039</v>
      </c>
      <c r="H39" s="31">
        <v>1</v>
      </c>
      <c r="I39" s="31"/>
      <c r="J39" s="16">
        <f t="shared" si="8"/>
        <v>50</v>
      </c>
      <c r="K39" s="7"/>
      <c r="L39" s="31"/>
      <c r="M39" s="31"/>
      <c r="N39" s="16">
        <f t="shared" si="4"/>
        <v>0</v>
      </c>
      <c r="O39" s="7"/>
      <c r="P39" s="31"/>
      <c r="Q39" s="31"/>
      <c r="R39" s="16">
        <f t="shared" si="5"/>
        <v>0</v>
      </c>
      <c r="S39" s="7"/>
      <c r="T39" s="31"/>
      <c r="U39" s="31"/>
      <c r="V39" s="16">
        <f t="shared" si="6"/>
        <v>0</v>
      </c>
      <c r="W39" s="7"/>
      <c r="X39" s="33"/>
      <c r="Y39" s="33"/>
      <c r="Z39" s="16">
        <f t="shared" si="7"/>
        <v>0</v>
      </c>
    </row>
    <row r="40" spans="1:26" x14ac:dyDescent="0.35">
      <c r="A40" s="7">
        <v>37</v>
      </c>
      <c r="B40" s="8" t="s">
        <v>156</v>
      </c>
      <c r="C40" s="8" t="s">
        <v>157</v>
      </c>
      <c r="D40" s="13">
        <v>39626</v>
      </c>
      <c r="E40" s="9">
        <v>503</v>
      </c>
      <c r="F40" s="28">
        <v>20</v>
      </c>
      <c r="G40" s="7">
        <v>1003</v>
      </c>
      <c r="H40" s="31">
        <v>0.5</v>
      </c>
      <c r="I40" s="31"/>
      <c r="J40" s="16">
        <f t="shared" si="8"/>
        <v>10</v>
      </c>
      <c r="K40" s="7"/>
      <c r="L40" s="31"/>
      <c r="M40" s="31"/>
      <c r="N40" s="16">
        <f t="shared" si="4"/>
        <v>0</v>
      </c>
      <c r="O40" s="7"/>
      <c r="P40" s="31"/>
      <c r="Q40" s="31"/>
      <c r="R40" s="16">
        <f t="shared" si="5"/>
        <v>0</v>
      </c>
      <c r="S40" s="7"/>
      <c r="T40" s="31"/>
      <c r="U40" s="31"/>
      <c r="V40" s="16">
        <f t="shared" si="6"/>
        <v>0</v>
      </c>
      <c r="W40" s="7"/>
      <c r="X40" s="33"/>
      <c r="Y40" s="33"/>
      <c r="Z40" s="16">
        <f t="shared" si="7"/>
        <v>0</v>
      </c>
    </row>
    <row r="41" spans="1:26" x14ac:dyDescent="0.35">
      <c r="A41" s="7">
        <v>38</v>
      </c>
      <c r="B41" s="8" t="s">
        <v>156</v>
      </c>
      <c r="C41" s="8" t="s">
        <v>158</v>
      </c>
      <c r="D41" s="13">
        <v>40945</v>
      </c>
      <c r="E41" s="9">
        <v>503</v>
      </c>
      <c r="F41" s="28">
        <v>20</v>
      </c>
      <c r="G41" s="7">
        <v>1003</v>
      </c>
      <c r="H41" s="31">
        <v>0.5</v>
      </c>
      <c r="I41" s="31"/>
      <c r="J41" s="16">
        <f t="shared" si="8"/>
        <v>10</v>
      </c>
      <c r="K41" s="7"/>
      <c r="L41" s="31"/>
      <c r="M41" s="31"/>
      <c r="N41" s="16">
        <f t="shared" si="4"/>
        <v>0</v>
      </c>
      <c r="O41" s="7"/>
      <c r="P41" s="31"/>
      <c r="Q41" s="31"/>
      <c r="R41" s="16">
        <f t="shared" si="5"/>
        <v>0</v>
      </c>
      <c r="S41" s="7"/>
      <c r="T41" s="31"/>
      <c r="U41" s="31"/>
      <c r="V41" s="16">
        <f t="shared" si="6"/>
        <v>0</v>
      </c>
      <c r="W41" s="7"/>
      <c r="X41" s="33"/>
      <c r="Y41" s="33"/>
      <c r="Z41" s="16">
        <f t="shared" si="7"/>
        <v>0</v>
      </c>
    </row>
    <row r="42" spans="1:26" x14ac:dyDescent="0.35">
      <c r="A42" s="7">
        <v>39</v>
      </c>
      <c r="B42" s="8" t="s">
        <v>159</v>
      </c>
      <c r="C42" s="8" t="s">
        <v>160</v>
      </c>
      <c r="D42" s="13">
        <v>17842</v>
      </c>
      <c r="E42" s="9"/>
      <c r="F42" s="28">
        <v>38</v>
      </c>
      <c r="G42" s="7">
        <v>1040</v>
      </c>
      <c r="H42" s="31">
        <v>3</v>
      </c>
      <c r="I42" s="31">
        <v>100</v>
      </c>
      <c r="J42" s="16">
        <f t="shared" si="8"/>
        <v>100</v>
      </c>
      <c r="K42" s="7"/>
      <c r="L42" s="31"/>
      <c r="M42" s="31"/>
      <c r="N42" s="16">
        <f t="shared" si="4"/>
        <v>0</v>
      </c>
      <c r="O42" s="7"/>
      <c r="P42" s="31"/>
      <c r="Q42" s="31"/>
      <c r="R42" s="16">
        <f t="shared" si="5"/>
        <v>0</v>
      </c>
      <c r="S42" s="7"/>
      <c r="T42" s="31"/>
      <c r="U42" s="31"/>
      <c r="V42" s="16">
        <f t="shared" si="6"/>
        <v>0</v>
      </c>
      <c r="W42" s="7"/>
      <c r="X42" s="33"/>
      <c r="Y42" s="33"/>
      <c r="Z42" s="16">
        <f t="shared" si="7"/>
        <v>0</v>
      </c>
    </row>
    <row r="43" spans="1:26" x14ac:dyDescent="0.35">
      <c r="A43" s="7">
        <v>40</v>
      </c>
      <c r="B43" s="8" t="s">
        <v>161</v>
      </c>
      <c r="C43" s="8" t="s">
        <v>162</v>
      </c>
      <c r="D43" s="13">
        <v>18584</v>
      </c>
      <c r="E43" s="9"/>
      <c r="F43" s="28">
        <v>40</v>
      </c>
      <c r="G43" s="7">
        <v>1041</v>
      </c>
      <c r="H43" s="31">
        <v>3</v>
      </c>
      <c r="I43" s="31">
        <v>100</v>
      </c>
      <c r="J43" s="16">
        <f t="shared" si="8"/>
        <v>100</v>
      </c>
      <c r="K43" s="7"/>
      <c r="L43" s="31"/>
      <c r="M43" s="31"/>
      <c r="N43" s="16">
        <f t="shared" si="4"/>
        <v>0</v>
      </c>
      <c r="O43" s="7"/>
      <c r="P43" s="31"/>
      <c r="Q43" s="31"/>
      <c r="R43" s="16">
        <f t="shared" si="5"/>
        <v>0</v>
      </c>
      <c r="S43" s="7"/>
      <c r="T43" s="31"/>
      <c r="U43" s="31"/>
      <c r="V43" s="16">
        <f t="shared" si="6"/>
        <v>0</v>
      </c>
      <c r="W43" s="7"/>
      <c r="X43" s="33"/>
      <c r="Y43" s="33"/>
      <c r="Z43" s="16">
        <f t="shared" si="7"/>
        <v>0</v>
      </c>
    </row>
    <row r="44" spans="1:26" x14ac:dyDescent="0.35">
      <c r="A44" s="7">
        <v>41</v>
      </c>
      <c r="B44" s="8" t="s">
        <v>163</v>
      </c>
      <c r="C44" s="8" t="s">
        <v>164</v>
      </c>
      <c r="D44" s="13">
        <v>40021</v>
      </c>
      <c r="E44" s="9">
        <v>503</v>
      </c>
      <c r="F44" s="28">
        <f>54+58</f>
        <v>112</v>
      </c>
      <c r="G44" s="7">
        <v>1003</v>
      </c>
      <c r="H44" s="31">
        <v>0.5</v>
      </c>
      <c r="I44" s="31"/>
      <c r="J44" s="16">
        <f t="shared" si="8"/>
        <v>56</v>
      </c>
      <c r="K44" s="7"/>
      <c r="L44" s="31"/>
      <c r="M44" s="31"/>
      <c r="N44" s="16">
        <f t="shared" si="4"/>
        <v>0</v>
      </c>
      <c r="O44" s="7"/>
      <c r="P44" s="31"/>
      <c r="Q44" s="31"/>
      <c r="R44" s="16">
        <f t="shared" si="5"/>
        <v>0</v>
      </c>
      <c r="S44" s="7"/>
      <c r="T44" s="31"/>
      <c r="U44" s="31"/>
      <c r="V44" s="16">
        <f t="shared" si="6"/>
        <v>0</v>
      </c>
      <c r="W44" s="7"/>
      <c r="X44" s="33"/>
      <c r="Y44" s="33"/>
      <c r="Z44" s="16">
        <f t="shared" si="7"/>
        <v>0</v>
      </c>
    </row>
    <row r="45" spans="1:26" x14ac:dyDescent="0.35">
      <c r="A45" s="7">
        <v>42</v>
      </c>
      <c r="B45" s="8" t="s">
        <v>165</v>
      </c>
      <c r="C45" s="8" t="s">
        <v>166</v>
      </c>
      <c r="D45" s="13">
        <v>36605</v>
      </c>
      <c r="E45" s="9">
        <v>503</v>
      </c>
      <c r="F45" s="28">
        <f>42+56</f>
        <v>98</v>
      </c>
      <c r="G45" s="7">
        <v>1003</v>
      </c>
      <c r="H45" s="31">
        <v>0.5</v>
      </c>
      <c r="I45" s="31"/>
      <c r="J45" s="16">
        <f t="shared" si="8"/>
        <v>49</v>
      </c>
      <c r="K45" s="7"/>
      <c r="L45" s="31"/>
      <c r="M45" s="31"/>
      <c r="N45" s="16">
        <f t="shared" si="4"/>
        <v>0</v>
      </c>
      <c r="O45" s="7"/>
      <c r="P45" s="31"/>
      <c r="Q45" s="31"/>
      <c r="R45" s="16">
        <f t="shared" si="5"/>
        <v>0</v>
      </c>
      <c r="S45" s="7"/>
      <c r="T45" s="31"/>
      <c r="U45" s="31"/>
      <c r="V45" s="16">
        <f t="shared" si="6"/>
        <v>0</v>
      </c>
      <c r="W45" s="7"/>
      <c r="X45" s="33"/>
      <c r="Y45" s="33"/>
      <c r="Z45" s="16">
        <f t="shared" si="7"/>
        <v>0</v>
      </c>
    </row>
    <row r="46" spans="1:26" x14ac:dyDescent="0.35">
      <c r="A46" s="7">
        <v>43</v>
      </c>
      <c r="B46" s="8" t="s">
        <v>167</v>
      </c>
      <c r="C46" s="8" t="s">
        <v>147</v>
      </c>
      <c r="D46" s="13">
        <v>36206</v>
      </c>
      <c r="E46" s="9">
        <v>503</v>
      </c>
      <c r="F46" s="28">
        <f>42+64</f>
        <v>106</v>
      </c>
      <c r="G46" s="7">
        <v>1003</v>
      </c>
      <c r="H46" s="31">
        <v>0.5</v>
      </c>
      <c r="I46" s="31"/>
      <c r="J46" s="16">
        <f t="shared" si="8"/>
        <v>53</v>
      </c>
      <c r="K46" s="7"/>
      <c r="L46" s="31"/>
      <c r="M46" s="31"/>
      <c r="N46" s="16">
        <f t="shared" si="4"/>
        <v>0</v>
      </c>
      <c r="O46" s="7"/>
      <c r="P46" s="31"/>
      <c r="Q46" s="31"/>
      <c r="R46" s="16">
        <f t="shared" si="5"/>
        <v>0</v>
      </c>
      <c r="S46" s="7"/>
      <c r="T46" s="31"/>
      <c r="U46" s="31"/>
      <c r="V46" s="16">
        <f t="shared" si="6"/>
        <v>0</v>
      </c>
      <c r="W46" s="7"/>
      <c r="X46" s="33"/>
      <c r="Y46" s="33"/>
      <c r="Z46" s="16">
        <f t="shared" si="7"/>
        <v>0</v>
      </c>
    </row>
    <row r="47" spans="1:26" x14ac:dyDescent="0.35">
      <c r="A47" s="7">
        <v>44</v>
      </c>
      <c r="B47" s="8" t="s">
        <v>168</v>
      </c>
      <c r="C47" s="8" t="s">
        <v>169</v>
      </c>
      <c r="D47" s="13">
        <v>35823</v>
      </c>
      <c r="E47" s="9">
        <v>503</v>
      </c>
      <c r="F47" s="28">
        <f>44+58</f>
        <v>102</v>
      </c>
      <c r="G47" s="7">
        <v>1003</v>
      </c>
      <c r="H47" s="31">
        <v>0.5</v>
      </c>
      <c r="I47" s="31"/>
      <c r="J47" s="16">
        <f t="shared" si="8"/>
        <v>51</v>
      </c>
      <c r="K47" s="7"/>
      <c r="L47" s="31"/>
      <c r="M47" s="31"/>
      <c r="N47" s="16">
        <f t="shared" si="4"/>
        <v>0</v>
      </c>
      <c r="O47" s="7"/>
      <c r="P47" s="31"/>
      <c r="Q47" s="31"/>
      <c r="R47" s="16">
        <f t="shared" si="5"/>
        <v>0</v>
      </c>
      <c r="S47" s="7"/>
      <c r="T47" s="31"/>
      <c r="U47" s="31"/>
      <c r="V47" s="16">
        <f t="shared" si="6"/>
        <v>0</v>
      </c>
      <c r="W47" s="7"/>
      <c r="X47" s="33"/>
      <c r="Y47" s="33"/>
      <c r="Z47" s="16">
        <f t="shared" si="7"/>
        <v>0</v>
      </c>
    </row>
    <row r="48" spans="1:26" x14ac:dyDescent="0.35">
      <c r="A48" s="7">
        <v>45</v>
      </c>
      <c r="B48" s="8" t="s">
        <v>171</v>
      </c>
      <c r="C48" s="8" t="s">
        <v>170</v>
      </c>
      <c r="D48" s="13">
        <v>32049</v>
      </c>
      <c r="E48" s="9">
        <v>503</v>
      </c>
      <c r="F48" s="28">
        <f>30+50</f>
        <v>80</v>
      </c>
      <c r="G48" s="7">
        <v>1003</v>
      </c>
      <c r="H48" s="31">
        <v>0.5</v>
      </c>
      <c r="I48" s="31"/>
      <c r="J48" s="16">
        <f t="shared" si="8"/>
        <v>40</v>
      </c>
      <c r="K48" s="7"/>
      <c r="L48" s="31"/>
      <c r="M48" s="31"/>
      <c r="N48" s="16">
        <f t="shared" si="4"/>
        <v>0</v>
      </c>
      <c r="O48" s="7"/>
      <c r="P48" s="31"/>
      <c r="Q48" s="31"/>
      <c r="R48" s="16">
        <f t="shared" si="5"/>
        <v>0</v>
      </c>
      <c r="S48" s="7"/>
      <c r="T48" s="31"/>
      <c r="U48" s="31"/>
      <c r="V48" s="16">
        <f t="shared" si="6"/>
        <v>0</v>
      </c>
      <c r="W48" s="7"/>
      <c r="X48" s="33"/>
      <c r="Y48" s="33"/>
      <c r="Z48" s="16">
        <f t="shared" si="7"/>
        <v>0</v>
      </c>
    </row>
    <row r="49" spans="1:26" x14ac:dyDescent="0.35">
      <c r="A49" s="7">
        <v>46</v>
      </c>
      <c r="B49" s="8" t="s">
        <v>172</v>
      </c>
      <c r="C49" s="8" t="s">
        <v>138</v>
      </c>
      <c r="D49" s="13">
        <v>42629</v>
      </c>
      <c r="E49" s="9">
        <v>503</v>
      </c>
      <c r="F49" s="28">
        <f>82+88</f>
        <v>170</v>
      </c>
      <c r="G49" s="7">
        <v>1003</v>
      </c>
      <c r="H49" s="31">
        <v>0.5</v>
      </c>
      <c r="I49" s="31"/>
      <c r="J49" s="16">
        <f t="shared" si="8"/>
        <v>85</v>
      </c>
      <c r="K49" s="7">
        <v>1042</v>
      </c>
      <c r="L49" s="31">
        <v>0.5</v>
      </c>
      <c r="M49" s="31"/>
      <c r="N49" s="16">
        <f t="shared" si="4"/>
        <v>85</v>
      </c>
      <c r="O49" s="7"/>
      <c r="P49" s="31"/>
      <c r="Q49" s="31"/>
      <c r="R49" s="16">
        <f t="shared" si="5"/>
        <v>0</v>
      </c>
      <c r="S49" s="7"/>
      <c r="T49" s="31"/>
      <c r="U49" s="31"/>
      <c r="V49" s="16">
        <f t="shared" si="6"/>
        <v>0</v>
      </c>
      <c r="W49" s="7"/>
      <c r="X49" s="33"/>
      <c r="Y49" s="33"/>
      <c r="Z49" s="16">
        <f t="shared" si="7"/>
        <v>0</v>
      </c>
    </row>
    <row r="50" spans="1:26" x14ac:dyDescent="0.35">
      <c r="A50" s="7">
        <v>47</v>
      </c>
      <c r="B50" s="8" t="s">
        <v>172</v>
      </c>
      <c r="C50" s="8" t="s">
        <v>132</v>
      </c>
      <c r="D50" s="13">
        <v>27486</v>
      </c>
      <c r="E50" s="9"/>
      <c r="F50" s="28">
        <f>36+26</f>
        <v>62</v>
      </c>
      <c r="G50" s="7">
        <v>1042</v>
      </c>
      <c r="H50" s="31">
        <v>0.5</v>
      </c>
      <c r="I50" s="31"/>
      <c r="J50" s="16">
        <f t="shared" si="8"/>
        <v>31</v>
      </c>
      <c r="M50" s="31"/>
      <c r="N50" s="16">
        <f t="shared" si="4"/>
        <v>0</v>
      </c>
      <c r="O50" s="7"/>
      <c r="P50" s="31"/>
      <c r="Q50" s="31"/>
      <c r="R50" s="16">
        <f t="shared" si="5"/>
        <v>0</v>
      </c>
      <c r="S50" s="7"/>
      <c r="T50" s="31"/>
      <c r="U50" s="31"/>
      <c r="V50" s="16">
        <f t="shared" si="6"/>
        <v>0</v>
      </c>
      <c r="W50" s="7"/>
      <c r="X50" s="33"/>
      <c r="Y50" s="33"/>
      <c r="Z50" s="16">
        <f t="shared" si="7"/>
        <v>0</v>
      </c>
    </row>
    <row r="51" spans="1:26" x14ac:dyDescent="0.35">
      <c r="A51" s="7">
        <v>48</v>
      </c>
      <c r="B51" s="8" t="s">
        <v>172</v>
      </c>
      <c r="C51" s="8" t="s">
        <v>173</v>
      </c>
      <c r="D51" s="13">
        <v>27766</v>
      </c>
      <c r="E51" s="9">
        <v>503</v>
      </c>
      <c r="F51" s="28">
        <f>38+26</f>
        <v>64</v>
      </c>
      <c r="G51" s="7">
        <v>1003</v>
      </c>
      <c r="H51" s="31">
        <v>0.5</v>
      </c>
      <c r="I51" s="31"/>
      <c r="J51" s="16">
        <f t="shared" si="8"/>
        <v>32</v>
      </c>
      <c r="K51" s="7">
        <v>1042</v>
      </c>
      <c r="L51" s="31">
        <v>0.5</v>
      </c>
      <c r="M51" s="31"/>
      <c r="N51" s="16">
        <f t="shared" si="4"/>
        <v>32</v>
      </c>
      <c r="O51" s="7"/>
      <c r="P51" s="31"/>
      <c r="Q51" s="31"/>
      <c r="R51" s="16">
        <f t="shared" si="5"/>
        <v>0</v>
      </c>
      <c r="S51" s="7"/>
      <c r="T51" s="31"/>
      <c r="U51" s="31"/>
      <c r="V51" s="16">
        <f t="shared" si="6"/>
        <v>0</v>
      </c>
      <c r="W51" s="7"/>
      <c r="X51" s="33"/>
      <c r="Y51" s="33"/>
      <c r="Z51" s="16">
        <f t="shared" si="7"/>
        <v>0</v>
      </c>
    </row>
    <row r="52" spans="1:26" x14ac:dyDescent="0.35">
      <c r="A52" s="7">
        <v>49</v>
      </c>
      <c r="B52" s="8" t="s">
        <v>174</v>
      </c>
      <c r="C52" s="8" t="s">
        <v>175</v>
      </c>
      <c r="D52" s="13">
        <v>39614</v>
      </c>
      <c r="E52" s="9">
        <v>503</v>
      </c>
      <c r="F52" s="28">
        <f>44+48</f>
        <v>92</v>
      </c>
      <c r="G52" s="7">
        <v>1003</v>
      </c>
      <c r="H52" s="31">
        <v>0.5</v>
      </c>
      <c r="I52" s="31"/>
      <c r="J52" s="16">
        <f t="shared" si="8"/>
        <v>46</v>
      </c>
      <c r="K52" s="7">
        <v>1046</v>
      </c>
      <c r="L52" s="31">
        <v>1</v>
      </c>
      <c r="M52" s="31"/>
      <c r="N52" s="16">
        <f t="shared" si="4"/>
        <v>92</v>
      </c>
      <c r="O52" s="7"/>
      <c r="P52" s="31"/>
      <c r="Q52" s="31"/>
      <c r="R52" s="16">
        <f t="shared" si="5"/>
        <v>0</v>
      </c>
      <c r="S52" s="7"/>
      <c r="T52" s="31"/>
      <c r="U52" s="31"/>
      <c r="V52" s="16">
        <f t="shared" si="6"/>
        <v>0</v>
      </c>
      <c r="W52" s="7"/>
      <c r="X52" s="33"/>
      <c r="Y52" s="33"/>
      <c r="Z52" s="16">
        <f t="shared" si="7"/>
        <v>0</v>
      </c>
    </row>
    <row r="53" spans="1:26" x14ac:dyDescent="0.35">
      <c r="A53" s="7">
        <v>50</v>
      </c>
      <c r="B53" s="8" t="s">
        <v>176</v>
      </c>
      <c r="C53" s="8" t="s">
        <v>177</v>
      </c>
      <c r="D53" s="13">
        <v>42563</v>
      </c>
      <c r="E53" s="9">
        <v>505</v>
      </c>
      <c r="F53" s="28">
        <f>50+66</f>
        <v>116</v>
      </c>
      <c r="G53" s="7">
        <v>1002</v>
      </c>
      <c r="H53" s="31">
        <v>0.5</v>
      </c>
      <c r="I53" s="31"/>
      <c r="J53" s="16">
        <f t="shared" si="8"/>
        <v>58</v>
      </c>
      <c r="K53" s="7">
        <v>1029</v>
      </c>
      <c r="L53" s="31">
        <v>0.5</v>
      </c>
      <c r="M53" s="31"/>
      <c r="N53" s="16">
        <f t="shared" si="4"/>
        <v>58</v>
      </c>
      <c r="O53" s="7"/>
      <c r="P53" s="31"/>
      <c r="Q53" s="31"/>
      <c r="R53" s="16">
        <f t="shared" si="5"/>
        <v>0</v>
      </c>
      <c r="S53" s="7"/>
      <c r="T53" s="31"/>
      <c r="U53" s="31"/>
      <c r="V53" s="16">
        <f t="shared" si="6"/>
        <v>0</v>
      </c>
      <c r="W53" s="7"/>
      <c r="X53" s="33"/>
      <c r="Y53" s="33"/>
      <c r="Z53" s="16">
        <f t="shared" si="7"/>
        <v>0</v>
      </c>
    </row>
    <row r="54" spans="1:26" x14ac:dyDescent="0.35">
      <c r="A54" s="7">
        <v>51</v>
      </c>
      <c r="B54" s="8" t="s">
        <v>176</v>
      </c>
      <c r="C54" s="8" t="s">
        <v>178</v>
      </c>
      <c r="D54" s="13">
        <v>41632</v>
      </c>
      <c r="E54" s="9">
        <v>502.505</v>
      </c>
      <c r="F54" s="28">
        <f>60+66</f>
        <v>126</v>
      </c>
      <c r="G54" s="7">
        <v>1002</v>
      </c>
      <c r="H54" s="31">
        <v>0.5</v>
      </c>
      <c r="I54" s="31"/>
      <c r="J54" s="16">
        <f t="shared" si="8"/>
        <v>63</v>
      </c>
      <c r="K54" s="7">
        <v>1029</v>
      </c>
      <c r="L54" s="31">
        <v>0.5</v>
      </c>
      <c r="M54" s="31"/>
      <c r="N54" s="16">
        <f t="shared" si="4"/>
        <v>63</v>
      </c>
      <c r="O54" s="7"/>
      <c r="P54" s="31"/>
      <c r="Q54" s="31"/>
      <c r="R54" s="16">
        <f t="shared" si="5"/>
        <v>0</v>
      </c>
      <c r="S54" s="7"/>
      <c r="T54" s="31"/>
      <c r="U54" s="31"/>
      <c r="V54" s="16">
        <f t="shared" si="6"/>
        <v>0</v>
      </c>
      <c r="W54" s="7"/>
      <c r="X54" s="33"/>
      <c r="Y54" s="33"/>
      <c r="Z54" s="16">
        <f t="shared" si="7"/>
        <v>0</v>
      </c>
    </row>
    <row r="55" spans="1:26" x14ac:dyDescent="0.35">
      <c r="A55" s="7">
        <v>52</v>
      </c>
      <c r="B55" s="8" t="s">
        <v>179</v>
      </c>
      <c r="C55" s="8" t="s">
        <v>180</v>
      </c>
      <c r="D55" s="13">
        <v>29400</v>
      </c>
      <c r="E55" s="9">
        <v>503</v>
      </c>
      <c r="F55" s="28">
        <v>24</v>
      </c>
      <c r="G55" s="7">
        <v>1003</v>
      </c>
      <c r="H55" s="31">
        <v>0.5</v>
      </c>
      <c r="I55" s="31"/>
      <c r="J55" s="16">
        <f t="shared" si="8"/>
        <v>12</v>
      </c>
      <c r="K55" s="7">
        <v>1047</v>
      </c>
      <c r="L55" s="31">
        <v>0.5</v>
      </c>
      <c r="M55" s="31"/>
      <c r="N55" s="16">
        <f t="shared" si="4"/>
        <v>12</v>
      </c>
      <c r="O55" s="7"/>
      <c r="P55" s="31"/>
      <c r="Q55" s="31"/>
      <c r="R55" s="16">
        <f t="shared" si="5"/>
        <v>0</v>
      </c>
      <c r="S55" s="7"/>
      <c r="T55" s="31"/>
      <c r="U55" s="31"/>
      <c r="V55" s="16">
        <f t="shared" si="6"/>
        <v>0</v>
      </c>
      <c r="W55" s="7"/>
      <c r="X55" s="33"/>
      <c r="Y55" s="33"/>
      <c r="Z55" s="16">
        <f t="shared" si="7"/>
        <v>0</v>
      </c>
    </row>
    <row r="56" spans="1:26" x14ac:dyDescent="0.35">
      <c r="A56" s="7">
        <v>53</v>
      </c>
      <c r="B56" s="8" t="s">
        <v>131</v>
      </c>
      <c r="C56" s="8" t="s">
        <v>181</v>
      </c>
      <c r="D56" s="13">
        <v>22597</v>
      </c>
      <c r="E56" s="9">
        <v>502</v>
      </c>
      <c r="F56" s="28">
        <v>24</v>
      </c>
      <c r="G56" s="7">
        <v>1002</v>
      </c>
      <c r="H56" s="31">
        <v>0.5</v>
      </c>
      <c r="I56" s="31"/>
      <c r="J56" s="16">
        <f t="shared" si="8"/>
        <v>12</v>
      </c>
      <c r="K56" s="7">
        <v>1080</v>
      </c>
      <c r="L56" s="31">
        <v>50</v>
      </c>
      <c r="M56" s="31">
        <v>50</v>
      </c>
      <c r="N56" s="16">
        <f t="shared" si="4"/>
        <v>50</v>
      </c>
      <c r="O56" s="7"/>
      <c r="P56" s="31"/>
      <c r="Q56" s="31"/>
      <c r="R56" s="16">
        <f t="shared" si="5"/>
        <v>0</v>
      </c>
      <c r="S56" s="7"/>
      <c r="T56" s="31"/>
      <c r="U56" s="31"/>
      <c r="V56" s="16">
        <f t="shared" si="6"/>
        <v>0</v>
      </c>
      <c r="W56" s="7"/>
      <c r="X56" s="33"/>
      <c r="Y56" s="33"/>
      <c r="Z56" s="16">
        <f t="shared" si="7"/>
        <v>0</v>
      </c>
    </row>
    <row r="57" spans="1:26" x14ac:dyDescent="0.35">
      <c r="A57" s="7">
        <v>54</v>
      </c>
      <c r="B57" s="8" t="s">
        <v>182</v>
      </c>
      <c r="C57" s="8" t="s">
        <v>183</v>
      </c>
      <c r="D57" s="13">
        <v>27149</v>
      </c>
      <c r="E57" s="9">
        <v>503</v>
      </c>
      <c r="F57" s="28">
        <v>44</v>
      </c>
      <c r="G57" s="7">
        <v>1003</v>
      </c>
      <c r="H57" s="31">
        <v>0.5</v>
      </c>
      <c r="I57" s="31"/>
      <c r="J57" s="16">
        <f t="shared" si="8"/>
        <v>22</v>
      </c>
      <c r="K57" s="7"/>
      <c r="L57" s="31"/>
      <c r="M57" s="31"/>
      <c r="N57" s="16">
        <f t="shared" si="4"/>
        <v>0</v>
      </c>
      <c r="O57" s="7"/>
      <c r="P57" s="31"/>
      <c r="Q57" s="31"/>
      <c r="R57" s="16">
        <f t="shared" si="5"/>
        <v>0</v>
      </c>
      <c r="S57" s="7"/>
      <c r="T57" s="31"/>
      <c r="U57" s="31"/>
      <c r="V57" s="16">
        <f t="shared" si="6"/>
        <v>0</v>
      </c>
      <c r="W57" s="7"/>
      <c r="X57" s="33"/>
      <c r="Y57" s="33"/>
      <c r="Z57" s="16">
        <f t="shared" si="7"/>
        <v>0</v>
      </c>
    </row>
    <row r="58" spans="1:26" x14ac:dyDescent="0.35">
      <c r="A58" s="7">
        <v>55</v>
      </c>
      <c r="B58" s="8" t="s">
        <v>184</v>
      </c>
      <c r="C58" s="8" t="s">
        <v>185</v>
      </c>
      <c r="D58" s="13">
        <v>35060</v>
      </c>
      <c r="E58" s="9">
        <v>503</v>
      </c>
      <c r="F58" s="28">
        <f>22+20</f>
        <v>42</v>
      </c>
      <c r="G58" s="7">
        <v>1003</v>
      </c>
      <c r="H58" s="31">
        <v>0.5</v>
      </c>
      <c r="I58" s="31"/>
      <c r="J58" s="16">
        <f t="shared" si="8"/>
        <v>21</v>
      </c>
      <c r="K58" s="7">
        <v>1049</v>
      </c>
      <c r="L58" s="31">
        <v>1.5</v>
      </c>
      <c r="M58" s="31">
        <v>50</v>
      </c>
      <c r="N58" s="16">
        <f t="shared" si="4"/>
        <v>50</v>
      </c>
      <c r="O58" s="7"/>
      <c r="P58" s="31"/>
      <c r="Q58" s="31"/>
      <c r="R58" s="16">
        <f t="shared" si="5"/>
        <v>0</v>
      </c>
      <c r="S58" s="7"/>
      <c r="T58" s="31"/>
      <c r="U58" s="31"/>
      <c r="V58" s="16">
        <f t="shared" si="6"/>
        <v>0</v>
      </c>
      <c r="W58" s="7"/>
      <c r="X58" s="33"/>
      <c r="Y58" s="33"/>
      <c r="Z58" s="16">
        <f t="shared" si="7"/>
        <v>0</v>
      </c>
    </row>
    <row r="59" spans="1:26" x14ac:dyDescent="0.35">
      <c r="A59" s="7">
        <v>56</v>
      </c>
      <c r="B59" s="8" t="s">
        <v>186</v>
      </c>
      <c r="C59" s="8" t="s">
        <v>187</v>
      </c>
      <c r="D59" s="13">
        <v>23785</v>
      </c>
      <c r="E59" s="9"/>
      <c r="F59" s="28">
        <v>12</v>
      </c>
      <c r="G59" s="7">
        <v>1050</v>
      </c>
      <c r="H59" s="31">
        <v>1</v>
      </c>
      <c r="I59" s="31">
        <v>10</v>
      </c>
      <c r="J59" s="16">
        <f t="shared" si="8"/>
        <v>10</v>
      </c>
      <c r="K59" s="7"/>
      <c r="L59" s="31"/>
      <c r="M59" s="31"/>
      <c r="N59" s="16">
        <f t="shared" si="4"/>
        <v>0</v>
      </c>
      <c r="O59" s="7"/>
      <c r="P59" s="31"/>
      <c r="Q59" s="31"/>
      <c r="R59" s="16">
        <f t="shared" si="5"/>
        <v>0</v>
      </c>
      <c r="S59" s="7"/>
      <c r="T59" s="31"/>
      <c r="U59" s="31"/>
      <c r="V59" s="16">
        <f t="shared" si="6"/>
        <v>0</v>
      </c>
      <c r="W59" s="7"/>
      <c r="X59" s="33"/>
      <c r="Y59" s="33"/>
      <c r="Z59" s="16">
        <f t="shared" si="7"/>
        <v>0</v>
      </c>
    </row>
    <row r="60" spans="1:26" x14ac:dyDescent="0.35">
      <c r="A60" s="7">
        <v>57</v>
      </c>
      <c r="B60" s="8" t="s">
        <v>189</v>
      </c>
      <c r="C60" s="8" t="s">
        <v>188</v>
      </c>
      <c r="D60" s="13">
        <v>41720</v>
      </c>
      <c r="E60" s="9"/>
      <c r="F60" s="28"/>
      <c r="G60" s="7"/>
      <c r="H60" s="31"/>
      <c r="I60" s="31"/>
      <c r="J60" s="16">
        <f t="shared" si="8"/>
        <v>0</v>
      </c>
      <c r="K60" s="7"/>
      <c r="L60" s="31"/>
      <c r="M60" s="31"/>
      <c r="N60" s="16">
        <f t="shared" si="4"/>
        <v>0</v>
      </c>
      <c r="O60" s="7"/>
      <c r="P60" s="31"/>
      <c r="Q60" s="31"/>
      <c r="R60" s="16">
        <f t="shared" si="5"/>
        <v>0</v>
      </c>
      <c r="S60" s="7"/>
      <c r="T60" s="31"/>
      <c r="U60" s="31"/>
      <c r="V60" s="16">
        <f t="shared" si="6"/>
        <v>0</v>
      </c>
      <c r="W60" s="7"/>
      <c r="X60" s="33"/>
      <c r="Y60" s="33"/>
      <c r="Z60" s="16">
        <f t="shared" si="7"/>
        <v>0</v>
      </c>
    </row>
    <row r="61" spans="1:26" x14ac:dyDescent="0.35">
      <c r="A61" s="7">
        <v>58</v>
      </c>
      <c r="B61" s="8" t="s">
        <v>190</v>
      </c>
      <c r="C61" s="8" t="s">
        <v>191</v>
      </c>
      <c r="D61" s="13">
        <v>25393</v>
      </c>
      <c r="E61" s="9">
        <v>503.50400000000002</v>
      </c>
      <c r="F61" s="28">
        <v>16</v>
      </c>
      <c r="G61" s="7">
        <v>1003</v>
      </c>
      <c r="H61" s="31">
        <v>0.5</v>
      </c>
      <c r="I61" s="31"/>
      <c r="J61" s="16">
        <f t="shared" si="8"/>
        <v>8</v>
      </c>
      <c r="K61" s="7">
        <v>1010</v>
      </c>
      <c r="L61" s="31">
        <v>0.5</v>
      </c>
      <c r="M61" s="31"/>
      <c r="N61" s="16">
        <f t="shared" si="4"/>
        <v>8</v>
      </c>
      <c r="O61" s="7"/>
      <c r="P61" s="31"/>
      <c r="Q61" s="31"/>
      <c r="R61" s="16">
        <f t="shared" si="5"/>
        <v>0</v>
      </c>
      <c r="S61" s="7"/>
      <c r="T61" s="31"/>
      <c r="U61" s="31"/>
      <c r="V61" s="16">
        <f t="shared" si="6"/>
        <v>0</v>
      </c>
      <c r="W61" s="7"/>
      <c r="X61" s="33"/>
      <c r="Y61" s="33"/>
      <c r="Z61" s="16">
        <f t="shared" si="7"/>
        <v>0</v>
      </c>
    </row>
    <row r="62" spans="1:26" x14ac:dyDescent="0.35">
      <c r="A62" s="7">
        <v>59</v>
      </c>
      <c r="B62" s="8" t="s">
        <v>196</v>
      </c>
      <c r="C62" s="8" t="s">
        <v>197</v>
      </c>
      <c r="D62" s="13">
        <v>21516</v>
      </c>
      <c r="E62" s="9"/>
      <c r="F62" s="28">
        <v>22</v>
      </c>
      <c r="G62" s="7">
        <v>1052</v>
      </c>
      <c r="H62" s="31">
        <v>1</v>
      </c>
      <c r="I62" s="31"/>
      <c r="J62" s="16">
        <f t="shared" si="8"/>
        <v>22</v>
      </c>
      <c r="K62" s="7"/>
      <c r="L62" s="31"/>
      <c r="M62" s="31"/>
      <c r="N62" s="16">
        <f t="shared" si="4"/>
        <v>0</v>
      </c>
      <c r="O62" s="7"/>
      <c r="P62" s="31"/>
      <c r="Q62" s="31"/>
      <c r="R62" s="16">
        <f t="shared" si="5"/>
        <v>0</v>
      </c>
      <c r="S62" s="7"/>
      <c r="T62" s="31"/>
      <c r="U62" s="31"/>
      <c r="V62" s="16">
        <f t="shared" si="6"/>
        <v>0</v>
      </c>
      <c r="W62" s="7"/>
      <c r="X62" s="33"/>
      <c r="Y62" s="33"/>
      <c r="Z62" s="16">
        <f t="shared" si="7"/>
        <v>0</v>
      </c>
    </row>
    <row r="63" spans="1:26" x14ac:dyDescent="0.35">
      <c r="A63" s="7">
        <v>60</v>
      </c>
      <c r="B63" s="8" t="s">
        <v>198</v>
      </c>
      <c r="C63" s="8" t="s">
        <v>199</v>
      </c>
      <c r="D63" s="13">
        <v>40766</v>
      </c>
      <c r="E63" s="9"/>
      <c r="F63" s="28">
        <v>96</v>
      </c>
      <c r="G63" s="7">
        <v>1053</v>
      </c>
      <c r="H63" s="31">
        <v>0.5</v>
      </c>
      <c r="I63" s="31"/>
      <c r="J63" s="16">
        <f t="shared" si="8"/>
        <v>48</v>
      </c>
      <c r="K63" s="7"/>
      <c r="L63" s="31"/>
      <c r="M63" s="31"/>
      <c r="N63" s="16">
        <f t="shared" si="4"/>
        <v>0</v>
      </c>
      <c r="O63" s="7"/>
      <c r="P63" s="31"/>
      <c r="Q63" s="31"/>
      <c r="R63" s="16">
        <f t="shared" si="5"/>
        <v>0</v>
      </c>
      <c r="S63" s="7"/>
      <c r="T63" s="31"/>
      <c r="U63" s="31"/>
      <c r="V63" s="16">
        <f t="shared" si="6"/>
        <v>0</v>
      </c>
      <c r="W63" s="7"/>
      <c r="X63" s="33"/>
      <c r="Y63" s="33"/>
      <c r="Z63" s="16">
        <f t="shared" si="7"/>
        <v>0</v>
      </c>
    </row>
    <row r="64" spans="1:26" x14ac:dyDescent="0.35">
      <c r="A64" s="7">
        <v>61</v>
      </c>
      <c r="B64" s="8" t="s">
        <v>198</v>
      </c>
      <c r="C64" s="8" t="s">
        <v>200</v>
      </c>
      <c r="D64" s="13">
        <v>39495</v>
      </c>
      <c r="E64" s="9">
        <v>503</v>
      </c>
      <c r="F64" s="28">
        <v>68</v>
      </c>
      <c r="G64" s="7">
        <v>1003</v>
      </c>
      <c r="H64" s="31">
        <v>0.5</v>
      </c>
      <c r="I64" s="31"/>
      <c r="J64" s="16">
        <f t="shared" si="8"/>
        <v>34</v>
      </c>
      <c r="K64" s="7"/>
      <c r="L64" s="31"/>
      <c r="M64" s="31"/>
      <c r="N64" s="16">
        <f t="shared" si="4"/>
        <v>0</v>
      </c>
      <c r="O64" s="7"/>
      <c r="P64" s="31"/>
      <c r="Q64" s="31"/>
      <c r="R64" s="16">
        <f t="shared" si="5"/>
        <v>0</v>
      </c>
      <c r="S64" s="7"/>
      <c r="T64" s="31"/>
      <c r="U64" s="31"/>
      <c r="V64" s="16">
        <f t="shared" si="6"/>
        <v>0</v>
      </c>
      <c r="W64" s="7"/>
      <c r="X64" s="33"/>
      <c r="Y64" s="33"/>
      <c r="Z64" s="16">
        <f t="shared" si="7"/>
        <v>0</v>
      </c>
    </row>
    <row r="65" spans="1:26" x14ac:dyDescent="0.35">
      <c r="A65" s="7">
        <v>62</v>
      </c>
      <c r="B65" s="8" t="s">
        <v>201</v>
      </c>
      <c r="C65" s="8" t="s">
        <v>202</v>
      </c>
      <c r="D65" s="13">
        <v>30623</v>
      </c>
      <c r="E65" s="9">
        <v>505</v>
      </c>
      <c r="F65" s="28">
        <v>46</v>
      </c>
      <c r="G65" s="7">
        <v>1029</v>
      </c>
      <c r="H65" s="31">
        <v>0.5</v>
      </c>
      <c r="I65" s="31"/>
      <c r="J65" s="16">
        <f t="shared" si="8"/>
        <v>23</v>
      </c>
      <c r="K65" s="7"/>
      <c r="L65" s="31"/>
      <c r="M65" s="31"/>
      <c r="N65" s="16">
        <f t="shared" si="4"/>
        <v>0</v>
      </c>
      <c r="O65" s="7"/>
      <c r="P65" s="31"/>
      <c r="Q65" s="31"/>
      <c r="R65" s="16">
        <f t="shared" si="5"/>
        <v>0</v>
      </c>
      <c r="S65" s="7"/>
      <c r="T65" s="31"/>
      <c r="U65" s="31"/>
      <c r="V65" s="16">
        <f t="shared" si="6"/>
        <v>0</v>
      </c>
      <c r="W65" s="7"/>
      <c r="X65" s="33"/>
      <c r="Y65" s="33"/>
      <c r="Z65" s="16">
        <f t="shared" si="7"/>
        <v>0</v>
      </c>
    </row>
    <row r="66" spans="1:26" x14ac:dyDescent="0.35">
      <c r="A66" s="7">
        <v>63</v>
      </c>
      <c r="B66" s="8" t="s">
        <v>201</v>
      </c>
      <c r="C66" s="8" t="s">
        <v>203</v>
      </c>
      <c r="D66" s="13">
        <v>23207</v>
      </c>
      <c r="E66" s="9">
        <v>505</v>
      </c>
      <c r="F66" s="28">
        <v>76</v>
      </c>
      <c r="G66" s="7">
        <v>1029</v>
      </c>
      <c r="H66" s="31">
        <v>0.5</v>
      </c>
      <c r="I66" s="31"/>
      <c r="J66" s="16">
        <f t="shared" si="8"/>
        <v>38</v>
      </c>
      <c r="K66" s="7">
        <v>1003</v>
      </c>
      <c r="L66" s="31">
        <v>0.5</v>
      </c>
      <c r="M66" s="31"/>
      <c r="N66" s="16">
        <f t="shared" si="4"/>
        <v>38</v>
      </c>
      <c r="O66" s="7">
        <v>1054</v>
      </c>
      <c r="P66" s="31">
        <v>0.25</v>
      </c>
      <c r="Q66" s="31"/>
      <c r="R66" s="16">
        <f t="shared" si="5"/>
        <v>19</v>
      </c>
      <c r="S66" s="7"/>
      <c r="T66" s="31"/>
      <c r="U66" s="31"/>
      <c r="V66" s="16">
        <f t="shared" si="6"/>
        <v>0</v>
      </c>
      <c r="W66" s="7"/>
      <c r="X66" s="33"/>
      <c r="Y66" s="33"/>
      <c r="Z66" s="16">
        <f t="shared" si="7"/>
        <v>0</v>
      </c>
    </row>
    <row r="67" spans="1:26" x14ac:dyDescent="0.35">
      <c r="A67" s="7">
        <v>64</v>
      </c>
      <c r="B67" s="8" t="s">
        <v>201</v>
      </c>
      <c r="C67" s="8" t="s">
        <v>204</v>
      </c>
      <c r="D67" s="13">
        <v>43474</v>
      </c>
      <c r="E67" s="9">
        <v>505</v>
      </c>
      <c r="F67" s="28">
        <v>14</v>
      </c>
      <c r="G67" s="7">
        <v>1029</v>
      </c>
      <c r="H67" s="31">
        <v>0.5</v>
      </c>
      <c r="I67" s="31"/>
      <c r="J67" s="16">
        <f t="shared" si="8"/>
        <v>7</v>
      </c>
      <c r="K67" s="7">
        <v>1003</v>
      </c>
      <c r="L67" s="31">
        <v>0.5</v>
      </c>
      <c r="M67" s="31"/>
      <c r="N67" s="16">
        <f t="shared" si="4"/>
        <v>7</v>
      </c>
      <c r="O67" s="7">
        <v>1054</v>
      </c>
      <c r="P67" s="31">
        <v>0.25</v>
      </c>
      <c r="Q67" s="31"/>
      <c r="R67" s="16">
        <f t="shared" si="5"/>
        <v>3.5</v>
      </c>
      <c r="S67" s="7"/>
      <c r="T67" s="31"/>
      <c r="U67" s="31"/>
      <c r="V67" s="16">
        <f t="shared" si="6"/>
        <v>0</v>
      </c>
      <c r="W67" s="7"/>
      <c r="X67" s="33"/>
      <c r="Y67" s="33"/>
      <c r="Z67" s="16">
        <f t="shared" si="7"/>
        <v>0</v>
      </c>
    </row>
    <row r="68" spans="1:26" x14ac:dyDescent="0.35">
      <c r="A68" s="7">
        <v>65</v>
      </c>
      <c r="B68" s="8" t="s">
        <v>205</v>
      </c>
      <c r="C68" s="8" t="s">
        <v>206</v>
      </c>
      <c r="D68" s="13">
        <v>28697</v>
      </c>
      <c r="E68" s="9">
        <v>505</v>
      </c>
      <c r="F68" s="28">
        <v>52</v>
      </c>
      <c r="G68" s="7">
        <v>1029</v>
      </c>
      <c r="H68" s="31">
        <v>0.5</v>
      </c>
      <c r="I68" s="31"/>
      <c r="J68" s="16">
        <f t="shared" si="8"/>
        <v>26</v>
      </c>
      <c r="K68" s="7"/>
      <c r="L68" s="31"/>
      <c r="M68" s="31"/>
      <c r="N68" s="16">
        <f t="shared" si="4"/>
        <v>0</v>
      </c>
      <c r="O68" s="7"/>
      <c r="P68" s="31"/>
      <c r="Q68" s="31"/>
      <c r="R68" s="16">
        <f t="shared" si="5"/>
        <v>0</v>
      </c>
      <c r="S68" s="7"/>
      <c r="T68" s="31"/>
      <c r="U68" s="31"/>
      <c r="V68" s="16">
        <f t="shared" si="6"/>
        <v>0</v>
      </c>
      <c r="W68" s="7"/>
      <c r="X68" s="33"/>
      <c r="Y68" s="33"/>
      <c r="Z68" s="16">
        <f t="shared" si="7"/>
        <v>0</v>
      </c>
    </row>
    <row r="69" spans="1:26" x14ac:dyDescent="0.35">
      <c r="A69" s="7">
        <v>66</v>
      </c>
      <c r="B69" s="8" t="s">
        <v>205</v>
      </c>
      <c r="C69" s="8" t="s">
        <v>207</v>
      </c>
      <c r="D69" s="13">
        <v>40149</v>
      </c>
      <c r="E69" s="9">
        <v>505</v>
      </c>
      <c r="F69" s="28">
        <v>40</v>
      </c>
      <c r="G69" s="7">
        <v>1029</v>
      </c>
      <c r="H69" s="31">
        <v>0.5</v>
      </c>
      <c r="I69" s="31"/>
      <c r="J69" s="16">
        <f t="shared" si="8"/>
        <v>20</v>
      </c>
      <c r="K69" s="7"/>
      <c r="L69" s="31"/>
      <c r="M69" s="31"/>
      <c r="N69" s="16">
        <f t="shared" si="4"/>
        <v>0</v>
      </c>
      <c r="O69" s="7"/>
      <c r="P69" s="31"/>
      <c r="Q69" s="31"/>
      <c r="R69" s="16">
        <f t="shared" si="5"/>
        <v>0</v>
      </c>
      <c r="S69" s="7"/>
      <c r="T69" s="31"/>
      <c r="U69" s="31"/>
      <c r="V69" s="16">
        <f t="shared" si="6"/>
        <v>0</v>
      </c>
      <c r="W69" s="7"/>
      <c r="X69" s="33"/>
      <c r="Y69" s="33"/>
      <c r="Z69" s="16">
        <f t="shared" si="7"/>
        <v>0</v>
      </c>
    </row>
    <row r="70" spans="1:26" x14ac:dyDescent="0.35">
      <c r="A70" s="7">
        <v>67</v>
      </c>
      <c r="B70" s="8" t="s">
        <v>208</v>
      </c>
      <c r="C70" s="8">
        <v>4</v>
      </c>
      <c r="D70" s="13">
        <v>36526</v>
      </c>
      <c r="E70" s="9"/>
      <c r="F70" s="28">
        <v>36</v>
      </c>
      <c r="G70" s="7">
        <v>1055</v>
      </c>
      <c r="H70" s="31">
        <v>20</v>
      </c>
      <c r="I70" s="31">
        <v>20</v>
      </c>
      <c r="J70" s="16">
        <f t="shared" si="8"/>
        <v>20</v>
      </c>
      <c r="K70" s="7"/>
      <c r="L70" s="31"/>
      <c r="M70" s="31"/>
      <c r="N70" s="16">
        <f t="shared" ref="N70:N103" si="9">IF(AND(F70*L70&gt;M70,M70&gt;0),M70, F70*L70)</f>
        <v>0</v>
      </c>
      <c r="O70" s="7"/>
      <c r="P70" s="31"/>
      <c r="Q70" s="31"/>
      <c r="R70" s="16">
        <f t="shared" si="5"/>
        <v>0</v>
      </c>
      <c r="S70" s="7"/>
      <c r="T70" s="31"/>
      <c r="U70" s="31"/>
      <c r="V70" s="16">
        <f t="shared" si="6"/>
        <v>0</v>
      </c>
      <c r="W70" s="7"/>
      <c r="X70" s="33"/>
      <c r="Y70" s="33"/>
      <c r="Z70" s="16">
        <f t="shared" si="7"/>
        <v>0</v>
      </c>
    </row>
    <row r="71" spans="1:26" x14ac:dyDescent="0.35">
      <c r="A71" s="7">
        <v>68</v>
      </c>
      <c r="B71" s="8" t="s">
        <v>209</v>
      </c>
      <c r="C71" s="8" t="s">
        <v>210</v>
      </c>
      <c r="D71" s="13">
        <v>42528</v>
      </c>
      <c r="E71" s="9">
        <v>502</v>
      </c>
      <c r="F71" s="28">
        <v>68</v>
      </c>
      <c r="G71" s="7">
        <v>1002</v>
      </c>
      <c r="H71" s="31">
        <v>0.5</v>
      </c>
      <c r="I71" s="31"/>
      <c r="J71" s="16">
        <f t="shared" si="8"/>
        <v>34</v>
      </c>
      <c r="K71" s="7">
        <v>1056</v>
      </c>
      <c r="L71" s="31">
        <v>0.5</v>
      </c>
      <c r="M71" s="31">
        <v>50</v>
      </c>
      <c r="N71" s="16">
        <f t="shared" si="9"/>
        <v>34</v>
      </c>
      <c r="O71" s="7">
        <v>1006</v>
      </c>
      <c r="P71" s="31">
        <v>0.5</v>
      </c>
      <c r="Q71" s="31">
        <v>50</v>
      </c>
      <c r="R71" s="16">
        <f t="shared" si="5"/>
        <v>34</v>
      </c>
      <c r="S71" s="7">
        <v>1007</v>
      </c>
      <c r="T71" s="31">
        <v>0.5</v>
      </c>
      <c r="U71" s="31">
        <v>50</v>
      </c>
      <c r="V71" s="16">
        <f t="shared" si="6"/>
        <v>34</v>
      </c>
      <c r="W71" s="7"/>
      <c r="X71" s="33"/>
      <c r="Y71" s="33"/>
      <c r="Z71" s="16">
        <f t="shared" si="7"/>
        <v>0</v>
      </c>
    </row>
    <row r="72" spans="1:26" x14ac:dyDescent="0.35">
      <c r="A72" s="7">
        <v>69</v>
      </c>
      <c r="B72" s="8" t="s">
        <v>211</v>
      </c>
      <c r="C72" s="8" t="s">
        <v>132</v>
      </c>
      <c r="D72" s="13">
        <v>28159</v>
      </c>
      <c r="E72" s="9"/>
      <c r="F72" s="28">
        <v>50</v>
      </c>
      <c r="G72" s="7">
        <v>1059</v>
      </c>
      <c r="H72" s="31">
        <v>50</v>
      </c>
      <c r="I72" s="31">
        <v>50</v>
      </c>
      <c r="J72" s="16">
        <f t="shared" si="8"/>
        <v>50</v>
      </c>
      <c r="K72" s="7"/>
      <c r="L72" s="31"/>
      <c r="M72" s="31"/>
      <c r="N72" s="16">
        <f t="shared" si="9"/>
        <v>0</v>
      </c>
      <c r="O72" s="7"/>
      <c r="P72" s="31"/>
      <c r="Q72" s="31"/>
      <c r="R72" s="16">
        <f t="shared" si="5"/>
        <v>0</v>
      </c>
      <c r="S72" s="7"/>
      <c r="T72" s="31"/>
      <c r="U72" s="31"/>
      <c r="V72" s="16">
        <f t="shared" si="6"/>
        <v>0</v>
      </c>
      <c r="W72" s="7"/>
      <c r="X72" s="33"/>
      <c r="Y72" s="33"/>
      <c r="Z72" s="16">
        <f t="shared" si="7"/>
        <v>0</v>
      </c>
    </row>
    <row r="73" spans="1:26" x14ac:dyDescent="0.35">
      <c r="A73" s="7">
        <v>70</v>
      </c>
      <c r="B73" s="8" t="s">
        <v>212</v>
      </c>
      <c r="C73" s="8" t="s">
        <v>213</v>
      </c>
      <c r="D73" s="13">
        <v>39830</v>
      </c>
      <c r="E73" s="9">
        <v>503</v>
      </c>
      <c r="F73" s="28">
        <v>60</v>
      </c>
      <c r="G73" s="7">
        <v>1003</v>
      </c>
      <c r="H73" s="31">
        <v>0.5</v>
      </c>
      <c r="I73" s="31"/>
      <c r="J73" s="16">
        <f t="shared" si="8"/>
        <v>30</v>
      </c>
      <c r="K73" s="7"/>
      <c r="L73" s="31"/>
      <c r="M73" s="31"/>
      <c r="N73" s="16">
        <f t="shared" si="9"/>
        <v>0</v>
      </c>
      <c r="O73" s="7"/>
      <c r="P73" s="31"/>
      <c r="Q73" s="31"/>
      <c r="R73" s="16">
        <f t="shared" ref="R73:R103" si="10">IF(AND(F73*P73&gt;Q73,Q73&gt;0),Q73, F73*P73)</f>
        <v>0</v>
      </c>
      <c r="S73" s="7"/>
      <c r="T73" s="31"/>
      <c r="U73" s="31"/>
      <c r="V73" s="16">
        <f t="shared" si="6"/>
        <v>0</v>
      </c>
      <c r="W73" s="7"/>
      <c r="X73" s="33"/>
      <c r="Y73" s="33"/>
      <c r="Z73" s="16">
        <f t="shared" si="7"/>
        <v>0</v>
      </c>
    </row>
    <row r="74" spans="1:26" x14ac:dyDescent="0.35">
      <c r="A74" s="7">
        <v>71</v>
      </c>
      <c r="B74" s="8" t="s">
        <v>124</v>
      </c>
      <c r="C74" s="8" t="s">
        <v>214</v>
      </c>
      <c r="D74" s="13">
        <v>30595</v>
      </c>
      <c r="E74" s="9">
        <v>502</v>
      </c>
      <c r="F74" s="28">
        <v>46</v>
      </c>
      <c r="G74" s="7">
        <v>1002</v>
      </c>
      <c r="H74" s="31">
        <v>0.5</v>
      </c>
      <c r="I74" s="31"/>
      <c r="J74" s="16">
        <f t="shared" si="8"/>
        <v>23</v>
      </c>
      <c r="K74" s="7">
        <v>1060</v>
      </c>
      <c r="L74" s="31">
        <v>1</v>
      </c>
      <c r="M74" s="31"/>
      <c r="N74" s="16">
        <f t="shared" si="9"/>
        <v>46</v>
      </c>
      <c r="O74" s="7"/>
      <c r="P74" s="31"/>
      <c r="Q74" s="31"/>
      <c r="R74" s="16">
        <f t="shared" si="10"/>
        <v>0</v>
      </c>
      <c r="S74" s="7"/>
      <c r="T74" s="31"/>
      <c r="U74" s="31"/>
      <c r="V74" s="16">
        <f t="shared" si="6"/>
        <v>0</v>
      </c>
      <c r="W74" s="7"/>
      <c r="X74" s="33"/>
      <c r="Y74" s="33"/>
      <c r="Z74" s="16">
        <f t="shared" si="7"/>
        <v>0</v>
      </c>
    </row>
    <row r="75" spans="1:26" x14ac:dyDescent="0.35">
      <c r="A75" s="7">
        <v>72</v>
      </c>
      <c r="B75" s="8" t="s">
        <v>144</v>
      </c>
      <c r="C75" s="8" t="s">
        <v>215</v>
      </c>
      <c r="D75" s="13">
        <v>40885</v>
      </c>
      <c r="E75" s="9"/>
      <c r="F75" s="28">
        <v>96</v>
      </c>
      <c r="G75" s="7">
        <v>1032</v>
      </c>
      <c r="H75" s="31">
        <v>0.5</v>
      </c>
      <c r="I75" s="31"/>
      <c r="J75" s="16">
        <f t="shared" si="8"/>
        <v>48</v>
      </c>
      <c r="K75" s="7"/>
      <c r="L75" s="31"/>
      <c r="M75" s="31"/>
      <c r="N75" s="16">
        <f t="shared" si="9"/>
        <v>0</v>
      </c>
      <c r="O75" s="7"/>
      <c r="P75" s="31"/>
      <c r="Q75" s="31"/>
      <c r="R75" s="16">
        <f t="shared" si="10"/>
        <v>0</v>
      </c>
      <c r="S75" s="7"/>
      <c r="T75" s="31"/>
      <c r="U75" s="31"/>
      <c r="V75" s="16">
        <f t="shared" si="6"/>
        <v>0</v>
      </c>
      <c r="W75" s="7"/>
      <c r="X75" s="33"/>
      <c r="Y75" s="33"/>
      <c r="Z75" s="16">
        <f t="shared" si="7"/>
        <v>0</v>
      </c>
    </row>
    <row r="76" spans="1:26" x14ac:dyDescent="0.35">
      <c r="A76" s="7">
        <v>73</v>
      </c>
      <c r="B76" s="2" t="s">
        <v>168</v>
      </c>
      <c r="C76" s="8" t="s">
        <v>216</v>
      </c>
      <c r="D76" s="13">
        <v>34191</v>
      </c>
      <c r="E76" s="9">
        <v>503</v>
      </c>
      <c r="F76" s="28">
        <v>66</v>
      </c>
      <c r="G76" s="7">
        <v>1003</v>
      </c>
      <c r="H76" s="31">
        <v>0.5</v>
      </c>
      <c r="I76" s="31"/>
      <c r="J76" s="16">
        <f t="shared" si="8"/>
        <v>33</v>
      </c>
      <c r="K76" s="7"/>
      <c r="L76" s="31"/>
      <c r="M76" s="31"/>
      <c r="N76" s="16">
        <f t="shared" si="9"/>
        <v>0</v>
      </c>
      <c r="O76" s="7"/>
      <c r="P76" s="31"/>
      <c r="Q76" s="31"/>
      <c r="R76" s="16">
        <f t="shared" si="10"/>
        <v>0</v>
      </c>
      <c r="S76" s="7"/>
      <c r="T76" s="31"/>
      <c r="U76" s="31"/>
      <c r="V76" s="16">
        <f t="shared" si="6"/>
        <v>0</v>
      </c>
      <c r="W76" s="7"/>
      <c r="X76" s="33"/>
      <c r="Y76" s="33"/>
      <c r="Z76" s="16">
        <f t="shared" si="7"/>
        <v>0</v>
      </c>
    </row>
    <row r="77" spans="1:26" x14ac:dyDescent="0.35">
      <c r="A77" s="7">
        <v>74</v>
      </c>
      <c r="B77" s="8" t="s">
        <v>217</v>
      </c>
      <c r="C77" s="8" t="s">
        <v>218</v>
      </c>
      <c r="D77" s="13">
        <v>42027</v>
      </c>
      <c r="E77" s="9">
        <v>503.505</v>
      </c>
      <c r="F77" s="28">
        <v>68</v>
      </c>
      <c r="G77" s="7">
        <v>1003</v>
      </c>
      <c r="H77" s="31">
        <v>0.5</v>
      </c>
      <c r="I77" s="31"/>
      <c r="J77" s="16">
        <f t="shared" si="8"/>
        <v>34</v>
      </c>
      <c r="K77" s="7">
        <v>1029</v>
      </c>
      <c r="L77" s="31">
        <v>0.5</v>
      </c>
      <c r="M77" s="31"/>
      <c r="N77" s="16">
        <f t="shared" si="9"/>
        <v>34</v>
      </c>
      <c r="O77" s="7"/>
      <c r="P77" s="31"/>
      <c r="Q77" s="31"/>
      <c r="R77" s="16">
        <f t="shared" si="10"/>
        <v>0</v>
      </c>
      <c r="S77" s="7"/>
      <c r="T77" s="31"/>
      <c r="U77" s="31"/>
      <c r="V77" s="16">
        <f t="shared" ref="V77:V103" si="11">IF(AND(F77*T77&gt;U77,U77&gt;0),U77, F77*T77)</f>
        <v>0</v>
      </c>
      <c r="W77" s="7"/>
      <c r="X77" s="33"/>
      <c r="Y77" s="33"/>
      <c r="Z77" s="16">
        <f t="shared" ref="Z77:Z103" si="12">IF(AND(F77*X77&gt;Y77,Y77&gt;0),Y77, F77*X77)</f>
        <v>0</v>
      </c>
    </row>
    <row r="78" spans="1:26" x14ac:dyDescent="0.35">
      <c r="A78" s="7">
        <v>75</v>
      </c>
      <c r="B78" s="8" t="s">
        <v>217</v>
      </c>
      <c r="C78" s="8" t="s">
        <v>219</v>
      </c>
      <c r="D78" s="13">
        <v>41408</v>
      </c>
      <c r="E78" s="9">
        <v>503.505</v>
      </c>
      <c r="F78" s="28">
        <v>84</v>
      </c>
      <c r="G78" s="7">
        <v>1003</v>
      </c>
      <c r="H78" s="31">
        <v>0.5</v>
      </c>
      <c r="I78" s="31"/>
      <c r="J78" s="16">
        <f t="shared" ref="J78:J103" si="13">IF(AND(F78*H78&gt;I78,I78&gt;0),I78, F78*H78)</f>
        <v>42</v>
      </c>
      <c r="K78" s="7">
        <v>1029</v>
      </c>
      <c r="L78" s="31">
        <v>0.5</v>
      </c>
      <c r="M78" s="31"/>
      <c r="N78" s="16">
        <f t="shared" si="9"/>
        <v>42</v>
      </c>
      <c r="O78" s="7"/>
      <c r="P78" s="31"/>
      <c r="Q78" s="31"/>
      <c r="R78" s="16">
        <f t="shared" si="10"/>
        <v>0</v>
      </c>
      <c r="S78" s="7"/>
      <c r="T78" s="31"/>
      <c r="U78" s="31"/>
      <c r="V78" s="16">
        <f t="shared" si="11"/>
        <v>0</v>
      </c>
      <c r="W78" s="7"/>
      <c r="X78" s="33"/>
      <c r="Y78" s="33"/>
      <c r="Z78" s="16">
        <f t="shared" si="12"/>
        <v>0</v>
      </c>
    </row>
    <row r="79" spans="1:26" x14ac:dyDescent="0.35">
      <c r="A79" s="7">
        <v>76</v>
      </c>
      <c r="B79" s="8" t="s">
        <v>217</v>
      </c>
      <c r="C79" s="8" t="s">
        <v>220</v>
      </c>
      <c r="D79" s="13">
        <v>30358</v>
      </c>
      <c r="E79" s="9">
        <v>503.505</v>
      </c>
      <c r="F79" s="28">
        <v>68</v>
      </c>
      <c r="G79" s="7">
        <v>1003</v>
      </c>
      <c r="H79" s="31">
        <v>0.5</v>
      </c>
      <c r="I79" s="31"/>
      <c r="J79" s="16">
        <f t="shared" si="13"/>
        <v>34</v>
      </c>
      <c r="K79" s="7">
        <v>1029</v>
      </c>
      <c r="L79" s="31">
        <v>0.5</v>
      </c>
      <c r="M79" s="31"/>
      <c r="N79" s="16">
        <f t="shared" si="9"/>
        <v>34</v>
      </c>
      <c r="O79" s="7"/>
      <c r="P79" s="31"/>
      <c r="Q79" s="31"/>
      <c r="R79" s="16">
        <f t="shared" si="10"/>
        <v>0</v>
      </c>
      <c r="S79" s="7"/>
      <c r="T79" s="31"/>
      <c r="U79" s="31"/>
      <c r="V79" s="16">
        <f t="shared" si="11"/>
        <v>0</v>
      </c>
      <c r="W79" s="7"/>
      <c r="X79" s="33"/>
      <c r="Y79" s="33"/>
      <c r="Z79" s="16">
        <f t="shared" si="12"/>
        <v>0</v>
      </c>
    </row>
    <row r="80" spans="1:26" x14ac:dyDescent="0.35">
      <c r="A80" s="7">
        <v>77</v>
      </c>
      <c r="B80" s="8" t="s">
        <v>217</v>
      </c>
      <c r="C80" s="8" t="s">
        <v>221</v>
      </c>
      <c r="D80" s="13">
        <v>40697</v>
      </c>
      <c r="E80" s="9">
        <v>503.505</v>
      </c>
      <c r="F80" s="28">
        <v>30</v>
      </c>
      <c r="G80" s="7">
        <v>1003</v>
      </c>
      <c r="H80" s="31">
        <v>0.5</v>
      </c>
      <c r="I80" s="31"/>
      <c r="J80" s="16">
        <f t="shared" si="13"/>
        <v>15</v>
      </c>
      <c r="K80" s="7">
        <v>1029</v>
      </c>
      <c r="L80" s="31">
        <v>0.5</v>
      </c>
      <c r="M80" s="31"/>
      <c r="N80" s="16">
        <f t="shared" si="9"/>
        <v>15</v>
      </c>
      <c r="O80" s="7"/>
      <c r="P80" s="31"/>
      <c r="Q80" s="31"/>
      <c r="R80" s="16">
        <f t="shared" si="10"/>
        <v>0</v>
      </c>
      <c r="S80" s="7"/>
      <c r="T80" s="31"/>
      <c r="U80" s="31"/>
      <c r="V80" s="16">
        <f t="shared" si="11"/>
        <v>0</v>
      </c>
      <c r="W80" s="7"/>
      <c r="X80" s="33"/>
      <c r="Y80" s="33"/>
      <c r="Z80" s="16">
        <f t="shared" si="12"/>
        <v>0</v>
      </c>
    </row>
    <row r="81" spans="1:26" x14ac:dyDescent="0.35">
      <c r="A81" s="7">
        <v>78</v>
      </c>
      <c r="B81" s="8" t="s">
        <v>222</v>
      </c>
      <c r="C81" s="8" t="s">
        <v>173</v>
      </c>
      <c r="D81" s="13">
        <v>33922</v>
      </c>
      <c r="E81" s="9">
        <v>502</v>
      </c>
      <c r="F81" s="28">
        <v>40</v>
      </c>
      <c r="G81" s="7">
        <v>1002</v>
      </c>
      <c r="H81" s="31">
        <v>0.5</v>
      </c>
      <c r="I81" s="31"/>
      <c r="J81" s="16">
        <f t="shared" si="13"/>
        <v>20</v>
      </c>
      <c r="K81" s="7">
        <v>1062</v>
      </c>
      <c r="L81" s="31">
        <v>1</v>
      </c>
      <c r="M81" s="31"/>
      <c r="N81" s="16">
        <f t="shared" si="9"/>
        <v>40</v>
      </c>
      <c r="O81" s="7">
        <v>1063</v>
      </c>
      <c r="P81" s="31">
        <v>0.5</v>
      </c>
      <c r="Q81" s="31">
        <v>10</v>
      </c>
      <c r="R81" s="16">
        <f t="shared" si="10"/>
        <v>10</v>
      </c>
      <c r="S81" s="7">
        <v>1064</v>
      </c>
      <c r="T81" s="31">
        <v>1</v>
      </c>
      <c r="U81" s="31"/>
      <c r="V81" s="16">
        <f t="shared" si="11"/>
        <v>40</v>
      </c>
      <c r="W81" s="7"/>
      <c r="X81" s="33"/>
      <c r="Y81" s="33"/>
      <c r="Z81" s="16">
        <f t="shared" si="12"/>
        <v>0</v>
      </c>
    </row>
    <row r="82" spans="1:26" x14ac:dyDescent="0.35">
      <c r="A82" s="7">
        <v>79</v>
      </c>
      <c r="B82" s="8" t="s">
        <v>223</v>
      </c>
      <c r="C82" s="8" t="s">
        <v>224</v>
      </c>
      <c r="D82" s="13">
        <v>41765</v>
      </c>
      <c r="E82" s="9">
        <v>503</v>
      </c>
      <c r="F82" s="28">
        <v>60</v>
      </c>
      <c r="G82" s="7">
        <v>1003</v>
      </c>
      <c r="H82" s="31">
        <v>0.5</v>
      </c>
      <c r="I82" s="31"/>
      <c r="J82" s="16">
        <f t="shared" si="13"/>
        <v>30</v>
      </c>
      <c r="K82" s="7">
        <v>1065</v>
      </c>
      <c r="L82" s="31">
        <v>1</v>
      </c>
      <c r="M82" s="31"/>
      <c r="N82" s="16">
        <f t="shared" si="9"/>
        <v>60</v>
      </c>
      <c r="O82" s="7">
        <v>1066</v>
      </c>
      <c r="P82" s="31">
        <v>2</v>
      </c>
      <c r="Q82" s="31"/>
      <c r="R82" s="16">
        <f t="shared" si="10"/>
        <v>120</v>
      </c>
      <c r="S82" s="7"/>
      <c r="T82" s="31"/>
      <c r="U82" s="31"/>
      <c r="V82" s="16">
        <f t="shared" si="11"/>
        <v>0</v>
      </c>
      <c r="W82" s="7"/>
      <c r="X82" s="33"/>
      <c r="Y82" s="33"/>
      <c r="Z82" s="16">
        <f t="shared" si="12"/>
        <v>0</v>
      </c>
    </row>
    <row r="83" spans="1:26" x14ac:dyDescent="0.35">
      <c r="A83" s="7">
        <v>80</v>
      </c>
      <c r="B83" s="8" t="s">
        <v>225</v>
      </c>
      <c r="C83" s="8" t="s">
        <v>226</v>
      </c>
      <c r="D83" s="13">
        <v>43407</v>
      </c>
      <c r="E83" s="9">
        <v>503</v>
      </c>
      <c r="F83" s="28">
        <v>16</v>
      </c>
      <c r="G83" s="7">
        <v>1003</v>
      </c>
      <c r="H83" s="31">
        <v>0.5</v>
      </c>
      <c r="I83" s="31"/>
      <c r="J83" s="16">
        <f t="shared" si="13"/>
        <v>8</v>
      </c>
      <c r="K83" s="7">
        <v>1068</v>
      </c>
      <c r="L83" s="31">
        <v>1</v>
      </c>
      <c r="M83" s="31"/>
      <c r="N83" s="16">
        <f t="shared" si="9"/>
        <v>16</v>
      </c>
      <c r="O83" s="7"/>
      <c r="P83" s="31"/>
      <c r="Q83" s="31"/>
      <c r="R83" s="16">
        <f t="shared" si="10"/>
        <v>0</v>
      </c>
      <c r="S83" s="7"/>
      <c r="T83" s="31"/>
      <c r="U83" s="31"/>
      <c r="V83" s="16">
        <f t="shared" si="11"/>
        <v>0</v>
      </c>
      <c r="W83" s="7"/>
      <c r="X83" s="33"/>
      <c r="Y83" s="33"/>
      <c r="Z83" s="16">
        <f t="shared" si="12"/>
        <v>0</v>
      </c>
    </row>
    <row r="84" spans="1:26" x14ac:dyDescent="0.35">
      <c r="A84" s="7">
        <v>81</v>
      </c>
      <c r="B84" s="8" t="s">
        <v>225</v>
      </c>
      <c r="C84" s="8" t="s">
        <v>227</v>
      </c>
      <c r="D84" s="13">
        <v>42116</v>
      </c>
      <c r="E84" s="9">
        <v>503</v>
      </c>
      <c r="F84" s="28">
        <v>80</v>
      </c>
      <c r="G84" s="7">
        <v>1003</v>
      </c>
      <c r="H84" s="31">
        <v>0.5</v>
      </c>
      <c r="I84" s="31"/>
      <c r="J84" s="16">
        <f t="shared" si="13"/>
        <v>40</v>
      </c>
      <c r="K84" s="7">
        <v>1067</v>
      </c>
      <c r="L84" s="31">
        <v>1</v>
      </c>
      <c r="M84" s="31"/>
      <c r="N84" s="16">
        <f t="shared" si="9"/>
        <v>80</v>
      </c>
      <c r="O84" s="7"/>
      <c r="P84" s="31"/>
      <c r="Q84" s="31"/>
      <c r="R84" s="16">
        <f t="shared" si="10"/>
        <v>0</v>
      </c>
      <c r="S84" s="7"/>
      <c r="T84" s="31"/>
      <c r="U84" s="31"/>
      <c r="V84" s="16">
        <f t="shared" si="11"/>
        <v>0</v>
      </c>
      <c r="W84" s="7"/>
      <c r="X84" s="33"/>
      <c r="Y84" s="33"/>
      <c r="Z84" s="16">
        <f t="shared" si="12"/>
        <v>0</v>
      </c>
    </row>
    <row r="85" spans="1:26" x14ac:dyDescent="0.35">
      <c r="A85" s="7">
        <v>82</v>
      </c>
      <c r="B85" s="8" t="s">
        <v>128</v>
      </c>
      <c r="C85" s="8" t="s">
        <v>228</v>
      </c>
      <c r="D85" s="13">
        <v>31212</v>
      </c>
      <c r="E85" s="9"/>
      <c r="F85" s="28">
        <v>34</v>
      </c>
      <c r="G85" s="7">
        <v>1069</v>
      </c>
      <c r="H85" s="31">
        <v>3</v>
      </c>
      <c r="I85" s="31"/>
      <c r="J85" s="16">
        <f t="shared" si="13"/>
        <v>102</v>
      </c>
      <c r="K85" s="7"/>
      <c r="L85" s="31"/>
      <c r="M85" s="31"/>
      <c r="N85" s="16">
        <f t="shared" si="9"/>
        <v>0</v>
      </c>
      <c r="O85" s="7"/>
      <c r="P85" s="31"/>
      <c r="Q85" s="31"/>
      <c r="R85" s="16">
        <f t="shared" si="10"/>
        <v>0</v>
      </c>
      <c r="S85" s="7"/>
      <c r="T85" s="31"/>
      <c r="U85" s="31"/>
      <c r="V85" s="16">
        <f t="shared" si="11"/>
        <v>0</v>
      </c>
      <c r="W85" s="7"/>
      <c r="X85" s="33"/>
      <c r="Y85" s="33"/>
      <c r="Z85" s="16">
        <f t="shared" si="12"/>
        <v>0</v>
      </c>
    </row>
    <row r="86" spans="1:26" x14ac:dyDescent="0.35">
      <c r="A86" s="7">
        <v>83</v>
      </c>
      <c r="B86" s="8" t="s">
        <v>229</v>
      </c>
      <c r="C86" s="8" t="s">
        <v>230</v>
      </c>
      <c r="D86" s="13">
        <v>34533</v>
      </c>
      <c r="E86" s="9">
        <v>502</v>
      </c>
      <c r="F86" s="28">
        <v>50</v>
      </c>
      <c r="G86" s="7">
        <v>1002</v>
      </c>
      <c r="H86" s="31">
        <v>0.5</v>
      </c>
      <c r="I86" s="31"/>
      <c r="J86" s="16">
        <f t="shared" si="13"/>
        <v>25</v>
      </c>
      <c r="K86" s="7">
        <v>1070</v>
      </c>
      <c r="L86" s="31">
        <v>2</v>
      </c>
      <c r="M86" s="31"/>
      <c r="N86" s="16">
        <f t="shared" si="9"/>
        <v>100</v>
      </c>
      <c r="O86" s="7"/>
      <c r="P86" s="31"/>
      <c r="Q86" s="31"/>
      <c r="R86" s="16">
        <f t="shared" si="10"/>
        <v>0</v>
      </c>
      <c r="S86" s="7"/>
      <c r="T86" s="31"/>
      <c r="U86" s="31"/>
      <c r="V86" s="16">
        <f t="shared" si="11"/>
        <v>0</v>
      </c>
      <c r="W86" s="7"/>
      <c r="X86" s="33"/>
      <c r="Y86" s="33"/>
      <c r="Z86" s="16">
        <f t="shared" si="12"/>
        <v>0</v>
      </c>
    </row>
    <row r="87" spans="1:26" x14ac:dyDescent="0.35">
      <c r="A87" s="7">
        <v>84</v>
      </c>
      <c r="B87" s="8" t="s">
        <v>231</v>
      </c>
      <c r="C87" s="8" t="s">
        <v>232</v>
      </c>
      <c r="D87" s="13">
        <v>42163</v>
      </c>
      <c r="E87" s="9"/>
      <c r="F87" s="28">
        <v>52</v>
      </c>
      <c r="G87" s="7">
        <v>1071</v>
      </c>
      <c r="H87" s="31">
        <v>1</v>
      </c>
      <c r="I87" s="31"/>
      <c r="J87" s="16">
        <f t="shared" si="13"/>
        <v>52</v>
      </c>
      <c r="K87" s="7"/>
      <c r="L87" s="31"/>
      <c r="M87" s="31"/>
      <c r="N87" s="16">
        <f t="shared" si="9"/>
        <v>0</v>
      </c>
      <c r="O87" s="7"/>
      <c r="P87" s="31"/>
      <c r="Q87" s="31"/>
      <c r="R87" s="16">
        <f t="shared" si="10"/>
        <v>0</v>
      </c>
      <c r="S87" s="7"/>
      <c r="T87" s="31"/>
      <c r="U87" s="31"/>
      <c r="V87" s="16">
        <f t="shared" si="11"/>
        <v>0</v>
      </c>
      <c r="W87" s="7"/>
      <c r="X87" s="33"/>
      <c r="Y87" s="33"/>
      <c r="Z87" s="16">
        <f t="shared" si="12"/>
        <v>0</v>
      </c>
    </row>
    <row r="88" spans="1:26" x14ac:dyDescent="0.35">
      <c r="A88" s="7">
        <v>85</v>
      </c>
      <c r="B88" s="8" t="s">
        <v>233</v>
      </c>
      <c r="C88" s="8" t="s">
        <v>234</v>
      </c>
      <c r="D88" s="13">
        <v>42362</v>
      </c>
      <c r="E88" s="9"/>
      <c r="F88" s="28">
        <v>62</v>
      </c>
      <c r="G88" s="7">
        <v>1073</v>
      </c>
      <c r="H88" s="31">
        <v>2</v>
      </c>
      <c r="I88" s="31"/>
      <c r="J88" s="16">
        <f t="shared" si="13"/>
        <v>124</v>
      </c>
      <c r="K88" s="7"/>
      <c r="L88" s="31"/>
      <c r="M88" s="31"/>
      <c r="N88" s="16">
        <f t="shared" si="9"/>
        <v>0</v>
      </c>
      <c r="O88" s="7"/>
      <c r="P88" s="31"/>
      <c r="Q88" s="31"/>
      <c r="R88" s="16">
        <f t="shared" si="10"/>
        <v>0</v>
      </c>
      <c r="S88" s="7"/>
      <c r="T88" s="31"/>
      <c r="U88" s="31"/>
      <c r="V88" s="16">
        <f t="shared" si="11"/>
        <v>0</v>
      </c>
      <c r="W88" s="7"/>
      <c r="X88" s="33"/>
      <c r="Y88" s="33"/>
      <c r="Z88" s="16">
        <f t="shared" si="12"/>
        <v>0</v>
      </c>
    </row>
    <row r="89" spans="1:26" x14ac:dyDescent="0.35">
      <c r="A89" s="7">
        <v>86</v>
      </c>
      <c r="B89" s="8" t="s">
        <v>235</v>
      </c>
      <c r="C89" s="8" t="s">
        <v>236</v>
      </c>
      <c r="D89" s="13">
        <v>17924</v>
      </c>
      <c r="E89" s="9"/>
      <c r="F89" s="28">
        <v>38</v>
      </c>
      <c r="G89" s="7">
        <v>1072</v>
      </c>
      <c r="H89" s="31">
        <v>2</v>
      </c>
      <c r="I89" s="31"/>
      <c r="J89" s="16">
        <f t="shared" si="13"/>
        <v>76</v>
      </c>
      <c r="K89" s="7"/>
      <c r="L89" s="31"/>
      <c r="M89" s="31"/>
      <c r="N89" s="16">
        <f t="shared" si="9"/>
        <v>0</v>
      </c>
      <c r="O89" s="7"/>
      <c r="P89" s="31"/>
      <c r="Q89" s="31"/>
      <c r="R89" s="16">
        <f t="shared" si="10"/>
        <v>0</v>
      </c>
      <c r="S89" s="7"/>
      <c r="T89" s="31"/>
      <c r="U89" s="31"/>
      <c r="V89" s="16">
        <f t="shared" si="11"/>
        <v>0</v>
      </c>
      <c r="W89" s="7"/>
      <c r="X89" s="33"/>
      <c r="Y89" s="33"/>
      <c r="Z89" s="16">
        <f t="shared" si="12"/>
        <v>0</v>
      </c>
    </row>
    <row r="90" spans="1:26" x14ac:dyDescent="0.35">
      <c r="A90" s="7">
        <v>87</v>
      </c>
      <c r="B90" s="8" t="s">
        <v>237</v>
      </c>
      <c r="C90" s="8" t="s">
        <v>238</v>
      </c>
      <c r="D90" s="13">
        <v>24492</v>
      </c>
      <c r="E90" s="9">
        <v>502.505</v>
      </c>
      <c r="F90" s="28">
        <v>58</v>
      </c>
      <c r="G90" s="7">
        <v>1002</v>
      </c>
      <c r="H90" s="31">
        <v>0.5</v>
      </c>
      <c r="I90" s="31"/>
      <c r="J90" s="16">
        <f t="shared" si="13"/>
        <v>29</v>
      </c>
      <c r="K90" s="7">
        <v>1029</v>
      </c>
      <c r="L90" s="31">
        <v>0.5</v>
      </c>
      <c r="M90" s="31"/>
      <c r="N90" s="16">
        <f t="shared" si="9"/>
        <v>29</v>
      </c>
      <c r="O90" s="7"/>
      <c r="P90" s="31"/>
      <c r="Q90" s="31"/>
      <c r="R90" s="16">
        <f t="shared" si="10"/>
        <v>0</v>
      </c>
      <c r="S90" s="7"/>
      <c r="T90" s="31"/>
      <c r="U90" s="31"/>
      <c r="V90" s="16">
        <f t="shared" si="11"/>
        <v>0</v>
      </c>
      <c r="W90" s="7"/>
      <c r="X90" s="33"/>
      <c r="Y90" s="33"/>
      <c r="Z90" s="16">
        <f t="shared" si="12"/>
        <v>0</v>
      </c>
    </row>
    <row r="91" spans="1:26" x14ac:dyDescent="0.35">
      <c r="A91" s="7">
        <v>88</v>
      </c>
      <c r="B91" s="8" t="s">
        <v>239</v>
      </c>
      <c r="C91" s="8" t="s">
        <v>240</v>
      </c>
      <c r="D91" s="13">
        <v>20591</v>
      </c>
      <c r="E91" s="9"/>
      <c r="F91" s="28">
        <v>40</v>
      </c>
      <c r="G91" s="7">
        <v>1074</v>
      </c>
      <c r="H91" s="31">
        <v>1</v>
      </c>
      <c r="I91" s="31"/>
      <c r="J91" s="16">
        <f t="shared" si="13"/>
        <v>40</v>
      </c>
      <c r="K91" s="7"/>
      <c r="L91" s="31"/>
      <c r="M91" s="31"/>
      <c r="N91" s="16">
        <f t="shared" si="9"/>
        <v>0</v>
      </c>
      <c r="O91" s="7"/>
      <c r="P91" s="31"/>
      <c r="Q91" s="31"/>
      <c r="R91" s="16">
        <f t="shared" si="10"/>
        <v>0</v>
      </c>
      <c r="S91" s="7"/>
      <c r="T91" s="31"/>
      <c r="U91" s="31"/>
      <c r="V91" s="16">
        <f t="shared" si="11"/>
        <v>0</v>
      </c>
      <c r="W91" s="7"/>
      <c r="X91" s="33"/>
      <c r="Y91" s="33"/>
      <c r="Z91" s="16">
        <f t="shared" si="12"/>
        <v>0</v>
      </c>
    </row>
    <row r="92" spans="1:26" x14ac:dyDescent="0.35">
      <c r="A92" s="7">
        <v>89</v>
      </c>
      <c r="B92" s="8" t="s">
        <v>34</v>
      </c>
      <c r="C92" s="8" t="s">
        <v>241</v>
      </c>
      <c r="D92" s="13">
        <v>43531</v>
      </c>
      <c r="E92" s="9"/>
      <c r="F92" s="28">
        <v>22</v>
      </c>
      <c r="G92" s="7">
        <v>1004</v>
      </c>
      <c r="H92" s="31">
        <v>1</v>
      </c>
      <c r="I92" s="31">
        <v>30</v>
      </c>
      <c r="J92" s="16">
        <f t="shared" si="13"/>
        <v>22</v>
      </c>
      <c r="K92" s="7"/>
      <c r="L92" s="31"/>
      <c r="M92" s="31"/>
      <c r="N92" s="16">
        <f t="shared" si="9"/>
        <v>0</v>
      </c>
      <c r="O92" s="7"/>
      <c r="P92" s="31"/>
      <c r="Q92" s="31"/>
      <c r="R92" s="16">
        <f t="shared" si="10"/>
        <v>0</v>
      </c>
      <c r="S92" s="7"/>
      <c r="T92" s="31"/>
      <c r="U92" s="31"/>
      <c r="V92" s="16">
        <f t="shared" si="11"/>
        <v>0</v>
      </c>
      <c r="W92" s="7"/>
      <c r="X92" s="33"/>
      <c r="Y92" s="33"/>
      <c r="Z92" s="16">
        <f t="shared" si="12"/>
        <v>0</v>
      </c>
    </row>
    <row r="93" spans="1:26" x14ac:dyDescent="0.35">
      <c r="A93" s="7">
        <v>90</v>
      </c>
      <c r="B93" s="8" t="s">
        <v>242</v>
      </c>
      <c r="C93" s="8" t="s">
        <v>243</v>
      </c>
      <c r="D93" s="13">
        <v>40149</v>
      </c>
      <c r="E93" s="9">
        <v>503</v>
      </c>
      <c r="F93" s="28">
        <v>48</v>
      </c>
      <c r="G93" s="7">
        <v>1003</v>
      </c>
      <c r="H93" s="31">
        <v>0.5</v>
      </c>
      <c r="I93" s="31">
        <v>20</v>
      </c>
      <c r="J93" s="16">
        <f t="shared" si="13"/>
        <v>20</v>
      </c>
      <c r="K93" s="7"/>
      <c r="L93" s="31">
        <v>0.5</v>
      </c>
      <c r="M93" s="31">
        <v>20</v>
      </c>
      <c r="N93" s="16">
        <f t="shared" si="9"/>
        <v>20</v>
      </c>
      <c r="O93" s="7"/>
      <c r="P93" s="31">
        <v>1</v>
      </c>
      <c r="Q93" s="31">
        <v>40</v>
      </c>
      <c r="R93" s="16">
        <f t="shared" si="10"/>
        <v>40</v>
      </c>
      <c r="S93" s="7"/>
      <c r="T93" s="31">
        <v>1</v>
      </c>
      <c r="U93" s="31">
        <v>40</v>
      </c>
      <c r="V93" s="16">
        <f t="shared" si="11"/>
        <v>40</v>
      </c>
      <c r="W93" s="7"/>
      <c r="X93" s="33">
        <v>0.5</v>
      </c>
      <c r="Y93" s="33">
        <v>20</v>
      </c>
      <c r="Z93" s="16">
        <f t="shared" si="12"/>
        <v>20</v>
      </c>
    </row>
    <row r="94" spans="1:26" x14ac:dyDescent="0.35">
      <c r="A94" s="7">
        <v>91</v>
      </c>
      <c r="B94" s="8" t="s">
        <v>244</v>
      </c>
      <c r="C94" s="8" t="s">
        <v>245</v>
      </c>
      <c r="D94" s="13">
        <v>35204</v>
      </c>
      <c r="E94" s="9"/>
      <c r="F94" s="28">
        <v>20</v>
      </c>
      <c r="G94" s="7"/>
      <c r="H94" s="31"/>
      <c r="I94" s="31"/>
      <c r="J94" s="16">
        <f t="shared" si="13"/>
        <v>0</v>
      </c>
      <c r="K94" s="7"/>
      <c r="L94" s="31"/>
      <c r="M94" s="31"/>
      <c r="N94" s="16">
        <f t="shared" si="9"/>
        <v>0</v>
      </c>
      <c r="O94" s="7"/>
      <c r="P94" s="31"/>
      <c r="Q94" s="31"/>
      <c r="R94" s="16">
        <f t="shared" si="10"/>
        <v>0</v>
      </c>
      <c r="S94" s="7"/>
      <c r="T94" s="31"/>
      <c r="U94" s="31"/>
      <c r="V94" s="16">
        <f t="shared" si="11"/>
        <v>0</v>
      </c>
      <c r="W94" s="7"/>
      <c r="X94" s="33"/>
      <c r="Y94" s="33"/>
      <c r="Z94" s="16">
        <f t="shared" si="12"/>
        <v>0</v>
      </c>
    </row>
    <row r="95" spans="1:26" x14ac:dyDescent="0.35">
      <c r="A95" s="7">
        <v>92</v>
      </c>
      <c r="B95" s="8" t="s">
        <v>244</v>
      </c>
      <c r="C95" s="8" t="s">
        <v>246</v>
      </c>
      <c r="D95" s="13">
        <v>22229</v>
      </c>
      <c r="E95" s="9"/>
      <c r="F95" s="28">
        <v>10</v>
      </c>
      <c r="G95" s="7"/>
      <c r="H95" s="31"/>
      <c r="I95" s="31"/>
      <c r="J95" s="16">
        <f t="shared" si="13"/>
        <v>0</v>
      </c>
      <c r="K95" s="7"/>
      <c r="L95" s="31"/>
      <c r="M95" s="31"/>
      <c r="N95" s="16">
        <f t="shared" si="9"/>
        <v>0</v>
      </c>
      <c r="O95" s="7"/>
      <c r="P95" s="31"/>
      <c r="Q95" s="31"/>
      <c r="R95" s="16">
        <f t="shared" si="10"/>
        <v>0</v>
      </c>
      <c r="S95" s="7"/>
      <c r="T95" s="31"/>
      <c r="U95" s="31"/>
      <c r="V95" s="16">
        <f t="shared" si="11"/>
        <v>0</v>
      </c>
      <c r="W95" s="7"/>
      <c r="X95" s="33"/>
      <c r="Y95" s="33"/>
      <c r="Z95" s="16">
        <f t="shared" si="12"/>
        <v>0</v>
      </c>
    </row>
    <row r="96" spans="1:26" x14ac:dyDescent="0.35">
      <c r="A96" s="7">
        <v>93</v>
      </c>
      <c r="B96" s="8"/>
      <c r="C96" s="8"/>
      <c r="D96" s="13"/>
      <c r="E96" s="9"/>
      <c r="F96" s="28"/>
      <c r="G96" s="7"/>
      <c r="H96" s="31"/>
      <c r="I96" s="31"/>
      <c r="J96" s="16">
        <f t="shared" si="13"/>
        <v>0</v>
      </c>
      <c r="K96" s="7"/>
      <c r="L96" s="31"/>
      <c r="M96" s="31"/>
      <c r="N96" s="16">
        <f t="shared" si="9"/>
        <v>0</v>
      </c>
      <c r="O96" s="7"/>
      <c r="P96" s="31"/>
      <c r="Q96" s="31"/>
      <c r="R96" s="16">
        <f t="shared" si="10"/>
        <v>0</v>
      </c>
      <c r="S96" s="7"/>
      <c r="T96" s="31"/>
      <c r="U96" s="31"/>
      <c r="V96" s="16">
        <f t="shared" si="11"/>
        <v>0</v>
      </c>
      <c r="W96" s="7"/>
      <c r="X96" s="33"/>
      <c r="Y96" s="33"/>
      <c r="Z96" s="16">
        <f t="shared" si="12"/>
        <v>0</v>
      </c>
    </row>
    <row r="97" spans="1:26" x14ac:dyDescent="0.35">
      <c r="A97" s="7">
        <v>94</v>
      </c>
      <c r="B97" s="8"/>
      <c r="C97" s="8"/>
      <c r="D97" s="13"/>
      <c r="E97" s="9"/>
      <c r="F97" s="28"/>
      <c r="G97" s="7"/>
      <c r="H97" s="31"/>
      <c r="I97" s="31"/>
      <c r="J97" s="16">
        <f t="shared" si="13"/>
        <v>0</v>
      </c>
      <c r="K97" s="7"/>
      <c r="L97" s="31"/>
      <c r="M97" s="31"/>
      <c r="N97" s="16">
        <f t="shared" si="9"/>
        <v>0</v>
      </c>
      <c r="O97" s="7"/>
      <c r="P97" s="31"/>
      <c r="Q97" s="31"/>
      <c r="R97" s="16">
        <f t="shared" si="10"/>
        <v>0</v>
      </c>
      <c r="S97" s="7"/>
      <c r="T97" s="31"/>
      <c r="U97" s="31"/>
      <c r="V97" s="16">
        <f t="shared" si="11"/>
        <v>0</v>
      </c>
      <c r="W97" s="7"/>
      <c r="X97" s="33"/>
      <c r="Y97" s="33"/>
      <c r="Z97" s="16">
        <f t="shared" si="12"/>
        <v>0</v>
      </c>
    </row>
    <row r="98" spans="1:26" x14ac:dyDescent="0.35">
      <c r="A98" s="7">
        <v>95</v>
      </c>
      <c r="B98" s="8"/>
      <c r="C98" s="8"/>
      <c r="D98" s="13"/>
      <c r="E98" s="9"/>
      <c r="F98" s="28"/>
      <c r="G98" s="7"/>
      <c r="H98" s="31"/>
      <c r="I98" s="31"/>
      <c r="J98" s="16">
        <f t="shared" si="13"/>
        <v>0</v>
      </c>
      <c r="K98" s="7"/>
      <c r="L98" s="31"/>
      <c r="M98" s="31"/>
      <c r="N98" s="16">
        <f t="shared" si="9"/>
        <v>0</v>
      </c>
      <c r="O98" s="7"/>
      <c r="P98" s="31"/>
      <c r="Q98" s="31"/>
      <c r="R98" s="16">
        <f t="shared" si="10"/>
        <v>0</v>
      </c>
      <c r="S98" s="7"/>
      <c r="T98" s="31"/>
      <c r="U98" s="31"/>
      <c r="V98" s="16">
        <f t="shared" si="11"/>
        <v>0</v>
      </c>
      <c r="W98" s="7"/>
      <c r="X98" s="33"/>
      <c r="Y98" s="33"/>
      <c r="Z98" s="16">
        <f t="shared" si="12"/>
        <v>0</v>
      </c>
    </row>
    <row r="99" spans="1:26" x14ac:dyDescent="0.35">
      <c r="A99" s="7">
        <v>96</v>
      </c>
      <c r="B99" s="8"/>
      <c r="C99" s="8"/>
      <c r="D99" s="13"/>
      <c r="E99" s="9"/>
      <c r="F99" s="28"/>
      <c r="G99" s="7"/>
      <c r="H99" s="31"/>
      <c r="I99" s="31"/>
      <c r="J99" s="16">
        <f t="shared" si="13"/>
        <v>0</v>
      </c>
      <c r="K99" s="7"/>
      <c r="L99" s="31"/>
      <c r="M99" s="31"/>
      <c r="N99" s="16">
        <f t="shared" si="9"/>
        <v>0</v>
      </c>
      <c r="O99" s="7"/>
      <c r="P99" s="31"/>
      <c r="Q99" s="31"/>
      <c r="R99" s="16">
        <f t="shared" si="10"/>
        <v>0</v>
      </c>
      <c r="S99" s="7"/>
      <c r="T99" s="31"/>
      <c r="U99" s="31"/>
      <c r="V99" s="16">
        <f t="shared" si="11"/>
        <v>0</v>
      </c>
      <c r="W99" s="7"/>
      <c r="X99" s="33"/>
      <c r="Y99" s="33"/>
      <c r="Z99" s="16">
        <f t="shared" si="12"/>
        <v>0</v>
      </c>
    </row>
    <row r="100" spans="1:26" x14ac:dyDescent="0.35">
      <c r="A100" s="7">
        <v>97</v>
      </c>
      <c r="B100" s="8"/>
      <c r="C100" s="8"/>
      <c r="D100" s="13"/>
      <c r="E100" s="9"/>
      <c r="F100" s="28"/>
      <c r="G100" s="7"/>
      <c r="H100" s="31"/>
      <c r="I100" s="31"/>
      <c r="J100" s="16">
        <f t="shared" si="13"/>
        <v>0</v>
      </c>
      <c r="K100" s="7"/>
      <c r="L100" s="31"/>
      <c r="M100" s="31"/>
      <c r="N100" s="16">
        <f t="shared" si="9"/>
        <v>0</v>
      </c>
      <c r="O100" s="7"/>
      <c r="P100" s="31"/>
      <c r="Q100" s="31"/>
      <c r="R100" s="16">
        <f t="shared" si="10"/>
        <v>0</v>
      </c>
      <c r="S100" s="7"/>
      <c r="T100" s="31"/>
      <c r="U100" s="31"/>
      <c r="V100" s="16">
        <f t="shared" si="11"/>
        <v>0</v>
      </c>
      <c r="W100" s="7"/>
      <c r="X100" s="33"/>
      <c r="Y100" s="33"/>
      <c r="Z100" s="16">
        <f t="shared" si="12"/>
        <v>0</v>
      </c>
    </row>
    <row r="101" spans="1:26" x14ac:dyDescent="0.35">
      <c r="A101" s="7">
        <v>98</v>
      </c>
      <c r="B101" s="8"/>
      <c r="C101" s="8"/>
      <c r="D101" s="13"/>
      <c r="E101" s="9"/>
      <c r="F101" s="28"/>
      <c r="G101" s="7"/>
      <c r="H101" s="31"/>
      <c r="I101" s="31"/>
      <c r="J101" s="16">
        <f t="shared" si="13"/>
        <v>0</v>
      </c>
      <c r="K101" s="7"/>
      <c r="L101" s="31"/>
      <c r="M101" s="31"/>
      <c r="N101" s="16">
        <f t="shared" si="9"/>
        <v>0</v>
      </c>
      <c r="O101" s="7"/>
      <c r="P101" s="31"/>
      <c r="Q101" s="31"/>
      <c r="R101" s="16">
        <f t="shared" si="10"/>
        <v>0</v>
      </c>
      <c r="S101" s="7"/>
      <c r="T101" s="31"/>
      <c r="U101" s="31"/>
      <c r="V101" s="16">
        <f t="shared" si="11"/>
        <v>0</v>
      </c>
      <c r="W101" s="7"/>
      <c r="X101" s="33"/>
      <c r="Y101" s="33"/>
      <c r="Z101" s="16">
        <f t="shared" si="12"/>
        <v>0</v>
      </c>
    </row>
    <row r="102" spans="1:26" x14ac:dyDescent="0.35">
      <c r="A102" s="7">
        <v>99</v>
      </c>
      <c r="B102" s="8"/>
      <c r="C102" s="8"/>
      <c r="D102" s="13"/>
      <c r="E102" s="9"/>
      <c r="F102" s="28"/>
      <c r="G102" s="7"/>
      <c r="H102" s="31"/>
      <c r="I102" s="31"/>
      <c r="J102" s="16">
        <f t="shared" si="13"/>
        <v>0</v>
      </c>
      <c r="K102" s="7"/>
      <c r="L102" s="31"/>
      <c r="M102" s="31"/>
      <c r="N102" s="16">
        <f t="shared" si="9"/>
        <v>0</v>
      </c>
      <c r="O102" s="7"/>
      <c r="P102" s="31"/>
      <c r="Q102" s="31"/>
      <c r="R102" s="16">
        <f t="shared" si="10"/>
        <v>0</v>
      </c>
      <c r="S102" s="7"/>
      <c r="T102" s="31"/>
      <c r="U102" s="31"/>
      <c r="V102" s="16">
        <f t="shared" si="11"/>
        <v>0</v>
      </c>
      <c r="W102" s="7"/>
      <c r="X102" s="33"/>
      <c r="Y102" s="33"/>
      <c r="Z102" s="16">
        <f t="shared" si="12"/>
        <v>0</v>
      </c>
    </row>
    <row r="103" spans="1:26" x14ac:dyDescent="0.35">
      <c r="A103" s="7">
        <v>100</v>
      </c>
      <c r="B103" s="8"/>
      <c r="C103" s="8"/>
      <c r="D103" s="13"/>
      <c r="E103" s="9"/>
      <c r="F103" s="28"/>
      <c r="G103" s="7"/>
      <c r="H103" s="31"/>
      <c r="I103" s="31"/>
      <c r="J103" s="16">
        <f t="shared" si="13"/>
        <v>0</v>
      </c>
      <c r="K103" s="7"/>
      <c r="L103" s="31"/>
      <c r="M103" s="31"/>
      <c r="N103" s="16">
        <f t="shared" si="9"/>
        <v>0</v>
      </c>
      <c r="O103" s="7"/>
      <c r="P103" s="31"/>
      <c r="Q103" s="31"/>
      <c r="R103" s="16">
        <f t="shared" si="10"/>
        <v>0</v>
      </c>
      <c r="S103" s="7"/>
      <c r="T103" s="31"/>
      <c r="U103" s="31"/>
      <c r="V103" s="16">
        <f t="shared" si="11"/>
        <v>0</v>
      </c>
      <c r="W103" s="7"/>
      <c r="X103" s="33"/>
      <c r="Y103" s="33"/>
      <c r="Z103" s="16">
        <f t="shared" si="12"/>
        <v>0</v>
      </c>
    </row>
    <row r="104" spans="1:26" x14ac:dyDescent="0.35">
      <c r="F104" s="30">
        <v>0</v>
      </c>
    </row>
  </sheetData>
  <pageMargins left="0.7" right="0.7" top="0.78740157499999996" bottom="0.78740157499999996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95"/>
  <sheetViews>
    <sheetView topLeftCell="A81" workbookViewId="0">
      <selection activeCell="R95" sqref="R95"/>
    </sheetView>
  </sheetViews>
  <sheetFormatPr baseColWidth="10" defaultRowHeight="14.5" x14ac:dyDescent="0.35"/>
  <cols>
    <col min="4" max="4" width="11.453125" style="46"/>
    <col min="14" max="14" width="11.453125" style="46"/>
  </cols>
  <sheetData>
    <row r="1" spans="1:18" x14ac:dyDescent="0.35">
      <c r="A1" t="s">
        <v>385</v>
      </c>
      <c r="K1" t="s">
        <v>386</v>
      </c>
    </row>
    <row r="2" spans="1:18" x14ac:dyDescent="0.35">
      <c r="A2" t="str">
        <f>'Stammdaten - Schwimmer'!A3</f>
        <v>Nummer</v>
      </c>
      <c r="B2" t="str">
        <f>'Stammdaten - Schwimmer'!B3</f>
        <v xml:space="preserve">Name </v>
      </c>
      <c r="C2" t="str">
        <f>'Stammdaten - Schwimmer'!C3</f>
        <v>Vormname</v>
      </c>
      <c r="D2" s="46" t="str">
        <f>'Stammdaten - Schwimmer'!D3</f>
        <v>Geburtstag</v>
      </c>
      <c r="E2" t="str">
        <f>'Stammdaten - Schwimmer'!E3</f>
        <v>Mannschaft</v>
      </c>
      <c r="F2" t="str">
        <f>'Stammdaten - Schwimmer'!F3</f>
        <v>Anzahl
Bahnen</v>
      </c>
      <c r="K2" t="str">
        <f>'Stammdaten - Schwimmer'!A3</f>
        <v>Nummer</v>
      </c>
      <c r="L2" t="str">
        <f>'Stammdaten - Schwimmer'!B3</f>
        <v xml:space="preserve">Name </v>
      </c>
      <c r="M2" t="str">
        <f>'Stammdaten - Schwimmer'!C3</f>
        <v>Vormname</v>
      </c>
      <c r="N2" s="46" t="str">
        <f>'Stammdaten - Schwimmer'!D3</f>
        <v>Geburtstag</v>
      </c>
      <c r="O2" t="str">
        <f>'Stammdaten - Schwimmer'!E3</f>
        <v>Mannschaft</v>
      </c>
      <c r="P2" t="str">
        <f>'Stammdaten - Schwimmer'!F3</f>
        <v>Anzahl
Bahnen</v>
      </c>
      <c r="R2" t="s">
        <v>387</v>
      </c>
    </row>
    <row r="3" spans="1:18" x14ac:dyDescent="0.35">
      <c r="A3">
        <f>'Stammdaten - Schwimmer'!A38</f>
        <v>35</v>
      </c>
      <c r="B3" t="str">
        <f>'Stammdaten - Schwimmer'!B38</f>
        <v>Düsterloh</v>
      </c>
      <c r="C3" t="str">
        <f>'Stammdaten - Schwimmer'!C38</f>
        <v>Kinga</v>
      </c>
      <c r="D3" s="46">
        <f>'Stammdaten - Schwimmer'!D38</f>
        <v>43887</v>
      </c>
      <c r="E3">
        <f>'Stammdaten - Schwimmer'!E38</f>
        <v>0</v>
      </c>
      <c r="F3">
        <f>'Stammdaten - Schwimmer'!F38</f>
        <v>4</v>
      </c>
      <c r="K3">
        <f>'Stammdaten - Schwimmer'!A42</f>
        <v>39</v>
      </c>
      <c r="L3" t="str">
        <f>'Stammdaten - Schwimmer'!B42</f>
        <v>Gerngroß</v>
      </c>
      <c r="M3" t="str">
        <f>'Stammdaten - Schwimmer'!C42</f>
        <v>Heinz</v>
      </c>
      <c r="N3" s="46">
        <f>'Stammdaten - Schwimmer'!D42</f>
        <v>17842</v>
      </c>
      <c r="O3">
        <f>'Stammdaten - Schwimmer'!E42</f>
        <v>0</v>
      </c>
      <c r="P3">
        <f>'Stammdaten - Schwimmer'!F42</f>
        <v>38</v>
      </c>
      <c r="Q3">
        <v>50</v>
      </c>
      <c r="R3">
        <f>P3*Q3</f>
        <v>1900</v>
      </c>
    </row>
    <row r="4" spans="1:18" x14ac:dyDescent="0.35">
      <c r="A4">
        <f>'Stammdaten - Schwimmer'!A92</f>
        <v>89</v>
      </c>
      <c r="B4" t="str">
        <f>'Stammdaten - Schwimmer'!B92</f>
        <v>Montessoro</v>
      </c>
      <c r="C4" t="str">
        <f>'Stammdaten - Schwimmer'!C92</f>
        <v>Angel</v>
      </c>
      <c r="D4" s="46">
        <f>'Stammdaten - Schwimmer'!D92</f>
        <v>43531</v>
      </c>
      <c r="E4">
        <f>'Stammdaten - Schwimmer'!E92</f>
        <v>0</v>
      </c>
      <c r="F4">
        <f>'Stammdaten - Schwimmer'!F92</f>
        <v>22</v>
      </c>
      <c r="K4">
        <f>'Stammdaten - Schwimmer'!A89</f>
        <v>86</v>
      </c>
      <c r="L4" t="str">
        <f>'Stammdaten - Schwimmer'!B89</f>
        <v>Rossner</v>
      </c>
      <c r="M4" t="str">
        <f>'Stammdaten - Schwimmer'!C89</f>
        <v>Hans-Joachim</v>
      </c>
      <c r="N4" s="46">
        <f>'Stammdaten - Schwimmer'!D89</f>
        <v>17924</v>
      </c>
      <c r="O4">
        <f>'Stammdaten - Schwimmer'!E89</f>
        <v>0</v>
      </c>
      <c r="P4">
        <f>'Stammdaten - Schwimmer'!F89</f>
        <v>38</v>
      </c>
      <c r="Q4">
        <v>50</v>
      </c>
      <c r="R4">
        <f t="shared" ref="R4:R67" si="0">P4*Q4</f>
        <v>1900</v>
      </c>
    </row>
    <row r="5" spans="1:18" x14ac:dyDescent="0.35">
      <c r="A5">
        <f>'Stammdaten - Schwimmer'!A67</f>
        <v>64</v>
      </c>
      <c r="B5" t="str">
        <f>'Stammdaten - Schwimmer'!B67</f>
        <v>Rink</v>
      </c>
      <c r="C5" t="str">
        <f>'Stammdaten - Schwimmer'!C67</f>
        <v>Henrik</v>
      </c>
      <c r="D5" s="46">
        <f>'Stammdaten - Schwimmer'!D67</f>
        <v>43474</v>
      </c>
      <c r="E5">
        <f>'Stammdaten - Schwimmer'!E67</f>
        <v>505</v>
      </c>
      <c r="F5">
        <f>'Stammdaten - Schwimmer'!F67</f>
        <v>14</v>
      </c>
      <c r="K5">
        <f>'Stammdaten - Schwimmer'!A43</f>
        <v>40</v>
      </c>
      <c r="L5" t="str">
        <f>'Stammdaten - Schwimmer'!B43</f>
        <v>Gerloch</v>
      </c>
      <c r="M5" t="str">
        <f>'Stammdaten - Schwimmer'!C43</f>
        <v>Christine</v>
      </c>
      <c r="N5" s="46">
        <f>'Stammdaten - Schwimmer'!D43</f>
        <v>18584</v>
      </c>
      <c r="O5">
        <f>'Stammdaten - Schwimmer'!E43</f>
        <v>0</v>
      </c>
      <c r="P5">
        <f>'Stammdaten - Schwimmer'!F43</f>
        <v>40</v>
      </c>
      <c r="Q5">
        <v>50</v>
      </c>
      <c r="R5">
        <f t="shared" si="0"/>
        <v>2000</v>
      </c>
    </row>
    <row r="6" spans="1:18" x14ac:dyDescent="0.35">
      <c r="A6">
        <f>'Stammdaten - Schwimmer'!A83</f>
        <v>80</v>
      </c>
      <c r="B6" t="str">
        <f>'Stammdaten - Schwimmer'!B83</f>
        <v>Zhou</v>
      </c>
      <c r="C6" t="str">
        <f>'Stammdaten - Schwimmer'!C83</f>
        <v>Fiona</v>
      </c>
      <c r="D6" s="46">
        <f>'Stammdaten - Schwimmer'!D83</f>
        <v>43407</v>
      </c>
      <c r="E6">
        <f>'Stammdaten - Schwimmer'!E83</f>
        <v>503</v>
      </c>
      <c r="F6">
        <f>'Stammdaten - Schwimmer'!F83</f>
        <v>16</v>
      </c>
      <c r="K6">
        <f>'Stammdaten - Schwimmer'!A91</f>
        <v>88</v>
      </c>
      <c r="L6" t="str">
        <f>'Stammdaten - Schwimmer'!B91</f>
        <v>von Dyken</v>
      </c>
      <c r="M6" t="str">
        <f>'Stammdaten - Schwimmer'!C91</f>
        <v>Waltrud</v>
      </c>
      <c r="N6" s="46">
        <f>'Stammdaten - Schwimmer'!D91</f>
        <v>20591</v>
      </c>
      <c r="O6">
        <f>'Stammdaten - Schwimmer'!E91</f>
        <v>0</v>
      </c>
      <c r="P6">
        <f>'Stammdaten - Schwimmer'!F91</f>
        <v>40</v>
      </c>
      <c r="Q6">
        <v>50</v>
      </c>
      <c r="R6">
        <f t="shared" si="0"/>
        <v>2000</v>
      </c>
    </row>
    <row r="7" spans="1:18" x14ac:dyDescent="0.35">
      <c r="A7">
        <f>'Stammdaten - Schwimmer'!A37</f>
        <v>34</v>
      </c>
      <c r="B7" t="str">
        <f>'Stammdaten - Schwimmer'!B37</f>
        <v>Düsterloh</v>
      </c>
      <c r="C7" t="str">
        <f>'Stammdaten - Schwimmer'!C37</f>
        <v>Casper</v>
      </c>
      <c r="D7" s="46">
        <f>'Stammdaten - Schwimmer'!D37</f>
        <v>43311</v>
      </c>
      <c r="E7">
        <f>'Stammdaten - Schwimmer'!E37</f>
        <v>503</v>
      </c>
      <c r="F7">
        <f>'Stammdaten - Schwimmer'!F37</f>
        <v>4</v>
      </c>
      <c r="K7">
        <f>'Stammdaten - Schwimmer'!A27</f>
        <v>24</v>
      </c>
      <c r="L7" t="str">
        <f>'Stammdaten - Schwimmer'!B27</f>
        <v>Schwenk-Fischer</v>
      </c>
      <c r="M7" t="str">
        <f>'Stammdaten - Schwimmer'!C27</f>
        <v>Eva</v>
      </c>
      <c r="N7" s="46">
        <f>'Stammdaten - Schwimmer'!D27</f>
        <v>20973</v>
      </c>
      <c r="O7">
        <f>'Stammdaten - Schwimmer'!E27</f>
        <v>505</v>
      </c>
      <c r="P7">
        <f>'Stammdaten - Schwimmer'!F27</f>
        <v>30</v>
      </c>
      <c r="Q7">
        <v>50</v>
      </c>
      <c r="R7">
        <f t="shared" si="0"/>
        <v>1500</v>
      </c>
    </row>
    <row r="8" spans="1:18" x14ac:dyDescent="0.35">
      <c r="A8">
        <f>'Stammdaten - Schwimmer'!A49</f>
        <v>46</v>
      </c>
      <c r="B8" t="str">
        <f>'Stammdaten - Schwimmer'!B49</f>
        <v>Warga</v>
      </c>
      <c r="C8" t="str">
        <f>'Stammdaten - Schwimmer'!C49</f>
        <v>Eva</v>
      </c>
      <c r="D8" s="46">
        <f>'Stammdaten - Schwimmer'!D49</f>
        <v>42629</v>
      </c>
      <c r="E8">
        <f>'Stammdaten - Schwimmer'!E49</f>
        <v>503</v>
      </c>
      <c r="F8">
        <f>'Stammdaten - Schwimmer'!F49</f>
        <v>170</v>
      </c>
      <c r="K8">
        <f>'Stammdaten - Schwimmer'!A62</f>
        <v>59</v>
      </c>
      <c r="L8" t="str">
        <f>'Stammdaten - Schwimmer'!B62</f>
        <v>Zimmermann</v>
      </c>
      <c r="M8" t="str">
        <f>'Stammdaten - Schwimmer'!C62</f>
        <v>Inge</v>
      </c>
      <c r="N8" s="46">
        <f>'Stammdaten - Schwimmer'!D62</f>
        <v>21516</v>
      </c>
      <c r="O8">
        <f>'Stammdaten - Schwimmer'!E62</f>
        <v>0</v>
      </c>
      <c r="P8">
        <f>'Stammdaten - Schwimmer'!F62</f>
        <v>22</v>
      </c>
      <c r="Q8">
        <v>50</v>
      </c>
      <c r="R8">
        <f t="shared" si="0"/>
        <v>1100</v>
      </c>
    </row>
    <row r="9" spans="1:18" x14ac:dyDescent="0.35">
      <c r="A9">
        <f>'Stammdaten - Schwimmer'!A25</f>
        <v>22</v>
      </c>
      <c r="B9" t="str">
        <f>'Stammdaten - Schwimmer'!B25</f>
        <v>Helbeck</v>
      </c>
      <c r="C9" t="str">
        <f>'Stammdaten - Schwimmer'!C25</f>
        <v>Jonne</v>
      </c>
      <c r="D9" s="46">
        <f>'Stammdaten - Schwimmer'!D25</f>
        <v>42624</v>
      </c>
      <c r="E9">
        <f>'Stammdaten - Schwimmer'!E25</f>
        <v>502</v>
      </c>
      <c r="F9">
        <f>'Stammdaten - Schwimmer'!F25</f>
        <v>30</v>
      </c>
      <c r="K9">
        <f>'Stammdaten - Schwimmer'!A11</f>
        <v>8</v>
      </c>
      <c r="L9" t="str">
        <f>'Stammdaten - Schwimmer'!B11</f>
        <v>Hartman</v>
      </c>
      <c r="M9" t="str">
        <f>'Stammdaten - Schwimmer'!C11</f>
        <v>Eleanor</v>
      </c>
      <c r="N9" s="46">
        <f>'Stammdaten - Schwimmer'!D11</f>
        <v>21608</v>
      </c>
      <c r="O9">
        <f>'Stammdaten - Schwimmer'!E11</f>
        <v>0</v>
      </c>
      <c r="P9">
        <f>'Stammdaten - Schwimmer'!F11</f>
        <v>20</v>
      </c>
      <c r="Q9">
        <v>50</v>
      </c>
      <c r="R9">
        <f t="shared" si="0"/>
        <v>1000</v>
      </c>
    </row>
    <row r="10" spans="1:18" x14ac:dyDescent="0.35">
      <c r="A10">
        <f>'Stammdaten - Schwimmer'!A23</f>
        <v>20</v>
      </c>
      <c r="B10" t="str">
        <f>'Stammdaten - Schwimmer'!B23</f>
        <v>Göpel</v>
      </c>
      <c r="C10" t="str">
        <f>'Stammdaten - Schwimmer'!C23</f>
        <v>Norah</v>
      </c>
      <c r="D10" s="46">
        <f>'Stammdaten - Schwimmer'!D23</f>
        <v>42602</v>
      </c>
      <c r="E10">
        <f>'Stammdaten - Schwimmer'!E23</f>
        <v>502</v>
      </c>
      <c r="F10">
        <f>'Stammdaten - Schwimmer'!F23</f>
        <v>58</v>
      </c>
      <c r="K10">
        <f>'Stammdaten - Schwimmer'!A95</f>
        <v>92</v>
      </c>
      <c r="L10" t="str">
        <f>'Stammdaten - Schwimmer'!B95</f>
        <v>Trinh</v>
      </c>
      <c r="M10" t="str">
        <f>'Stammdaten - Schwimmer'!C95</f>
        <v>Tu</v>
      </c>
      <c r="N10" s="46">
        <f>'Stammdaten - Schwimmer'!D95</f>
        <v>22229</v>
      </c>
      <c r="O10">
        <f>'Stammdaten - Schwimmer'!E95</f>
        <v>0</v>
      </c>
      <c r="P10">
        <f>'Stammdaten - Schwimmer'!F95</f>
        <v>10</v>
      </c>
      <c r="Q10">
        <v>50</v>
      </c>
      <c r="R10">
        <f t="shared" si="0"/>
        <v>500</v>
      </c>
    </row>
    <row r="11" spans="1:18" x14ac:dyDescent="0.35">
      <c r="A11">
        <f>'Stammdaten - Schwimmer'!A53</f>
        <v>50</v>
      </c>
      <c r="B11" t="str">
        <f>'Stammdaten - Schwimmer'!B53</f>
        <v>Baier</v>
      </c>
      <c r="C11" t="str">
        <f>'Stammdaten - Schwimmer'!C53</f>
        <v>Emily</v>
      </c>
      <c r="D11" s="46">
        <f>'Stammdaten - Schwimmer'!D53</f>
        <v>42563</v>
      </c>
      <c r="E11">
        <f>'Stammdaten - Schwimmer'!E53</f>
        <v>505</v>
      </c>
      <c r="F11">
        <f>'Stammdaten - Schwimmer'!F53</f>
        <v>116</v>
      </c>
      <c r="K11">
        <f>'Stammdaten - Schwimmer'!A56</f>
        <v>53</v>
      </c>
      <c r="L11" t="str">
        <f>'Stammdaten - Schwimmer'!B56</f>
        <v>Schulze</v>
      </c>
      <c r="M11" t="str">
        <f>'Stammdaten - Schwimmer'!C56</f>
        <v>Ulrike</v>
      </c>
      <c r="N11" s="46">
        <f>'Stammdaten - Schwimmer'!D56</f>
        <v>22597</v>
      </c>
      <c r="O11">
        <f>'Stammdaten - Schwimmer'!E56</f>
        <v>502</v>
      </c>
      <c r="P11">
        <f>'Stammdaten - Schwimmer'!F56</f>
        <v>24</v>
      </c>
      <c r="Q11">
        <v>50</v>
      </c>
      <c r="R11">
        <f t="shared" si="0"/>
        <v>1200</v>
      </c>
    </row>
    <row r="12" spans="1:18" x14ac:dyDescent="0.35">
      <c r="A12">
        <f>'Stammdaten - Schwimmer'!A5</f>
        <v>2</v>
      </c>
      <c r="B12" t="str">
        <f>'Stammdaten - Schwimmer'!B5</f>
        <v>Montessoro</v>
      </c>
      <c r="C12" t="str">
        <f>'Stammdaten - Schwimmer'!C5</f>
        <v>Samantha</v>
      </c>
      <c r="D12" s="46">
        <f>'Stammdaten - Schwimmer'!D5</f>
        <v>42542</v>
      </c>
      <c r="E12">
        <f>'Stammdaten - Schwimmer'!E5</f>
        <v>502</v>
      </c>
      <c r="F12">
        <f>'Stammdaten - Schwimmer'!F5</f>
        <v>78</v>
      </c>
      <c r="K12">
        <f>'Stammdaten - Schwimmer'!A10</f>
        <v>7</v>
      </c>
      <c r="L12" t="str">
        <f>'Stammdaten - Schwimmer'!B10</f>
        <v>Sure</v>
      </c>
      <c r="M12" t="str">
        <f>'Stammdaten - Schwimmer'!C10</f>
        <v>Doris</v>
      </c>
      <c r="N12" s="46">
        <f>'Stammdaten - Schwimmer'!D10</f>
        <v>22857</v>
      </c>
      <c r="O12">
        <f>'Stammdaten - Schwimmer'!E10</f>
        <v>502</v>
      </c>
      <c r="P12">
        <f>'Stammdaten - Schwimmer'!F10</f>
        <v>40</v>
      </c>
      <c r="Q12">
        <v>50</v>
      </c>
      <c r="R12">
        <f t="shared" si="0"/>
        <v>2000</v>
      </c>
    </row>
    <row r="13" spans="1:18" x14ac:dyDescent="0.35">
      <c r="A13">
        <f>'Stammdaten - Schwimmer'!A71</f>
        <v>68</v>
      </c>
      <c r="B13" t="str">
        <f>'Stammdaten - Schwimmer'!B71</f>
        <v>Kombacher</v>
      </c>
      <c r="C13" t="str">
        <f>'Stammdaten - Schwimmer'!C71</f>
        <v>Sara</v>
      </c>
      <c r="D13" s="46">
        <f>'Stammdaten - Schwimmer'!D71</f>
        <v>42528</v>
      </c>
      <c r="E13">
        <f>'Stammdaten - Schwimmer'!E71</f>
        <v>502</v>
      </c>
      <c r="F13">
        <f>'Stammdaten - Schwimmer'!F71</f>
        <v>68</v>
      </c>
      <c r="K13">
        <f>'Stammdaten - Schwimmer'!A66</f>
        <v>63</v>
      </c>
      <c r="L13" t="str">
        <f>'Stammdaten - Schwimmer'!B66</f>
        <v>Rink</v>
      </c>
      <c r="M13" t="str">
        <f>'Stammdaten - Schwimmer'!C66</f>
        <v>Wiebke</v>
      </c>
      <c r="N13" s="46">
        <f>'Stammdaten - Schwimmer'!D66</f>
        <v>23207</v>
      </c>
      <c r="O13">
        <f>'Stammdaten - Schwimmer'!E66</f>
        <v>505</v>
      </c>
      <c r="P13">
        <f>'Stammdaten - Schwimmer'!F66</f>
        <v>76</v>
      </c>
      <c r="Q13">
        <v>50</v>
      </c>
      <c r="R13">
        <f t="shared" si="0"/>
        <v>3800</v>
      </c>
    </row>
    <row r="14" spans="1:18" x14ac:dyDescent="0.35">
      <c r="A14">
        <f>'Stammdaten - Schwimmer'!A88</f>
        <v>85</v>
      </c>
      <c r="B14" t="str">
        <f>'Stammdaten - Schwimmer'!B88</f>
        <v>Holzworth</v>
      </c>
      <c r="C14" t="str">
        <f>'Stammdaten - Schwimmer'!C88</f>
        <v>Zoe Hanna</v>
      </c>
      <c r="D14" s="46">
        <f>'Stammdaten - Schwimmer'!D88</f>
        <v>42362</v>
      </c>
      <c r="E14">
        <f>'Stammdaten - Schwimmer'!E88</f>
        <v>0</v>
      </c>
      <c r="F14">
        <f>'Stammdaten - Schwimmer'!F88</f>
        <v>62</v>
      </c>
      <c r="K14">
        <f>'Stammdaten - Schwimmer'!A59</f>
        <v>56</v>
      </c>
      <c r="L14" t="str">
        <f>'Stammdaten - Schwimmer'!B59</f>
        <v>Buch</v>
      </c>
      <c r="M14" t="str">
        <f>'Stammdaten - Schwimmer'!C59</f>
        <v>Rüdiger</v>
      </c>
      <c r="N14" s="46">
        <f>'Stammdaten - Schwimmer'!D59</f>
        <v>23785</v>
      </c>
      <c r="O14">
        <f>'Stammdaten - Schwimmer'!E59</f>
        <v>0</v>
      </c>
      <c r="P14">
        <f>'Stammdaten - Schwimmer'!F59</f>
        <v>12</v>
      </c>
      <c r="Q14">
        <v>50</v>
      </c>
      <c r="R14">
        <f t="shared" si="0"/>
        <v>600</v>
      </c>
    </row>
    <row r="15" spans="1:18" x14ac:dyDescent="0.35">
      <c r="A15">
        <f>'Stammdaten - Schwimmer'!A34</f>
        <v>31</v>
      </c>
      <c r="B15" t="str">
        <f>'Stammdaten - Schwimmer'!B34</f>
        <v>Veit</v>
      </c>
      <c r="C15" t="str">
        <f>'Stammdaten - Schwimmer'!C34</f>
        <v>Konstatin</v>
      </c>
      <c r="D15" s="46">
        <f>'Stammdaten - Schwimmer'!D34</f>
        <v>42325</v>
      </c>
      <c r="E15">
        <f>'Stammdaten - Schwimmer'!E34</f>
        <v>503</v>
      </c>
      <c r="F15">
        <f>'Stammdaten - Schwimmer'!F34</f>
        <v>50</v>
      </c>
      <c r="K15">
        <f>'Stammdaten - Schwimmer'!A90</f>
        <v>87</v>
      </c>
      <c r="L15" t="str">
        <f>'Stammdaten - Schwimmer'!B90</f>
        <v>Glass</v>
      </c>
      <c r="M15" t="str">
        <f>'Stammdaten - Schwimmer'!C90</f>
        <v>Helmut</v>
      </c>
      <c r="N15" s="46">
        <f>'Stammdaten - Schwimmer'!D90</f>
        <v>24492</v>
      </c>
      <c r="O15">
        <f>'Stammdaten - Schwimmer'!E90</f>
        <v>502.505</v>
      </c>
      <c r="P15">
        <f>'Stammdaten - Schwimmer'!F90</f>
        <v>58</v>
      </c>
      <c r="Q15">
        <v>50</v>
      </c>
      <c r="R15">
        <f t="shared" si="0"/>
        <v>2900</v>
      </c>
    </row>
    <row r="16" spans="1:18" x14ac:dyDescent="0.35">
      <c r="A16">
        <f>'Stammdaten - Schwimmer'!A24</f>
        <v>21</v>
      </c>
      <c r="B16" t="str">
        <f>'Stammdaten - Schwimmer'!B24</f>
        <v>Schmid</v>
      </c>
      <c r="C16" t="str">
        <f>'Stammdaten - Schwimmer'!C24</f>
        <v>Jakob</v>
      </c>
      <c r="D16" s="46">
        <f>'Stammdaten - Schwimmer'!D24</f>
        <v>42251</v>
      </c>
      <c r="E16">
        <f>'Stammdaten - Schwimmer'!E24</f>
        <v>502</v>
      </c>
      <c r="F16">
        <f>'Stammdaten - Schwimmer'!F24</f>
        <v>40</v>
      </c>
      <c r="K16">
        <f>'Stammdaten - Schwimmer'!A61</f>
        <v>58</v>
      </c>
      <c r="L16" t="str">
        <f>'Stammdaten - Schwimmer'!B61</f>
        <v>Zu</v>
      </c>
      <c r="M16" t="str">
        <f>'Stammdaten - Schwimmer'!C61</f>
        <v>Yanqi</v>
      </c>
      <c r="N16" s="46">
        <f>'Stammdaten - Schwimmer'!D61</f>
        <v>25393</v>
      </c>
      <c r="O16">
        <f>'Stammdaten - Schwimmer'!E61</f>
        <v>503.50400000000002</v>
      </c>
      <c r="P16">
        <f>'Stammdaten - Schwimmer'!F61</f>
        <v>16</v>
      </c>
      <c r="Q16">
        <v>50</v>
      </c>
      <c r="R16">
        <f t="shared" si="0"/>
        <v>800</v>
      </c>
    </row>
    <row r="17" spans="1:18" x14ac:dyDescent="0.35">
      <c r="A17">
        <f>'Stammdaten - Schwimmer'!A20</f>
        <v>17</v>
      </c>
      <c r="B17" t="str">
        <f>'Stammdaten - Schwimmer'!B20</f>
        <v>Gessler</v>
      </c>
      <c r="C17" t="str">
        <f>'Stammdaten - Schwimmer'!C20</f>
        <v>Tom Michael</v>
      </c>
      <c r="D17" s="46">
        <f>'Stammdaten - Schwimmer'!D20</f>
        <v>42230</v>
      </c>
      <c r="E17">
        <f>'Stammdaten - Schwimmer'!E20</f>
        <v>502</v>
      </c>
      <c r="F17">
        <f>'Stammdaten - Schwimmer'!F20</f>
        <v>14</v>
      </c>
      <c r="K17">
        <f>'Stammdaten - Schwimmer'!A39</f>
        <v>36</v>
      </c>
      <c r="L17" t="str">
        <f>'Stammdaten - Schwimmer'!B39</f>
        <v>Rottmann</v>
      </c>
      <c r="M17" t="str">
        <f>'Stammdaten - Schwimmer'!C39</f>
        <v>Christof</v>
      </c>
      <c r="N17" s="46">
        <f>'Stammdaten - Schwimmer'!D39</f>
        <v>26023</v>
      </c>
      <c r="O17">
        <f>'Stammdaten - Schwimmer'!E39</f>
        <v>0</v>
      </c>
      <c r="P17">
        <f>'Stammdaten - Schwimmer'!F39</f>
        <v>50</v>
      </c>
      <c r="Q17">
        <v>50</v>
      </c>
      <c r="R17">
        <f t="shared" si="0"/>
        <v>2500</v>
      </c>
    </row>
    <row r="18" spans="1:18" x14ac:dyDescent="0.35">
      <c r="A18">
        <f>'Stammdaten - Schwimmer'!A32</f>
        <v>29</v>
      </c>
      <c r="B18" t="str">
        <f>'Stammdaten - Schwimmer'!B32</f>
        <v>Maier</v>
      </c>
      <c r="C18" t="str">
        <f>'Stammdaten - Schwimmer'!C32</f>
        <v>Matis</v>
      </c>
      <c r="D18" s="46">
        <f>'Stammdaten - Schwimmer'!D32</f>
        <v>42213</v>
      </c>
      <c r="E18">
        <f>'Stammdaten - Schwimmer'!E32</f>
        <v>0</v>
      </c>
      <c r="F18">
        <f>'Stammdaten - Schwimmer'!F32</f>
        <v>60</v>
      </c>
      <c r="K18">
        <f>'Stammdaten - Schwimmer'!A57</f>
        <v>54</v>
      </c>
      <c r="L18" t="str">
        <f>'Stammdaten - Schwimmer'!B57</f>
        <v>Künzemüller</v>
      </c>
      <c r="M18" t="str">
        <f>'Stammdaten - Schwimmer'!C57</f>
        <v>Klaus</v>
      </c>
      <c r="N18" s="46">
        <f>'Stammdaten - Schwimmer'!D57</f>
        <v>27149</v>
      </c>
      <c r="O18">
        <f>'Stammdaten - Schwimmer'!E57</f>
        <v>503</v>
      </c>
      <c r="P18">
        <f>'Stammdaten - Schwimmer'!F57</f>
        <v>44</v>
      </c>
      <c r="Q18">
        <v>50</v>
      </c>
      <c r="R18">
        <f t="shared" si="0"/>
        <v>2200</v>
      </c>
    </row>
    <row r="19" spans="1:18" x14ac:dyDescent="0.35">
      <c r="A19">
        <f>'Stammdaten - Schwimmer'!A35</f>
        <v>32</v>
      </c>
      <c r="B19" t="str">
        <f>'Stammdaten - Schwimmer'!B35</f>
        <v xml:space="preserve">Veit </v>
      </c>
      <c r="C19" t="str">
        <f>'Stammdaten - Schwimmer'!C35</f>
        <v>Dorothea</v>
      </c>
      <c r="D19" s="46">
        <f>'Stammdaten - Schwimmer'!D35</f>
        <v>42205</v>
      </c>
      <c r="E19">
        <f>'Stammdaten - Schwimmer'!E35</f>
        <v>503</v>
      </c>
      <c r="F19">
        <f>'Stammdaten - Schwimmer'!F35</f>
        <v>80</v>
      </c>
      <c r="K19">
        <f>'Stammdaten - Schwimmer'!A50</f>
        <v>47</v>
      </c>
      <c r="L19" t="str">
        <f>'Stammdaten - Schwimmer'!B50</f>
        <v>Warga</v>
      </c>
      <c r="M19" t="str">
        <f>'Stammdaten - Schwimmer'!C50</f>
        <v>Christian</v>
      </c>
      <c r="N19" s="46">
        <f>'Stammdaten - Schwimmer'!D50</f>
        <v>27486</v>
      </c>
      <c r="O19">
        <f>'Stammdaten - Schwimmer'!E50</f>
        <v>0</v>
      </c>
      <c r="P19">
        <f>'Stammdaten - Schwimmer'!F50</f>
        <v>62</v>
      </c>
      <c r="Q19">
        <v>50</v>
      </c>
      <c r="R19">
        <f t="shared" si="0"/>
        <v>3100</v>
      </c>
    </row>
    <row r="20" spans="1:18" x14ac:dyDescent="0.35">
      <c r="A20">
        <f>'Stammdaten - Schwimmer'!A87</f>
        <v>84</v>
      </c>
      <c r="B20" t="str">
        <f>'Stammdaten - Schwimmer'!B87</f>
        <v>Pauls</v>
      </c>
      <c r="C20" t="str">
        <f>'Stammdaten - Schwimmer'!C87</f>
        <v xml:space="preserve">Anton </v>
      </c>
      <c r="D20" s="46">
        <f>'Stammdaten - Schwimmer'!D87</f>
        <v>42163</v>
      </c>
      <c r="E20">
        <f>'Stammdaten - Schwimmer'!E87</f>
        <v>0</v>
      </c>
      <c r="F20">
        <f>'Stammdaten - Schwimmer'!F87</f>
        <v>52</v>
      </c>
      <c r="K20">
        <f>'Stammdaten - Schwimmer'!A36</f>
        <v>33</v>
      </c>
      <c r="L20" t="str">
        <f>'Stammdaten - Schwimmer'!B36</f>
        <v>Kühn</v>
      </c>
      <c r="M20" t="str">
        <f>'Stammdaten - Schwimmer'!C36</f>
        <v>Jürgen</v>
      </c>
      <c r="N20" s="46">
        <f>'Stammdaten - Schwimmer'!D36</f>
        <v>27495</v>
      </c>
      <c r="O20">
        <f>'Stammdaten - Schwimmer'!E36</f>
        <v>502</v>
      </c>
      <c r="P20">
        <f>'Stammdaten - Schwimmer'!F36</f>
        <v>58</v>
      </c>
      <c r="Q20">
        <v>50</v>
      </c>
      <c r="R20">
        <f t="shared" si="0"/>
        <v>2900</v>
      </c>
    </row>
    <row r="21" spans="1:18" x14ac:dyDescent="0.35">
      <c r="A21">
        <f>'Stammdaten - Schwimmer'!A84</f>
        <v>81</v>
      </c>
      <c r="B21" t="str">
        <f>'Stammdaten - Schwimmer'!B84</f>
        <v>Zhou</v>
      </c>
      <c r="C21" t="str">
        <f>'Stammdaten - Schwimmer'!C84</f>
        <v>Robin</v>
      </c>
      <c r="D21" s="46">
        <f>'Stammdaten - Schwimmer'!D84</f>
        <v>42116</v>
      </c>
      <c r="E21">
        <f>'Stammdaten - Schwimmer'!E84</f>
        <v>503</v>
      </c>
      <c r="F21">
        <f>'Stammdaten - Schwimmer'!F84</f>
        <v>80</v>
      </c>
      <c r="K21">
        <f>'Stammdaten - Schwimmer'!A51</f>
        <v>48</v>
      </c>
      <c r="L21" t="str">
        <f>'Stammdaten - Schwimmer'!B51</f>
        <v>Warga</v>
      </c>
      <c r="M21" t="str">
        <f>'Stammdaten - Schwimmer'!C51</f>
        <v>Christina</v>
      </c>
      <c r="N21" s="46">
        <f>'Stammdaten - Schwimmer'!D51</f>
        <v>27766</v>
      </c>
      <c r="O21">
        <f>'Stammdaten - Schwimmer'!E51</f>
        <v>503</v>
      </c>
      <c r="P21">
        <f>'Stammdaten - Schwimmer'!F51</f>
        <v>64</v>
      </c>
      <c r="Q21">
        <v>50</v>
      </c>
      <c r="R21">
        <f t="shared" si="0"/>
        <v>3200</v>
      </c>
    </row>
    <row r="22" spans="1:18" x14ac:dyDescent="0.35">
      <c r="A22">
        <f>'Stammdaten - Schwimmer'!A33</f>
        <v>30</v>
      </c>
      <c r="B22" t="str">
        <f>'Stammdaten - Schwimmer'!B33</f>
        <v>Kesten</v>
      </c>
      <c r="C22" t="str">
        <f>'Stammdaten - Schwimmer'!C33</f>
        <v>Annabelle</v>
      </c>
      <c r="D22" s="46">
        <f>'Stammdaten - Schwimmer'!D33</f>
        <v>42053</v>
      </c>
      <c r="E22">
        <f>'Stammdaten - Schwimmer'!E33</f>
        <v>503</v>
      </c>
      <c r="F22">
        <f>'Stammdaten - Schwimmer'!F33</f>
        <v>98</v>
      </c>
      <c r="K22">
        <f>'Stammdaten - Schwimmer'!A72</f>
        <v>69</v>
      </c>
      <c r="L22" t="str">
        <f>'Stammdaten - Schwimmer'!B72</f>
        <v>Schuppler</v>
      </c>
      <c r="M22" t="str">
        <f>'Stammdaten - Schwimmer'!C72</f>
        <v>Christian</v>
      </c>
      <c r="N22" s="46">
        <f>'Stammdaten - Schwimmer'!D72</f>
        <v>28159</v>
      </c>
      <c r="O22">
        <f>'Stammdaten - Schwimmer'!E72</f>
        <v>0</v>
      </c>
      <c r="P22">
        <f>'Stammdaten - Schwimmer'!F72</f>
        <v>50</v>
      </c>
      <c r="Q22">
        <v>50</v>
      </c>
      <c r="R22">
        <f t="shared" si="0"/>
        <v>2500</v>
      </c>
    </row>
    <row r="23" spans="1:18" x14ac:dyDescent="0.35">
      <c r="A23">
        <f>'Stammdaten - Schwimmer'!A77</f>
        <v>74</v>
      </c>
      <c r="B23" t="str">
        <f>'Stammdaten - Schwimmer'!B77</f>
        <v>Holste</v>
      </c>
      <c r="C23" t="str">
        <f>'Stammdaten - Schwimmer'!C77</f>
        <v>Oscar</v>
      </c>
      <c r="D23" s="46">
        <f>'Stammdaten - Schwimmer'!D77</f>
        <v>42027</v>
      </c>
      <c r="E23">
        <f>'Stammdaten - Schwimmer'!E77</f>
        <v>503.505</v>
      </c>
      <c r="F23">
        <f>'Stammdaten - Schwimmer'!F77</f>
        <v>68</v>
      </c>
      <c r="K23">
        <f>'Stammdaten - Schwimmer'!A68</f>
        <v>65</v>
      </c>
      <c r="L23" t="str">
        <f>'Stammdaten - Schwimmer'!B68</f>
        <v>Faller</v>
      </c>
      <c r="M23" t="str">
        <f>'Stammdaten - Schwimmer'!C68</f>
        <v>Petra</v>
      </c>
      <c r="N23" s="46">
        <f>'Stammdaten - Schwimmer'!D68</f>
        <v>28697</v>
      </c>
      <c r="O23">
        <f>'Stammdaten - Schwimmer'!E68</f>
        <v>505</v>
      </c>
      <c r="P23">
        <f>'Stammdaten - Schwimmer'!F68</f>
        <v>52</v>
      </c>
      <c r="Q23">
        <v>50</v>
      </c>
      <c r="R23">
        <f t="shared" si="0"/>
        <v>2600</v>
      </c>
    </row>
    <row r="24" spans="1:18" x14ac:dyDescent="0.35">
      <c r="A24">
        <f>'Stammdaten - Schwimmer'!A30</f>
        <v>27</v>
      </c>
      <c r="B24" t="str">
        <f>'Stammdaten - Schwimmer'!B30</f>
        <v>Tutsch</v>
      </c>
      <c r="C24" t="str">
        <f>'Stammdaten - Schwimmer'!C30</f>
        <v>Linda</v>
      </c>
      <c r="D24" s="46">
        <f>'Stammdaten - Schwimmer'!D30</f>
        <v>41926</v>
      </c>
      <c r="E24">
        <f>'Stammdaten - Schwimmer'!E30</f>
        <v>505</v>
      </c>
      <c r="F24">
        <f>'Stammdaten - Schwimmer'!F30</f>
        <v>80</v>
      </c>
      <c r="K24">
        <f>'Stammdaten - Schwimmer'!A19</f>
        <v>16</v>
      </c>
      <c r="L24" t="str">
        <f>'Stammdaten - Schwimmer'!B19</f>
        <v>Gessler</v>
      </c>
      <c r="M24" t="str">
        <f>'Stammdaten - Schwimmer'!C19</f>
        <v>Birget</v>
      </c>
      <c r="N24" s="46">
        <f>'Stammdaten - Schwimmer'!D19</f>
        <v>29380</v>
      </c>
      <c r="O24">
        <f>'Stammdaten - Schwimmer'!E19</f>
        <v>502</v>
      </c>
      <c r="P24">
        <f>'Stammdaten - Schwimmer'!F19</f>
        <v>40</v>
      </c>
      <c r="Q24">
        <v>50</v>
      </c>
      <c r="R24">
        <f t="shared" si="0"/>
        <v>2000</v>
      </c>
    </row>
    <row r="25" spans="1:18" x14ac:dyDescent="0.35">
      <c r="A25">
        <f>'Stammdaten - Schwimmer'!A6</f>
        <v>3</v>
      </c>
      <c r="B25" t="str">
        <f>'Stammdaten - Schwimmer'!B6</f>
        <v>Hueber</v>
      </c>
      <c r="C25" t="str">
        <f>'Stammdaten - Schwimmer'!C6</f>
        <v>Elyana</v>
      </c>
      <c r="D25" s="46">
        <f>'Stammdaten - Schwimmer'!D6</f>
        <v>41924</v>
      </c>
      <c r="E25">
        <f>'Stammdaten - Schwimmer'!E6</f>
        <v>502</v>
      </c>
      <c r="F25">
        <f>'Stammdaten - Schwimmer'!F6</f>
        <v>70</v>
      </c>
      <c r="K25">
        <f>'Stammdaten - Schwimmer'!A55</f>
        <v>52</v>
      </c>
      <c r="L25" t="str">
        <f>'Stammdaten - Schwimmer'!B55</f>
        <v>Theobald</v>
      </c>
      <c r="M25" t="str">
        <f>'Stammdaten - Schwimmer'!C55</f>
        <v>Ariane</v>
      </c>
      <c r="N25" s="46">
        <f>'Stammdaten - Schwimmer'!D55</f>
        <v>29400</v>
      </c>
      <c r="O25">
        <f>'Stammdaten - Schwimmer'!E55</f>
        <v>503</v>
      </c>
      <c r="P25">
        <f>'Stammdaten - Schwimmer'!F55</f>
        <v>24</v>
      </c>
      <c r="Q25">
        <v>50</v>
      </c>
      <c r="R25">
        <f t="shared" si="0"/>
        <v>1200</v>
      </c>
    </row>
    <row r="26" spans="1:18" x14ac:dyDescent="0.35">
      <c r="A26">
        <f>'Stammdaten - Schwimmer'!A31</f>
        <v>28</v>
      </c>
      <c r="B26" t="str">
        <f>'Stammdaten - Schwimmer'!B31</f>
        <v>Burck</v>
      </c>
      <c r="C26" t="str">
        <f>'Stammdaten - Schwimmer'!C31</f>
        <v>Jan Aleander</v>
      </c>
      <c r="D26" s="46">
        <f>'Stammdaten - Schwimmer'!D31</f>
        <v>41849</v>
      </c>
      <c r="E26">
        <f>'Stammdaten - Schwimmer'!E31</f>
        <v>502</v>
      </c>
      <c r="F26">
        <f>'Stammdaten - Schwimmer'!F31</f>
        <v>82</v>
      </c>
      <c r="K26">
        <f>'Stammdaten - Schwimmer'!A79</f>
        <v>76</v>
      </c>
      <c r="L26" t="str">
        <f>'Stammdaten - Schwimmer'!B79</f>
        <v>Holste</v>
      </c>
      <c r="M26" t="str">
        <f>'Stammdaten - Schwimmer'!C79</f>
        <v>Ruban</v>
      </c>
      <c r="N26" s="46">
        <f>'Stammdaten - Schwimmer'!D79</f>
        <v>30358</v>
      </c>
      <c r="O26">
        <f>'Stammdaten - Schwimmer'!E79</f>
        <v>503.505</v>
      </c>
      <c r="P26">
        <f>'Stammdaten - Schwimmer'!F79</f>
        <v>68</v>
      </c>
      <c r="Q26">
        <v>50</v>
      </c>
      <c r="R26">
        <f t="shared" si="0"/>
        <v>3400</v>
      </c>
    </row>
    <row r="27" spans="1:18" x14ac:dyDescent="0.35">
      <c r="A27">
        <f>'Stammdaten - Schwimmer'!A82</f>
        <v>79</v>
      </c>
      <c r="B27" t="str">
        <f>'Stammdaten - Schwimmer'!B82</f>
        <v>Bossert De Paz</v>
      </c>
      <c r="C27" t="str">
        <f>'Stammdaten - Schwimmer'!C82</f>
        <v>Noah Javier</v>
      </c>
      <c r="D27" s="46">
        <f>'Stammdaten - Schwimmer'!D82</f>
        <v>41765</v>
      </c>
      <c r="E27">
        <f>'Stammdaten - Schwimmer'!E82</f>
        <v>503</v>
      </c>
      <c r="F27">
        <f>'Stammdaten - Schwimmer'!F82</f>
        <v>60</v>
      </c>
      <c r="K27">
        <f>'Stammdaten - Schwimmer'!A18</f>
        <v>15</v>
      </c>
      <c r="L27" t="str">
        <f>'Stammdaten - Schwimmer'!B18</f>
        <v xml:space="preserve"> Schmid</v>
      </c>
      <c r="M27" t="str">
        <f>'Stammdaten - Schwimmer'!C18</f>
        <v>Annette</v>
      </c>
      <c r="N27" s="46">
        <f>'Stammdaten - Schwimmer'!D18</f>
        <v>30400</v>
      </c>
      <c r="O27">
        <f>'Stammdaten - Schwimmer'!E18</f>
        <v>502</v>
      </c>
      <c r="P27">
        <f>'Stammdaten - Schwimmer'!F18</f>
        <v>40</v>
      </c>
      <c r="Q27">
        <v>50</v>
      </c>
      <c r="R27">
        <f t="shared" si="0"/>
        <v>2000</v>
      </c>
    </row>
    <row r="28" spans="1:18" x14ac:dyDescent="0.35">
      <c r="A28">
        <f>'Stammdaten - Schwimmer'!A60</f>
        <v>57</v>
      </c>
      <c r="B28" t="str">
        <f>'Stammdaten - Schwimmer'!B60</f>
        <v>Hecker</v>
      </c>
      <c r="C28" t="str">
        <f>'Stammdaten - Schwimmer'!C60</f>
        <v>Floyd</v>
      </c>
      <c r="D28" s="46">
        <f>'Stammdaten - Schwimmer'!D60</f>
        <v>41720</v>
      </c>
      <c r="E28">
        <f>'Stammdaten - Schwimmer'!E60</f>
        <v>0</v>
      </c>
      <c r="F28">
        <f>'Stammdaten - Schwimmer'!F60</f>
        <v>0</v>
      </c>
      <c r="K28">
        <f>'Stammdaten - Schwimmer'!A7</f>
        <v>4</v>
      </c>
      <c r="L28" t="str">
        <f>'Stammdaten - Schwimmer'!B7</f>
        <v>Kombächer</v>
      </c>
      <c r="M28" t="str">
        <f>'Stammdaten - Schwimmer'!C7</f>
        <v>Anja</v>
      </c>
      <c r="N28" s="46">
        <f>'Stammdaten - Schwimmer'!D7</f>
        <v>30515</v>
      </c>
      <c r="O28">
        <f>'Stammdaten - Schwimmer'!E7</f>
        <v>502</v>
      </c>
      <c r="P28">
        <f>'Stammdaten - Schwimmer'!F7</f>
        <v>44</v>
      </c>
      <c r="Q28">
        <v>50</v>
      </c>
      <c r="R28">
        <f t="shared" si="0"/>
        <v>2200</v>
      </c>
    </row>
    <row r="29" spans="1:18" x14ac:dyDescent="0.35">
      <c r="A29">
        <f>'Stammdaten - Schwimmer'!A8</f>
        <v>5</v>
      </c>
      <c r="B29" t="str">
        <f>'Stammdaten - Schwimmer'!B8</f>
        <v>Kombächer</v>
      </c>
      <c r="C29" t="str">
        <f>'Stammdaten - Schwimmer'!C8</f>
        <v>Lea</v>
      </c>
      <c r="D29" s="46">
        <f>'Stammdaten - Schwimmer'!D8</f>
        <v>41712</v>
      </c>
      <c r="E29">
        <f>'Stammdaten - Schwimmer'!E8</f>
        <v>502</v>
      </c>
      <c r="F29">
        <f>'Stammdaten - Schwimmer'!F8</f>
        <v>80</v>
      </c>
      <c r="K29">
        <f>'Stammdaten - Schwimmer'!A74</f>
        <v>71</v>
      </c>
      <c r="L29" t="str">
        <f>'Stammdaten - Schwimmer'!B74</f>
        <v>Schmid</v>
      </c>
      <c r="M29" t="str">
        <f>'Stammdaten - Schwimmer'!C74</f>
        <v>Katherina</v>
      </c>
      <c r="N29" s="46">
        <f>'Stammdaten - Schwimmer'!D74</f>
        <v>30595</v>
      </c>
      <c r="O29">
        <f>'Stammdaten - Schwimmer'!E74</f>
        <v>502</v>
      </c>
      <c r="P29">
        <f>'Stammdaten - Schwimmer'!F74</f>
        <v>46</v>
      </c>
      <c r="Q29">
        <v>50</v>
      </c>
      <c r="R29">
        <f t="shared" si="0"/>
        <v>2300</v>
      </c>
    </row>
    <row r="30" spans="1:18" x14ac:dyDescent="0.35">
      <c r="A30">
        <f>'Stammdaten - Schwimmer'!A54</f>
        <v>51</v>
      </c>
      <c r="B30" t="str">
        <f>'Stammdaten - Schwimmer'!B54</f>
        <v>Baier</v>
      </c>
      <c r="C30" t="str">
        <f>'Stammdaten - Schwimmer'!C54</f>
        <v>Louis</v>
      </c>
      <c r="D30" s="46">
        <f>'Stammdaten - Schwimmer'!D54</f>
        <v>41632</v>
      </c>
      <c r="E30">
        <f>'Stammdaten - Schwimmer'!E54</f>
        <v>502.505</v>
      </c>
      <c r="F30">
        <f>'Stammdaten - Schwimmer'!F54</f>
        <v>126</v>
      </c>
      <c r="K30">
        <f>'Stammdaten - Schwimmer'!A65</f>
        <v>62</v>
      </c>
      <c r="L30" t="str">
        <f>'Stammdaten - Schwimmer'!B65</f>
        <v>Rink</v>
      </c>
      <c r="M30" t="str">
        <f>'Stammdaten - Schwimmer'!C65</f>
        <v>Bärbel</v>
      </c>
      <c r="N30" s="46">
        <f>'Stammdaten - Schwimmer'!D65</f>
        <v>30623</v>
      </c>
      <c r="O30">
        <f>'Stammdaten - Schwimmer'!E65</f>
        <v>505</v>
      </c>
      <c r="P30">
        <f>'Stammdaten - Schwimmer'!F65</f>
        <v>46</v>
      </c>
      <c r="Q30">
        <v>50</v>
      </c>
      <c r="R30">
        <f t="shared" si="0"/>
        <v>2300</v>
      </c>
    </row>
    <row r="31" spans="1:18" x14ac:dyDescent="0.35">
      <c r="A31">
        <f>'Stammdaten - Schwimmer'!A78</f>
        <v>75</v>
      </c>
      <c r="B31" t="str">
        <f>'Stammdaten - Schwimmer'!B78</f>
        <v>Holste</v>
      </c>
      <c r="C31" t="str">
        <f>'Stammdaten - Schwimmer'!C78</f>
        <v>Lotte</v>
      </c>
      <c r="D31" s="46">
        <f>'Stammdaten - Schwimmer'!D78</f>
        <v>41408</v>
      </c>
      <c r="E31">
        <f>'Stammdaten - Schwimmer'!E78</f>
        <v>503.505</v>
      </c>
      <c r="F31">
        <f>'Stammdaten - Schwimmer'!F78</f>
        <v>84</v>
      </c>
      <c r="K31">
        <f>'Stammdaten - Schwimmer'!A85</f>
        <v>82</v>
      </c>
      <c r="L31" t="str">
        <f>'Stammdaten - Schwimmer'!B85</f>
        <v>Göpel</v>
      </c>
      <c r="M31" t="str">
        <f>'Stammdaten - Schwimmer'!C85</f>
        <v>Mark-Franz</v>
      </c>
      <c r="N31" s="46">
        <f>'Stammdaten - Schwimmer'!D85</f>
        <v>31212</v>
      </c>
      <c r="O31">
        <f>'Stammdaten - Schwimmer'!E85</f>
        <v>0</v>
      </c>
      <c r="P31">
        <f>'Stammdaten - Schwimmer'!F85</f>
        <v>34</v>
      </c>
      <c r="Q31">
        <v>50</v>
      </c>
      <c r="R31">
        <f t="shared" si="0"/>
        <v>1700</v>
      </c>
    </row>
    <row r="32" spans="1:18" x14ac:dyDescent="0.35">
      <c r="A32">
        <f>'Stammdaten - Schwimmer'!A29</f>
        <v>26</v>
      </c>
      <c r="B32" t="str">
        <f>'Stammdaten - Schwimmer'!B29</f>
        <v>Tutsch</v>
      </c>
      <c r="C32" t="str">
        <f>'Stammdaten - Schwimmer'!C29</f>
        <v>Moritz</v>
      </c>
      <c r="D32" s="46">
        <f>'Stammdaten - Schwimmer'!D29</f>
        <v>41321</v>
      </c>
      <c r="E32">
        <f>'Stammdaten - Schwimmer'!E29</f>
        <v>505</v>
      </c>
      <c r="F32">
        <f>'Stammdaten - Schwimmer'!F29</f>
        <v>68</v>
      </c>
      <c r="K32">
        <f>'Stammdaten - Schwimmer'!A48</f>
        <v>45</v>
      </c>
      <c r="L32" t="str">
        <f>'Stammdaten - Schwimmer'!B48</f>
        <v>Sehrt</v>
      </c>
      <c r="M32" t="str">
        <f>'Stammdaten - Schwimmer'!C48</f>
        <v>Fransiska</v>
      </c>
      <c r="N32" s="46">
        <f>'Stammdaten - Schwimmer'!D48</f>
        <v>32049</v>
      </c>
      <c r="O32">
        <f>'Stammdaten - Schwimmer'!E48</f>
        <v>503</v>
      </c>
      <c r="P32">
        <f>'Stammdaten - Schwimmer'!F48</f>
        <v>80</v>
      </c>
      <c r="Q32">
        <v>50</v>
      </c>
      <c r="R32">
        <f t="shared" si="0"/>
        <v>4000</v>
      </c>
    </row>
    <row r="33" spans="1:18" x14ac:dyDescent="0.35">
      <c r="A33">
        <f>'Stammdaten - Schwimmer'!A21</f>
        <v>18</v>
      </c>
      <c r="B33" t="str">
        <f>'Stammdaten - Schwimmer'!B21</f>
        <v>Schmid</v>
      </c>
      <c r="C33" t="str">
        <f>'Stammdaten - Schwimmer'!C21</f>
        <v>Hannes</v>
      </c>
      <c r="D33" s="46">
        <f>'Stammdaten - Schwimmer'!D21</f>
        <v>41282</v>
      </c>
      <c r="E33">
        <f>'Stammdaten - Schwimmer'!E21</f>
        <v>502</v>
      </c>
      <c r="F33">
        <f>'Stammdaten - Schwimmer'!F21</f>
        <v>92</v>
      </c>
      <c r="K33">
        <f>'Stammdaten - Schwimmer'!A22</f>
        <v>19</v>
      </c>
      <c r="L33" t="str">
        <f>'Stammdaten - Schwimmer'!B22</f>
        <v>Uth</v>
      </c>
      <c r="M33" t="str">
        <f>'Stammdaten - Schwimmer'!C22</f>
        <v>Markus</v>
      </c>
      <c r="N33" s="46">
        <f>'Stammdaten - Schwimmer'!D22</f>
        <v>33150</v>
      </c>
      <c r="O33">
        <f>'Stammdaten - Schwimmer'!E22</f>
        <v>502</v>
      </c>
      <c r="P33">
        <f>'Stammdaten - Schwimmer'!F22</f>
        <v>42</v>
      </c>
      <c r="Q33">
        <v>50</v>
      </c>
      <c r="R33">
        <f t="shared" si="0"/>
        <v>2100</v>
      </c>
    </row>
    <row r="34" spans="1:18" x14ac:dyDescent="0.35">
      <c r="A34">
        <f>'Stammdaten - Schwimmer'!A17</f>
        <v>14</v>
      </c>
      <c r="B34" t="str">
        <f>'Stammdaten - Schwimmer'!B17</f>
        <v>Test</v>
      </c>
      <c r="C34" t="str">
        <f>'Stammdaten - Schwimmer'!C17</f>
        <v>12J</v>
      </c>
      <c r="D34" s="46">
        <f>'Stammdaten - Schwimmer'!D17</f>
        <v>41275</v>
      </c>
      <c r="E34">
        <f>'Stammdaten - Schwimmer'!E17</f>
        <v>0</v>
      </c>
      <c r="F34">
        <f>'Stammdaten - Schwimmer'!F17</f>
        <v>0</v>
      </c>
      <c r="K34">
        <f>'Stammdaten - Schwimmer'!A81</f>
        <v>78</v>
      </c>
      <c r="L34" t="str">
        <f>'Stammdaten - Schwimmer'!B81</f>
        <v>Kalamaris</v>
      </c>
      <c r="M34" t="str">
        <f>'Stammdaten - Schwimmer'!C81</f>
        <v>Christina</v>
      </c>
      <c r="N34" s="46">
        <f>'Stammdaten - Schwimmer'!D81</f>
        <v>33922</v>
      </c>
      <c r="O34">
        <f>'Stammdaten - Schwimmer'!E81</f>
        <v>502</v>
      </c>
      <c r="P34">
        <f>'Stammdaten - Schwimmer'!F81</f>
        <v>40</v>
      </c>
      <c r="Q34">
        <v>50</v>
      </c>
      <c r="R34">
        <f t="shared" si="0"/>
        <v>2000</v>
      </c>
    </row>
    <row r="35" spans="1:18" x14ac:dyDescent="0.35">
      <c r="A35">
        <f>'Stammdaten - Schwimmer'!A41</f>
        <v>38</v>
      </c>
      <c r="B35" t="str">
        <f>'Stammdaten - Schwimmer'!B41</f>
        <v>Krilla</v>
      </c>
      <c r="C35" t="str">
        <f>'Stammdaten - Schwimmer'!C41</f>
        <v>Nike</v>
      </c>
      <c r="D35" s="46">
        <f>'Stammdaten - Schwimmer'!D41</f>
        <v>40945</v>
      </c>
      <c r="E35">
        <f>'Stammdaten - Schwimmer'!E41</f>
        <v>503</v>
      </c>
      <c r="F35">
        <f>'Stammdaten - Schwimmer'!F41</f>
        <v>20</v>
      </c>
      <c r="K35">
        <f>'Stammdaten - Schwimmer'!A76</f>
        <v>73</v>
      </c>
      <c r="L35" t="str">
        <f>'Stammdaten - Schwimmer'!B76</f>
        <v>Bauer</v>
      </c>
      <c r="M35" t="str">
        <f>'Stammdaten - Schwimmer'!C76</f>
        <v>Amelie</v>
      </c>
      <c r="N35" s="46">
        <f>'Stammdaten - Schwimmer'!D76</f>
        <v>34191</v>
      </c>
      <c r="O35">
        <f>'Stammdaten - Schwimmer'!E76</f>
        <v>503</v>
      </c>
      <c r="P35">
        <f>'Stammdaten - Schwimmer'!F76</f>
        <v>66</v>
      </c>
      <c r="Q35">
        <v>50</v>
      </c>
      <c r="R35">
        <f t="shared" si="0"/>
        <v>3300</v>
      </c>
    </row>
    <row r="36" spans="1:18" x14ac:dyDescent="0.35">
      <c r="A36">
        <f>'Stammdaten - Schwimmer'!A75</f>
        <v>72</v>
      </c>
      <c r="B36" t="str">
        <f>'Stammdaten - Schwimmer'!B75</f>
        <v>Maier</v>
      </c>
      <c r="C36" t="str">
        <f>'Stammdaten - Schwimmer'!C75</f>
        <v>Elisa</v>
      </c>
      <c r="D36" s="46">
        <f>'Stammdaten - Schwimmer'!D75</f>
        <v>40885</v>
      </c>
      <c r="E36">
        <f>'Stammdaten - Schwimmer'!E75</f>
        <v>0</v>
      </c>
      <c r="F36">
        <f>'Stammdaten - Schwimmer'!F75</f>
        <v>96</v>
      </c>
      <c r="K36">
        <f>'Stammdaten - Schwimmer'!A86</f>
        <v>83</v>
      </c>
      <c r="L36" t="str">
        <f>'Stammdaten - Schwimmer'!B86</f>
        <v>Krause</v>
      </c>
      <c r="M36" t="str">
        <f>'Stammdaten - Schwimmer'!C86</f>
        <v>Florian</v>
      </c>
      <c r="N36" s="46">
        <f>'Stammdaten - Schwimmer'!D86</f>
        <v>34533</v>
      </c>
      <c r="O36">
        <f>'Stammdaten - Schwimmer'!E86</f>
        <v>502</v>
      </c>
      <c r="P36">
        <f>'Stammdaten - Schwimmer'!F86</f>
        <v>50</v>
      </c>
      <c r="Q36">
        <v>50</v>
      </c>
      <c r="R36">
        <f t="shared" si="0"/>
        <v>2500</v>
      </c>
    </row>
    <row r="37" spans="1:18" x14ac:dyDescent="0.35">
      <c r="A37">
        <f>'Stammdaten - Schwimmer'!A63</f>
        <v>60</v>
      </c>
      <c r="B37" t="str">
        <f>'Stammdaten - Schwimmer'!B63</f>
        <v>Vorreiter</v>
      </c>
      <c r="C37" t="str">
        <f>'Stammdaten - Schwimmer'!C63</f>
        <v>Pia</v>
      </c>
      <c r="D37" s="46">
        <f>'Stammdaten - Schwimmer'!D63</f>
        <v>40766</v>
      </c>
      <c r="E37">
        <f>'Stammdaten - Schwimmer'!E63</f>
        <v>0</v>
      </c>
      <c r="F37">
        <f>'Stammdaten - Schwimmer'!F63</f>
        <v>96</v>
      </c>
      <c r="K37">
        <f>'Stammdaten - Schwimmer'!A28</f>
        <v>25</v>
      </c>
      <c r="L37" t="str">
        <f>'Stammdaten - Schwimmer'!B28</f>
        <v>Schulze</v>
      </c>
      <c r="M37" t="str">
        <f>'Stammdaten - Schwimmer'!C28</f>
        <v>Christian</v>
      </c>
      <c r="N37" s="46">
        <f>'Stammdaten - Schwimmer'!D28</f>
        <v>34948</v>
      </c>
      <c r="O37">
        <f>'Stammdaten - Schwimmer'!E28</f>
        <v>502</v>
      </c>
      <c r="P37">
        <f>'Stammdaten - Schwimmer'!F28</f>
        <v>58</v>
      </c>
      <c r="Q37">
        <v>50</v>
      </c>
      <c r="R37">
        <f t="shared" si="0"/>
        <v>2900</v>
      </c>
    </row>
    <row r="38" spans="1:18" x14ac:dyDescent="0.35">
      <c r="A38">
        <f>'Stammdaten - Schwimmer'!A80</f>
        <v>77</v>
      </c>
      <c r="B38" t="str">
        <f>'Stammdaten - Schwimmer'!B80</f>
        <v>Holste</v>
      </c>
      <c r="C38" t="str">
        <f>'Stammdaten - Schwimmer'!C80</f>
        <v>Maxi</v>
      </c>
      <c r="D38" s="46">
        <f>'Stammdaten - Schwimmer'!D80</f>
        <v>40697</v>
      </c>
      <c r="E38">
        <f>'Stammdaten - Schwimmer'!E80</f>
        <v>503.505</v>
      </c>
      <c r="F38">
        <f>'Stammdaten - Schwimmer'!F80</f>
        <v>30</v>
      </c>
      <c r="K38">
        <f>'Stammdaten - Schwimmer'!A58</f>
        <v>55</v>
      </c>
      <c r="L38" t="str">
        <f>'Stammdaten - Schwimmer'!B58</f>
        <v>Murschel</v>
      </c>
      <c r="M38" t="str">
        <f>'Stammdaten - Schwimmer'!C58</f>
        <v>Sophia</v>
      </c>
      <c r="N38" s="46">
        <f>'Stammdaten - Schwimmer'!D58</f>
        <v>35060</v>
      </c>
      <c r="O38">
        <f>'Stammdaten - Schwimmer'!E58</f>
        <v>503</v>
      </c>
      <c r="P38">
        <f>'Stammdaten - Schwimmer'!F58</f>
        <v>42</v>
      </c>
      <c r="Q38">
        <v>50</v>
      </c>
      <c r="R38">
        <f t="shared" si="0"/>
        <v>2100</v>
      </c>
    </row>
    <row r="39" spans="1:18" x14ac:dyDescent="0.35">
      <c r="A39">
        <f>'Stammdaten - Schwimmer'!A9</f>
        <v>6</v>
      </c>
      <c r="B39" t="str">
        <f>'Stammdaten - Schwimmer'!B9</f>
        <v>Ludwig</v>
      </c>
      <c r="C39" t="str">
        <f>'Stammdaten - Schwimmer'!C9</f>
        <v>Mariya</v>
      </c>
      <c r="D39" s="46">
        <f>'Stammdaten - Schwimmer'!D9</f>
        <v>40298</v>
      </c>
      <c r="E39">
        <f>'Stammdaten - Schwimmer'!E9</f>
        <v>502</v>
      </c>
      <c r="F39">
        <f>'Stammdaten - Schwimmer'!F9</f>
        <v>104</v>
      </c>
      <c r="K39">
        <f>'Stammdaten - Schwimmer'!A12</f>
        <v>9</v>
      </c>
      <c r="L39" t="str">
        <f>'Stammdaten - Schwimmer'!B12</f>
        <v>Grambow</v>
      </c>
      <c r="M39" t="str">
        <f>'Stammdaten - Schwimmer'!C12</f>
        <v>Kerstin</v>
      </c>
      <c r="N39" s="46">
        <f>'Stammdaten - Schwimmer'!D12</f>
        <v>35065</v>
      </c>
      <c r="O39" t="str">
        <f>'Stammdaten - Schwimmer'!E12</f>
        <v>503, 504</v>
      </c>
      <c r="P39">
        <f>'Stammdaten - Schwimmer'!F12</f>
        <v>70</v>
      </c>
      <c r="Q39">
        <v>50</v>
      </c>
      <c r="R39">
        <f t="shared" si="0"/>
        <v>3500</v>
      </c>
    </row>
    <row r="40" spans="1:18" x14ac:dyDescent="0.35">
      <c r="A40">
        <f>'Stammdaten - Schwimmer'!A4</f>
        <v>1</v>
      </c>
      <c r="B40" t="str">
        <f>'Stammdaten - Schwimmer'!B4</f>
        <v>Schüler</v>
      </c>
      <c r="C40" t="str">
        <f>'Stammdaten - Schwimmer'!C4</f>
        <v>Muster</v>
      </c>
      <c r="D40" s="46">
        <f>'Stammdaten - Schwimmer'!D4</f>
        <v>40269</v>
      </c>
      <c r="E40">
        <f>'Stammdaten - Schwimmer'!E4</f>
        <v>503</v>
      </c>
      <c r="F40">
        <f>'Stammdaten - Schwimmer'!F4</f>
        <v>1</v>
      </c>
      <c r="K40">
        <f>'Stammdaten - Schwimmer'!A13</f>
        <v>10</v>
      </c>
      <c r="L40" t="str">
        <f>'Stammdaten - Schwimmer'!B13</f>
        <v>Frost</v>
      </c>
      <c r="M40" t="str">
        <f>'Stammdaten - Schwimmer'!C13</f>
        <v>Ellen</v>
      </c>
      <c r="N40" s="46">
        <f>'Stammdaten - Schwimmer'!D13</f>
        <v>35065</v>
      </c>
      <c r="O40" t="str">
        <f>'Stammdaten - Schwimmer'!E13</f>
        <v>503, 504</v>
      </c>
      <c r="P40">
        <f>'Stammdaten - Schwimmer'!F13</f>
        <v>46</v>
      </c>
      <c r="Q40">
        <v>50</v>
      </c>
      <c r="R40">
        <f t="shared" si="0"/>
        <v>2300</v>
      </c>
    </row>
    <row r="41" spans="1:18" x14ac:dyDescent="0.35">
      <c r="A41">
        <f>'Stammdaten - Schwimmer'!A93</f>
        <v>90</v>
      </c>
      <c r="B41" t="str">
        <f>'Stammdaten - Schwimmer'!B93</f>
        <v>Frech</v>
      </c>
      <c r="C41" t="str">
        <f>'Stammdaten - Schwimmer'!C93</f>
        <v>Leonie</v>
      </c>
      <c r="D41" s="46">
        <f>'Stammdaten - Schwimmer'!D93</f>
        <v>40149</v>
      </c>
      <c r="E41">
        <f>'Stammdaten - Schwimmer'!E93</f>
        <v>503</v>
      </c>
      <c r="F41">
        <f>'Stammdaten - Schwimmer'!F93</f>
        <v>48</v>
      </c>
      <c r="K41">
        <f>'Stammdaten - Schwimmer'!A14</f>
        <v>11</v>
      </c>
      <c r="L41" t="str">
        <f>'Stammdaten - Schwimmer'!B14</f>
        <v>Franz</v>
      </c>
      <c r="M41" t="str">
        <f>'Stammdaten - Schwimmer'!C14</f>
        <v>Franzi</v>
      </c>
      <c r="N41" s="46">
        <f>'Stammdaten - Schwimmer'!D14</f>
        <v>35065</v>
      </c>
      <c r="O41" t="str">
        <f>'Stammdaten - Schwimmer'!E14</f>
        <v>503, 504</v>
      </c>
      <c r="P41">
        <f>'Stammdaten - Schwimmer'!F14</f>
        <v>50</v>
      </c>
      <c r="Q41">
        <v>50</v>
      </c>
      <c r="R41">
        <f t="shared" si="0"/>
        <v>2500</v>
      </c>
    </row>
    <row r="42" spans="1:18" x14ac:dyDescent="0.35">
      <c r="A42">
        <f>'Stammdaten - Schwimmer'!A69</f>
        <v>66</v>
      </c>
      <c r="B42" t="str">
        <f>'Stammdaten - Schwimmer'!B69</f>
        <v>Faller</v>
      </c>
      <c r="C42" t="str">
        <f>'Stammdaten - Schwimmer'!C69</f>
        <v>Simon</v>
      </c>
      <c r="D42" s="46">
        <f>'Stammdaten - Schwimmer'!D69</f>
        <v>40149</v>
      </c>
      <c r="E42">
        <f>'Stammdaten - Schwimmer'!E69</f>
        <v>505</v>
      </c>
      <c r="F42">
        <f>'Stammdaten - Schwimmer'!F69</f>
        <v>40</v>
      </c>
      <c r="K42">
        <f>'Stammdaten - Schwimmer'!A15</f>
        <v>12</v>
      </c>
      <c r="L42" t="str">
        <f>'Stammdaten - Schwimmer'!B15</f>
        <v>Wang</v>
      </c>
      <c r="M42" t="str">
        <f>'Stammdaten - Schwimmer'!C15</f>
        <v xml:space="preserve">Jiayuan </v>
      </c>
      <c r="N42" s="46">
        <f>'Stammdaten - Schwimmer'!D15</f>
        <v>35065</v>
      </c>
      <c r="O42" t="str">
        <f>'Stammdaten - Schwimmer'!E15</f>
        <v>503, 504</v>
      </c>
      <c r="P42">
        <f>'Stammdaten - Schwimmer'!F15</f>
        <v>0</v>
      </c>
      <c r="Q42">
        <v>50</v>
      </c>
      <c r="R42">
        <f t="shared" si="0"/>
        <v>0</v>
      </c>
    </row>
    <row r="43" spans="1:18" x14ac:dyDescent="0.35">
      <c r="A43">
        <f>'Stammdaten - Schwimmer'!A44</f>
        <v>41</v>
      </c>
      <c r="B43" t="str">
        <f>'Stammdaten - Schwimmer'!B44</f>
        <v>Künsemüller</v>
      </c>
      <c r="C43" t="str">
        <f>'Stammdaten - Schwimmer'!C44</f>
        <v>Viktoria</v>
      </c>
      <c r="D43" s="46">
        <f>'Stammdaten - Schwimmer'!D44</f>
        <v>40021</v>
      </c>
      <c r="E43">
        <f>'Stammdaten - Schwimmer'!E44</f>
        <v>503</v>
      </c>
      <c r="F43">
        <f>'Stammdaten - Schwimmer'!F44</f>
        <v>112</v>
      </c>
      <c r="K43">
        <f>'Stammdaten - Schwimmer'!A94</f>
        <v>91</v>
      </c>
      <c r="L43" t="str">
        <f>'Stammdaten - Schwimmer'!B94</f>
        <v>Trinh</v>
      </c>
      <c r="M43" t="str">
        <f>'Stammdaten - Schwimmer'!C94</f>
        <v>Han</v>
      </c>
      <c r="N43" s="46">
        <f>'Stammdaten - Schwimmer'!D94</f>
        <v>35204</v>
      </c>
      <c r="O43">
        <f>'Stammdaten - Schwimmer'!E94</f>
        <v>0</v>
      </c>
      <c r="P43">
        <f>'Stammdaten - Schwimmer'!F94</f>
        <v>20</v>
      </c>
      <c r="Q43">
        <v>50</v>
      </c>
      <c r="R43">
        <f t="shared" si="0"/>
        <v>1000</v>
      </c>
    </row>
    <row r="44" spans="1:18" x14ac:dyDescent="0.35">
      <c r="A44">
        <f>'Stammdaten - Schwimmer'!A73</f>
        <v>70</v>
      </c>
      <c r="B44" t="str">
        <f>'Stammdaten - Schwimmer'!B73</f>
        <v>Bronner</v>
      </c>
      <c r="C44" t="str">
        <f>'Stammdaten - Schwimmer'!C73</f>
        <v>Camie</v>
      </c>
      <c r="D44" s="46">
        <f>'Stammdaten - Schwimmer'!D73</f>
        <v>39830</v>
      </c>
      <c r="E44">
        <f>'Stammdaten - Schwimmer'!E73</f>
        <v>503</v>
      </c>
      <c r="F44">
        <f>'Stammdaten - Schwimmer'!F73</f>
        <v>60</v>
      </c>
      <c r="K44">
        <f>'Stammdaten - Schwimmer'!A47</f>
        <v>44</v>
      </c>
      <c r="L44" t="str">
        <f>'Stammdaten - Schwimmer'!B47</f>
        <v>Bauer</v>
      </c>
      <c r="M44" t="str">
        <f>'Stammdaten - Schwimmer'!C47</f>
        <v>Tim</v>
      </c>
      <c r="N44" s="46">
        <f>'Stammdaten - Schwimmer'!D47</f>
        <v>35823</v>
      </c>
      <c r="O44">
        <f>'Stammdaten - Schwimmer'!E47</f>
        <v>503</v>
      </c>
      <c r="P44">
        <f>'Stammdaten - Schwimmer'!F47</f>
        <v>102</v>
      </c>
      <c r="Q44">
        <v>50</v>
      </c>
      <c r="R44">
        <f t="shared" si="0"/>
        <v>5100</v>
      </c>
    </row>
    <row r="45" spans="1:18" x14ac:dyDescent="0.35">
      <c r="A45">
        <f>'Stammdaten - Schwimmer'!A40</f>
        <v>37</v>
      </c>
      <c r="B45" t="str">
        <f>'Stammdaten - Schwimmer'!B40</f>
        <v>Krilla</v>
      </c>
      <c r="C45" t="str">
        <f>'Stammdaten - Schwimmer'!C40</f>
        <v>Stellan</v>
      </c>
      <c r="D45" s="46">
        <f>'Stammdaten - Schwimmer'!D40</f>
        <v>39626</v>
      </c>
      <c r="E45">
        <f>'Stammdaten - Schwimmer'!E40</f>
        <v>503</v>
      </c>
      <c r="F45">
        <f>'Stammdaten - Schwimmer'!F40</f>
        <v>20</v>
      </c>
      <c r="K45">
        <f>'Stammdaten - Schwimmer'!A46</f>
        <v>43</v>
      </c>
      <c r="L45" t="str">
        <f>'Stammdaten - Schwimmer'!B46</f>
        <v>Bachmann</v>
      </c>
      <c r="M45" t="str">
        <f>'Stammdaten - Schwimmer'!C46</f>
        <v>Annabelle</v>
      </c>
      <c r="N45" s="46">
        <f>'Stammdaten - Schwimmer'!D46</f>
        <v>36206</v>
      </c>
      <c r="O45">
        <f>'Stammdaten - Schwimmer'!E46</f>
        <v>503</v>
      </c>
      <c r="P45">
        <f>'Stammdaten - Schwimmer'!F46</f>
        <v>106</v>
      </c>
      <c r="Q45">
        <v>50</v>
      </c>
      <c r="R45">
        <f t="shared" si="0"/>
        <v>5300</v>
      </c>
    </row>
    <row r="46" spans="1:18" x14ac:dyDescent="0.35">
      <c r="A46">
        <f>'Stammdaten - Schwimmer'!A52</f>
        <v>49</v>
      </c>
      <c r="B46" t="str">
        <f>'Stammdaten - Schwimmer'!B52</f>
        <v>Döber</v>
      </c>
      <c r="C46" t="str">
        <f>'Stammdaten - Schwimmer'!C52</f>
        <v>Sophie</v>
      </c>
      <c r="D46" s="46">
        <f>'Stammdaten - Schwimmer'!D52</f>
        <v>39614</v>
      </c>
      <c r="E46">
        <f>'Stammdaten - Schwimmer'!E52</f>
        <v>503</v>
      </c>
      <c r="F46">
        <f>'Stammdaten - Schwimmer'!F52</f>
        <v>92</v>
      </c>
      <c r="K46">
        <f>'Stammdaten - Schwimmer'!A70</f>
        <v>67</v>
      </c>
      <c r="L46" t="str">
        <f>'Stammdaten - Schwimmer'!B70</f>
        <v>Fam. Müller</v>
      </c>
      <c r="M46">
        <f>'Stammdaten - Schwimmer'!C70</f>
        <v>4</v>
      </c>
      <c r="N46" s="46">
        <f>'Stammdaten - Schwimmer'!D70</f>
        <v>36526</v>
      </c>
      <c r="O46">
        <f>'Stammdaten - Schwimmer'!E70</f>
        <v>0</v>
      </c>
      <c r="P46">
        <f>'Stammdaten - Schwimmer'!F70</f>
        <v>36</v>
      </c>
      <c r="Q46">
        <v>50</v>
      </c>
      <c r="R46">
        <f t="shared" si="0"/>
        <v>1800</v>
      </c>
    </row>
    <row r="47" spans="1:18" x14ac:dyDescent="0.35">
      <c r="A47">
        <f>'Stammdaten - Schwimmer'!A64</f>
        <v>61</v>
      </c>
      <c r="B47" t="str">
        <f>'Stammdaten - Schwimmer'!B64</f>
        <v>Vorreiter</v>
      </c>
      <c r="C47" t="str">
        <f>'Stammdaten - Schwimmer'!C64</f>
        <v>Lene</v>
      </c>
      <c r="D47" s="46">
        <f>'Stammdaten - Schwimmer'!D64</f>
        <v>39495</v>
      </c>
      <c r="E47">
        <f>'Stammdaten - Schwimmer'!E64</f>
        <v>503</v>
      </c>
      <c r="F47">
        <f>'Stammdaten - Schwimmer'!F64</f>
        <v>68</v>
      </c>
      <c r="K47">
        <f>'Stammdaten - Schwimmer'!A45</f>
        <v>42</v>
      </c>
      <c r="L47" t="str">
        <f>'Stammdaten - Schwimmer'!B45</f>
        <v>König</v>
      </c>
      <c r="M47" t="str">
        <f>'Stammdaten - Schwimmer'!C45</f>
        <v>Viola</v>
      </c>
      <c r="N47" s="46">
        <f>'Stammdaten - Schwimmer'!D45</f>
        <v>36605</v>
      </c>
      <c r="O47">
        <f>'Stammdaten - Schwimmer'!E45</f>
        <v>503</v>
      </c>
      <c r="P47">
        <f>'Stammdaten - Schwimmer'!F45</f>
        <v>98</v>
      </c>
      <c r="Q47">
        <v>50</v>
      </c>
      <c r="R47">
        <f t="shared" si="0"/>
        <v>4900</v>
      </c>
    </row>
    <row r="48" spans="1:18" x14ac:dyDescent="0.35">
      <c r="A48">
        <f>'Stammdaten - Schwimmer'!A16</f>
        <v>13</v>
      </c>
      <c r="B48" t="str">
        <f>'Stammdaten - Schwimmer'!B16</f>
        <v>Schwörer</v>
      </c>
      <c r="C48" t="str">
        <f>'Stammdaten - Schwimmer'!C16</f>
        <v>Noah</v>
      </c>
      <c r="D48" s="46">
        <f>'Stammdaten - Schwimmer'!D16</f>
        <v>38718</v>
      </c>
      <c r="E48">
        <f>'Stammdaten - Schwimmer'!E16</f>
        <v>503</v>
      </c>
      <c r="F48">
        <f>'Stammdaten - Schwimmer'!F16</f>
        <v>0</v>
      </c>
      <c r="K48">
        <f>'Stammdaten - Schwimmer'!A26</f>
        <v>23</v>
      </c>
      <c r="L48" t="str">
        <f>'Stammdaten - Schwimmer'!B26</f>
        <v>Michaels</v>
      </c>
      <c r="M48" t="str">
        <f>'Stammdaten - Schwimmer'!C26</f>
        <v>Laurens</v>
      </c>
      <c r="N48" s="46">
        <f>'Stammdaten - Schwimmer'!D26</f>
        <v>37401</v>
      </c>
      <c r="O48">
        <f>'Stammdaten - Schwimmer'!E26</f>
        <v>502</v>
      </c>
      <c r="P48">
        <f>'Stammdaten - Schwimmer'!F26</f>
        <v>59</v>
      </c>
      <c r="Q48">
        <v>50</v>
      </c>
      <c r="R48">
        <f t="shared" si="0"/>
        <v>2950</v>
      </c>
    </row>
    <row r="49" spans="1:18" x14ac:dyDescent="0.35">
      <c r="A49">
        <f>'Stammdaten - Schwimmer'!A26</f>
        <v>23</v>
      </c>
      <c r="B49" t="str">
        <f>'Stammdaten - Schwimmer'!B26</f>
        <v>Michaels</v>
      </c>
      <c r="C49" t="str">
        <f>'Stammdaten - Schwimmer'!C26</f>
        <v>Laurens</v>
      </c>
      <c r="D49" s="46">
        <f>'Stammdaten - Schwimmer'!D26</f>
        <v>37401</v>
      </c>
      <c r="E49">
        <f>'Stammdaten - Schwimmer'!E26</f>
        <v>502</v>
      </c>
      <c r="F49">
        <f>'Stammdaten - Schwimmer'!F26</f>
        <v>59</v>
      </c>
      <c r="K49">
        <f>'Stammdaten - Schwimmer'!A16</f>
        <v>13</v>
      </c>
      <c r="L49" t="str">
        <f>'Stammdaten - Schwimmer'!B16</f>
        <v>Schwörer</v>
      </c>
      <c r="M49" t="str">
        <f>'Stammdaten - Schwimmer'!C16</f>
        <v>Noah</v>
      </c>
      <c r="N49" s="46">
        <f>'Stammdaten - Schwimmer'!D16</f>
        <v>38718</v>
      </c>
      <c r="O49">
        <f>'Stammdaten - Schwimmer'!E16</f>
        <v>503</v>
      </c>
      <c r="P49">
        <f>'Stammdaten - Schwimmer'!F16</f>
        <v>0</v>
      </c>
      <c r="Q49">
        <v>50</v>
      </c>
      <c r="R49">
        <f t="shared" si="0"/>
        <v>0</v>
      </c>
    </row>
    <row r="50" spans="1:18" x14ac:dyDescent="0.35">
      <c r="A50">
        <f>'Stammdaten - Schwimmer'!A45</f>
        <v>42</v>
      </c>
      <c r="B50" t="str">
        <f>'Stammdaten - Schwimmer'!B45</f>
        <v>König</v>
      </c>
      <c r="C50" t="str">
        <f>'Stammdaten - Schwimmer'!C45</f>
        <v>Viola</v>
      </c>
      <c r="D50" s="46">
        <f>'Stammdaten - Schwimmer'!D45</f>
        <v>36605</v>
      </c>
      <c r="E50">
        <f>'Stammdaten - Schwimmer'!E45</f>
        <v>503</v>
      </c>
      <c r="F50">
        <f>'Stammdaten - Schwimmer'!F45</f>
        <v>98</v>
      </c>
      <c r="K50">
        <f>'Stammdaten - Schwimmer'!A64</f>
        <v>61</v>
      </c>
      <c r="L50" t="str">
        <f>'Stammdaten - Schwimmer'!B64</f>
        <v>Vorreiter</v>
      </c>
      <c r="M50" t="str">
        <f>'Stammdaten - Schwimmer'!C64</f>
        <v>Lene</v>
      </c>
      <c r="N50" s="46">
        <f>'Stammdaten - Schwimmer'!D64</f>
        <v>39495</v>
      </c>
      <c r="O50">
        <f>'Stammdaten - Schwimmer'!E64</f>
        <v>503</v>
      </c>
      <c r="P50">
        <f>'Stammdaten - Schwimmer'!F64</f>
        <v>68</v>
      </c>
      <c r="Q50">
        <v>50</v>
      </c>
      <c r="R50">
        <f t="shared" si="0"/>
        <v>3400</v>
      </c>
    </row>
    <row r="51" spans="1:18" x14ac:dyDescent="0.35">
      <c r="A51">
        <f>'Stammdaten - Schwimmer'!A70</f>
        <v>67</v>
      </c>
      <c r="B51" t="str">
        <f>'Stammdaten - Schwimmer'!B70</f>
        <v>Fam. Müller</v>
      </c>
      <c r="C51">
        <f>'Stammdaten - Schwimmer'!C70</f>
        <v>4</v>
      </c>
      <c r="D51" s="46">
        <f>'Stammdaten - Schwimmer'!D70</f>
        <v>36526</v>
      </c>
      <c r="E51">
        <f>'Stammdaten - Schwimmer'!E70</f>
        <v>0</v>
      </c>
      <c r="F51">
        <f>'Stammdaten - Schwimmer'!F70</f>
        <v>36</v>
      </c>
      <c r="K51">
        <f>'Stammdaten - Schwimmer'!A52</f>
        <v>49</v>
      </c>
      <c r="L51" t="str">
        <f>'Stammdaten - Schwimmer'!B52</f>
        <v>Döber</v>
      </c>
      <c r="M51" t="str">
        <f>'Stammdaten - Schwimmer'!C52</f>
        <v>Sophie</v>
      </c>
      <c r="N51" s="46">
        <f>'Stammdaten - Schwimmer'!D52</f>
        <v>39614</v>
      </c>
      <c r="O51">
        <f>'Stammdaten - Schwimmer'!E52</f>
        <v>503</v>
      </c>
      <c r="P51">
        <f>'Stammdaten - Schwimmer'!F52</f>
        <v>92</v>
      </c>
      <c r="Q51">
        <v>50</v>
      </c>
      <c r="R51">
        <f t="shared" si="0"/>
        <v>4600</v>
      </c>
    </row>
    <row r="52" spans="1:18" x14ac:dyDescent="0.35">
      <c r="A52">
        <f>'Stammdaten - Schwimmer'!A46</f>
        <v>43</v>
      </c>
      <c r="B52" t="str">
        <f>'Stammdaten - Schwimmer'!B46</f>
        <v>Bachmann</v>
      </c>
      <c r="C52" t="str">
        <f>'Stammdaten - Schwimmer'!C46</f>
        <v>Annabelle</v>
      </c>
      <c r="D52" s="46">
        <f>'Stammdaten - Schwimmer'!D46</f>
        <v>36206</v>
      </c>
      <c r="E52">
        <f>'Stammdaten - Schwimmer'!E46</f>
        <v>503</v>
      </c>
      <c r="F52">
        <f>'Stammdaten - Schwimmer'!F46</f>
        <v>106</v>
      </c>
      <c r="K52">
        <f>'Stammdaten - Schwimmer'!A40</f>
        <v>37</v>
      </c>
      <c r="L52" t="str">
        <f>'Stammdaten - Schwimmer'!B40</f>
        <v>Krilla</v>
      </c>
      <c r="M52" t="str">
        <f>'Stammdaten - Schwimmer'!C40</f>
        <v>Stellan</v>
      </c>
      <c r="N52" s="46">
        <f>'Stammdaten - Schwimmer'!D40</f>
        <v>39626</v>
      </c>
      <c r="O52">
        <f>'Stammdaten - Schwimmer'!E40</f>
        <v>503</v>
      </c>
      <c r="P52">
        <f>'Stammdaten - Schwimmer'!F40</f>
        <v>20</v>
      </c>
      <c r="Q52">
        <v>50</v>
      </c>
      <c r="R52">
        <f t="shared" si="0"/>
        <v>1000</v>
      </c>
    </row>
    <row r="53" spans="1:18" x14ac:dyDescent="0.35">
      <c r="A53">
        <f>'Stammdaten - Schwimmer'!A47</f>
        <v>44</v>
      </c>
      <c r="B53" t="str">
        <f>'Stammdaten - Schwimmer'!B47</f>
        <v>Bauer</v>
      </c>
      <c r="C53" t="str">
        <f>'Stammdaten - Schwimmer'!C47</f>
        <v>Tim</v>
      </c>
      <c r="D53" s="46">
        <f>'Stammdaten - Schwimmer'!D47</f>
        <v>35823</v>
      </c>
      <c r="E53">
        <f>'Stammdaten - Schwimmer'!E47</f>
        <v>503</v>
      </c>
      <c r="F53">
        <f>'Stammdaten - Schwimmer'!F47</f>
        <v>102</v>
      </c>
      <c r="K53">
        <f>'Stammdaten - Schwimmer'!A73</f>
        <v>70</v>
      </c>
      <c r="L53" t="str">
        <f>'Stammdaten - Schwimmer'!B73</f>
        <v>Bronner</v>
      </c>
      <c r="M53" t="str">
        <f>'Stammdaten - Schwimmer'!C73</f>
        <v>Camie</v>
      </c>
      <c r="N53" s="46">
        <f>'Stammdaten - Schwimmer'!D73</f>
        <v>39830</v>
      </c>
      <c r="O53">
        <f>'Stammdaten - Schwimmer'!E73</f>
        <v>503</v>
      </c>
      <c r="P53">
        <f>'Stammdaten - Schwimmer'!F73</f>
        <v>60</v>
      </c>
      <c r="Q53">
        <v>50</v>
      </c>
      <c r="R53">
        <f t="shared" si="0"/>
        <v>3000</v>
      </c>
    </row>
    <row r="54" spans="1:18" x14ac:dyDescent="0.35">
      <c r="A54">
        <f>'Stammdaten - Schwimmer'!A94</f>
        <v>91</v>
      </c>
      <c r="B54" t="str">
        <f>'Stammdaten - Schwimmer'!B94</f>
        <v>Trinh</v>
      </c>
      <c r="C54" t="str">
        <f>'Stammdaten - Schwimmer'!C94</f>
        <v>Han</v>
      </c>
      <c r="D54" s="46">
        <f>'Stammdaten - Schwimmer'!D94</f>
        <v>35204</v>
      </c>
      <c r="E54">
        <f>'Stammdaten - Schwimmer'!E94</f>
        <v>0</v>
      </c>
      <c r="F54">
        <f>'Stammdaten - Schwimmer'!F94</f>
        <v>20</v>
      </c>
      <c r="K54">
        <f>'Stammdaten - Schwimmer'!A44</f>
        <v>41</v>
      </c>
      <c r="L54" t="str">
        <f>'Stammdaten - Schwimmer'!B44</f>
        <v>Künsemüller</v>
      </c>
      <c r="M54" t="str">
        <f>'Stammdaten - Schwimmer'!C44</f>
        <v>Viktoria</v>
      </c>
      <c r="N54" s="46">
        <f>'Stammdaten - Schwimmer'!D44</f>
        <v>40021</v>
      </c>
      <c r="O54">
        <f>'Stammdaten - Schwimmer'!E44</f>
        <v>503</v>
      </c>
      <c r="P54">
        <f>'Stammdaten - Schwimmer'!F44</f>
        <v>112</v>
      </c>
      <c r="Q54">
        <v>50</v>
      </c>
      <c r="R54">
        <f t="shared" si="0"/>
        <v>5600</v>
      </c>
    </row>
    <row r="55" spans="1:18" x14ac:dyDescent="0.35">
      <c r="A55">
        <f>'Stammdaten - Schwimmer'!A12</f>
        <v>9</v>
      </c>
      <c r="B55" t="str">
        <f>'Stammdaten - Schwimmer'!B12</f>
        <v>Grambow</v>
      </c>
      <c r="C55" t="str">
        <f>'Stammdaten - Schwimmer'!C12</f>
        <v>Kerstin</v>
      </c>
      <c r="D55" s="46">
        <f>'Stammdaten - Schwimmer'!D12</f>
        <v>35065</v>
      </c>
      <c r="E55" t="str">
        <f>'Stammdaten - Schwimmer'!E12</f>
        <v>503, 504</v>
      </c>
      <c r="F55">
        <f>'Stammdaten - Schwimmer'!F12</f>
        <v>70</v>
      </c>
      <c r="K55">
        <f>'Stammdaten - Schwimmer'!A69</f>
        <v>66</v>
      </c>
      <c r="L55" t="str">
        <f>'Stammdaten - Schwimmer'!B69</f>
        <v>Faller</v>
      </c>
      <c r="M55" t="str">
        <f>'Stammdaten - Schwimmer'!C69</f>
        <v>Simon</v>
      </c>
      <c r="N55" s="46">
        <f>'Stammdaten - Schwimmer'!D69</f>
        <v>40149</v>
      </c>
      <c r="O55">
        <f>'Stammdaten - Schwimmer'!E69</f>
        <v>505</v>
      </c>
      <c r="P55">
        <f>'Stammdaten - Schwimmer'!F69</f>
        <v>40</v>
      </c>
      <c r="Q55">
        <v>50</v>
      </c>
      <c r="R55">
        <f t="shared" si="0"/>
        <v>2000</v>
      </c>
    </row>
    <row r="56" spans="1:18" x14ac:dyDescent="0.35">
      <c r="A56">
        <f>'Stammdaten - Schwimmer'!A13</f>
        <v>10</v>
      </c>
      <c r="B56" t="str">
        <f>'Stammdaten - Schwimmer'!B13</f>
        <v>Frost</v>
      </c>
      <c r="C56" t="str">
        <f>'Stammdaten - Schwimmer'!C13</f>
        <v>Ellen</v>
      </c>
      <c r="D56" s="46">
        <f>'Stammdaten - Schwimmer'!D13</f>
        <v>35065</v>
      </c>
      <c r="E56" t="str">
        <f>'Stammdaten - Schwimmer'!E13</f>
        <v>503, 504</v>
      </c>
      <c r="F56">
        <f>'Stammdaten - Schwimmer'!F13</f>
        <v>46</v>
      </c>
      <c r="K56">
        <f>'Stammdaten - Schwimmer'!A93</f>
        <v>90</v>
      </c>
      <c r="L56" t="str">
        <f>'Stammdaten - Schwimmer'!B93</f>
        <v>Frech</v>
      </c>
      <c r="M56" t="str">
        <f>'Stammdaten - Schwimmer'!C93</f>
        <v>Leonie</v>
      </c>
      <c r="N56" s="46">
        <f>'Stammdaten - Schwimmer'!D93</f>
        <v>40149</v>
      </c>
      <c r="O56">
        <f>'Stammdaten - Schwimmer'!E93</f>
        <v>503</v>
      </c>
      <c r="P56">
        <f>'Stammdaten - Schwimmer'!F93</f>
        <v>48</v>
      </c>
      <c r="Q56">
        <v>50</v>
      </c>
      <c r="R56">
        <f t="shared" si="0"/>
        <v>2400</v>
      </c>
    </row>
    <row r="57" spans="1:18" x14ac:dyDescent="0.35">
      <c r="A57">
        <f>'Stammdaten - Schwimmer'!A14</f>
        <v>11</v>
      </c>
      <c r="B57" t="str">
        <f>'Stammdaten - Schwimmer'!B14</f>
        <v>Franz</v>
      </c>
      <c r="C57" t="str">
        <f>'Stammdaten - Schwimmer'!C14</f>
        <v>Franzi</v>
      </c>
      <c r="D57" s="46">
        <f>'Stammdaten - Schwimmer'!D14</f>
        <v>35065</v>
      </c>
      <c r="E57" t="str">
        <f>'Stammdaten - Schwimmer'!E14</f>
        <v>503, 504</v>
      </c>
      <c r="F57">
        <f>'Stammdaten - Schwimmer'!F14</f>
        <v>50</v>
      </c>
      <c r="K57">
        <f>'Stammdaten - Schwimmer'!A4</f>
        <v>1</v>
      </c>
      <c r="L57" t="str">
        <f>'Stammdaten - Schwimmer'!B4</f>
        <v>Schüler</v>
      </c>
      <c r="M57" t="str">
        <f>'Stammdaten - Schwimmer'!C4</f>
        <v>Muster</v>
      </c>
      <c r="N57" s="46">
        <f>'Stammdaten - Schwimmer'!D4</f>
        <v>40269</v>
      </c>
      <c r="O57">
        <f>'Stammdaten - Schwimmer'!E4</f>
        <v>503</v>
      </c>
      <c r="P57">
        <f>'Stammdaten - Schwimmer'!F4</f>
        <v>1</v>
      </c>
      <c r="Q57">
        <v>50</v>
      </c>
      <c r="R57">
        <f t="shared" si="0"/>
        <v>50</v>
      </c>
    </row>
    <row r="58" spans="1:18" x14ac:dyDescent="0.35">
      <c r="A58">
        <f>'Stammdaten - Schwimmer'!A15</f>
        <v>12</v>
      </c>
      <c r="B58" t="str">
        <f>'Stammdaten - Schwimmer'!B15</f>
        <v>Wang</v>
      </c>
      <c r="C58" t="str">
        <f>'Stammdaten - Schwimmer'!C15</f>
        <v xml:space="preserve">Jiayuan </v>
      </c>
      <c r="D58" s="46">
        <f>'Stammdaten - Schwimmer'!D15</f>
        <v>35065</v>
      </c>
      <c r="E58" t="str">
        <f>'Stammdaten - Schwimmer'!E15</f>
        <v>503, 504</v>
      </c>
      <c r="F58">
        <f>'Stammdaten - Schwimmer'!F15</f>
        <v>0</v>
      </c>
      <c r="K58">
        <f>'Stammdaten - Schwimmer'!A9</f>
        <v>6</v>
      </c>
      <c r="L58" t="str">
        <f>'Stammdaten - Schwimmer'!B9</f>
        <v>Ludwig</v>
      </c>
      <c r="M58" t="str">
        <f>'Stammdaten - Schwimmer'!C9</f>
        <v>Mariya</v>
      </c>
      <c r="N58" s="46">
        <f>'Stammdaten - Schwimmer'!D9</f>
        <v>40298</v>
      </c>
      <c r="O58">
        <f>'Stammdaten - Schwimmer'!E9</f>
        <v>502</v>
      </c>
      <c r="P58">
        <f>'Stammdaten - Schwimmer'!F9</f>
        <v>104</v>
      </c>
      <c r="Q58">
        <v>50</v>
      </c>
      <c r="R58">
        <f t="shared" si="0"/>
        <v>5200</v>
      </c>
    </row>
    <row r="59" spans="1:18" x14ac:dyDescent="0.35">
      <c r="A59">
        <f>'Stammdaten - Schwimmer'!A58</f>
        <v>55</v>
      </c>
      <c r="B59" t="str">
        <f>'Stammdaten - Schwimmer'!B58</f>
        <v>Murschel</v>
      </c>
      <c r="C59" t="str">
        <f>'Stammdaten - Schwimmer'!C58</f>
        <v>Sophia</v>
      </c>
      <c r="D59" s="46">
        <f>'Stammdaten - Schwimmer'!D58</f>
        <v>35060</v>
      </c>
      <c r="E59">
        <f>'Stammdaten - Schwimmer'!E58</f>
        <v>503</v>
      </c>
      <c r="F59">
        <f>'Stammdaten - Schwimmer'!F58</f>
        <v>42</v>
      </c>
      <c r="K59">
        <f>'Stammdaten - Schwimmer'!A80</f>
        <v>77</v>
      </c>
      <c r="L59" t="str">
        <f>'Stammdaten - Schwimmer'!B80</f>
        <v>Holste</v>
      </c>
      <c r="M59" t="str">
        <f>'Stammdaten - Schwimmer'!C80</f>
        <v>Maxi</v>
      </c>
      <c r="N59" s="46">
        <f>'Stammdaten - Schwimmer'!D80</f>
        <v>40697</v>
      </c>
      <c r="O59">
        <f>'Stammdaten - Schwimmer'!E80</f>
        <v>503.505</v>
      </c>
      <c r="P59">
        <f>'Stammdaten - Schwimmer'!F80</f>
        <v>30</v>
      </c>
      <c r="Q59">
        <v>50</v>
      </c>
      <c r="R59">
        <f t="shared" si="0"/>
        <v>1500</v>
      </c>
    </row>
    <row r="60" spans="1:18" x14ac:dyDescent="0.35">
      <c r="A60">
        <f>'Stammdaten - Schwimmer'!A28</f>
        <v>25</v>
      </c>
      <c r="B60" t="str">
        <f>'Stammdaten - Schwimmer'!B28</f>
        <v>Schulze</v>
      </c>
      <c r="C60" t="str">
        <f>'Stammdaten - Schwimmer'!C28</f>
        <v>Christian</v>
      </c>
      <c r="D60" s="46">
        <f>'Stammdaten - Schwimmer'!D28</f>
        <v>34948</v>
      </c>
      <c r="E60">
        <f>'Stammdaten - Schwimmer'!E28</f>
        <v>502</v>
      </c>
      <c r="F60">
        <f>'Stammdaten - Schwimmer'!F28</f>
        <v>58</v>
      </c>
      <c r="K60">
        <f>'Stammdaten - Schwimmer'!A63</f>
        <v>60</v>
      </c>
      <c r="L60" t="str">
        <f>'Stammdaten - Schwimmer'!B63</f>
        <v>Vorreiter</v>
      </c>
      <c r="M60" t="str">
        <f>'Stammdaten - Schwimmer'!C63</f>
        <v>Pia</v>
      </c>
      <c r="N60" s="46">
        <f>'Stammdaten - Schwimmer'!D63</f>
        <v>40766</v>
      </c>
      <c r="O60">
        <f>'Stammdaten - Schwimmer'!E63</f>
        <v>0</v>
      </c>
      <c r="P60">
        <f>'Stammdaten - Schwimmer'!F63</f>
        <v>96</v>
      </c>
      <c r="Q60">
        <v>25</v>
      </c>
      <c r="R60">
        <f t="shared" si="0"/>
        <v>2400</v>
      </c>
    </row>
    <row r="61" spans="1:18" x14ac:dyDescent="0.35">
      <c r="A61">
        <f>'Stammdaten - Schwimmer'!A86</f>
        <v>83</v>
      </c>
      <c r="B61" t="str">
        <f>'Stammdaten - Schwimmer'!B86</f>
        <v>Krause</v>
      </c>
      <c r="C61" t="str">
        <f>'Stammdaten - Schwimmer'!C86</f>
        <v>Florian</v>
      </c>
      <c r="D61" s="46">
        <f>'Stammdaten - Schwimmer'!D86</f>
        <v>34533</v>
      </c>
      <c r="E61">
        <f>'Stammdaten - Schwimmer'!E86</f>
        <v>502</v>
      </c>
      <c r="F61">
        <f>'Stammdaten - Schwimmer'!F86</f>
        <v>50</v>
      </c>
      <c r="K61">
        <f>'Stammdaten - Schwimmer'!A75</f>
        <v>72</v>
      </c>
      <c r="L61" t="str">
        <f>'Stammdaten - Schwimmer'!B75</f>
        <v>Maier</v>
      </c>
      <c r="M61" t="str">
        <f>'Stammdaten - Schwimmer'!C75</f>
        <v>Elisa</v>
      </c>
      <c r="N61" s="46">
        <f>'Stammdaten - Schwimmer'!D75</f>
        <v>40885</v>
      </c>
      <c r="O61">
        <f>'Stammdaten - Schwimmer'!E75</f>
        <v>0</v>
      </c>
      <c r="P61">
        <f>'Stammdaten - Schwimmer'!F75</f>
        <v>96</v>
      </c>
      <c r="Q61">
        <v>25</v>
      </c>
      <c r="R61">
        <f t="shared" si="0"/>
        <v>2400</v>
      </c>
    </row>
    <row r="62" spans="1:18" x14ac:dyDescent="0.35">
      <c r="A62">
        <f>'Stammdaten - Schwimmer'!A76</f>
        <v>73</v>
      </c>
      <c r="B62" t="str">
        <f>'Stammdaten - Schwimmer'!B76</f>
        <v>Bauer</v>
      </c>
      <c r="C62" t="str">
        <f>'Stammdaten - Schwimmer'!C76</f>
        <v>Amelie</v>
      </c>
      <c r="D62" s="46">
        <f>'Stammdaten - Schwimmer'!D76</f>
        <v>34191</v>
      </c>
      <c r="E62">
        <f>'Stammdaten - Schwimmer'!E76</f>
        <v>503</v>
      </c>
      <c r="F62">
        <f>'Stammdaten - Schwimmer'!F76</f>
        <v>66</v>
      </c>
      <c r="K62">
        <f>'Stammdaten - Schwimmer'!A41</f>
        <v>38</v>
      </c>
      <c r="L62" t="str">
        <f>'Stammdaten - Schwimmer'!B41</f>
        <v>Krilla</v>
      </c>
      <c r="M62" t="str">
        <f>'Stammdaten - Schwimmer'!C41</f>
        <v>Nike</v>
      </c>
      <c r="N62" s="46">
        <f>'Stammdaten - Schwimmer'!D41</f>
        <v>40945</v>
      </c>
      <c r="O62">
        <f>'Stammdaten - Schwimmer'!E41</f>
        <v>503</v>
      </c>
      <c r="P62">
        <f>'Stammdaten - Schwimmer'!F41</f>
        <v>20</v>
      </c>
      <c r="Q62">
        <v>25</v>
      </c>
      <c r="R62">
        <f t="shared" si="0"/>
        <v>500</v>
      </c>
    </row>
    <row r="63" spans="1:18" x14ac:dyDescent="0.35">
      <c r="A63">
        <f>'Stammdaten - Schwimmer'!A81</f>
        <v>78</v>
      </c>
      <c r="B63" t="str">
        <f>'Stammdaten - Schwimmer'!B81</f>
        <v>Kalamaris</v>
      </c>
      <c r="C63" t="str">
        <f>'Stammdaten - Schwimmer'!C81</f>
        <v>Christina</v>
      </c>
      <c r="D63" s="46">
        <f>'Stammdaten - Schwimmer'!D81</f>
        <v>33922</v>
      </c>
      <c r="E63">
        <f>'Stammdaten - Schwimmer'!E81</f>
        <v>502</v>
      </c>
      <c r="F63">
        <f>'Stammdaten - Schwimmer'!F81</f>
        <v>40</v>
      </c>
      <c r="K63">
        <f>'Stammdaten - Schwimmer'!A17</f>
        <v>14</v>
      </c>
      <c r="L63" t="str">
        <f>'Stammdaten - Schwimmer'!B17</f>
        <v>Test</v>
      </c>
      <c r="M63" t="str">
        <f>'Stammdaten - Schwimmer'!C17</f>
        <v>12J</v>
      </c>
      <c r="N63" s="46">
        <f>'Stammdaten - Schwimmer'!D17</f>
        <v>41275</v>
      </c>
      <c r="O63">
        <f>'Stammdaten - Schwimmer'!E17</f>
        <v>0</v>
      </c>
      <c r="P63">
        <f>'Stammdaten - Schwimmer'!F17</f>
        <v>0</v>
      </c>
      <c r="Q63">
        <v>25</v>
      </c>
      <c r="R63">
        <f t="shared" si="0"/>
        <v>0</v>
      </c>
    </row>
    <row r="64" spans="1:18" x14ac:dyDescent="0.35">
      <c r="A64">
        <f>'Stammdaten - Schwimmer'!A22</f>
        <v>19</v>
      </c>
      <c r="B64" t="str">
        <f>'Stammdaten - Schwimmer'!B22</f>
        <v>Uth</v>
      </c>
      <c r="C64" t="str">
        <f>'Stammdaten - Schwimmer'!C22</f>
        <v>Markus</v>
      </c>
      <c r="D64" s="46">
        <f>'Stammdaten - Schwimmer'!D22</f>
        <v>33150</v>
      </c>
      <c r="E64">
        <f>'Stammdaten - Schwimmer'!E22</f>
        <v>502</v>
      </c>
      <c r="F64">
        <f>'Stammdaten - Schwimmer'!F22</f>
        <v>42</v>
      </c>
      <c r="K64">
        <f>'Stammdaten - Schwimmer'!A21</f>
        <v>18</v>
      </c>
      <c r="L64" t="str">
        <f>'Stammdaten - Schwimmer'!B21</f>
        <v>Schmid</v>
      </c>
      <c r="M64" t="str">
        <f>'Stammdaten - Schwimmer'!C21</f>
        <v>Hannes</v>
      </c>
      <c r="N64" s="46">
        <f>'Stammdaten - Schwimmer'!D21</f>
        <v>41282</v>
      </c>
      <c r="O64">
        <f>'Stammdaten - Schwimmer'!E21</f>
        <v>502</v>
      </c>
      <c r="P64">
        <f>'Stammdaten - Schwimmer'!F21</f>
        <v>92</v>
      </c>
      <c r="Q64">
        <v>25</v>
      </c>
      <c r="R64">
        <f t="shared" si="0"/>
        <v>2300</v>
      </c>
    </row>
    <row r="65" spans="1:18" x14ac:dyDescent="0.35">
      <c r="A65">
        <f>'Stammdaten - Schwimmer'!A48</f>
        <v>45</v>
      </c>
      <c r="B65" t="str">
        <f>'Stammdaten - Schwimmer'!B48</f>
        <v>Sehrt</v>
      </c>
      <c r="C65" t="str">
        <f>'Stammdaten - Schwimmer'!C48</f>
        <v>Fransiska</v>
      </c>
      <c r="D65" s="46">
        <f>'Stammdaten - Schwimmer'!D48</f>
        <v>32049</v>
      </c>
      <c r="E65">
        <f>'Stammdaten - Schwimmer'!E48</f>
        <v>503</v>
      </c>
      <c r="F65">
        <f>'Stammdaten - Schwimmer'!F48</f>
        <v>80</v>
      </c>
      <c r="K65">
        <f>'Stammdaten - Schwimmer'!A29</f>
        <v>26</v>
      </c>
      <c r="L65" t="str">
        <f>'Stammdaten - Schwimmer'!B29</f>
        <v>Tutsch</v>
      </c>
      <c r="M65" t="str">
        <f>'Stammdaten - Schwimmer'!C29</f>
        <v>Moritz</v>
      </c>
      <c r="N65" s="46">
        <f>'Stammdaten - Schwimmer'!D29</f>
        <v>41321</v>
      </c>
      <c r="O65">
        <f>'Stammdaten - Schwimmer'!E29</f>
        <v>505</v>
      </c>
      <c r="P65">
        <f>'Stammdaten - Schwimmer'!F29</f>
        <v>68</v>
      </c>
      <c r="Q65">
        <v>25</v>
      </c>
      <c r="R65">
        <f t="shared" si="0"/>
        <v>1700</v>
      </c>
    </row>
    <row r="66" spans="1:18" x14ac:dyDescent="0.35">
      <c r="A66">
        <f>'Stammdaten - Schwimmer'!A85</f>
        <v>82</v>
      </c>
      <c r="B66" t="str">
        <f>'Stammdaten - Schwimmer'!B85</f>
        <v>Göpel</v>
      </c>
      <c r="C66" t="str">
        <f>'Stammdaten - Schwimmer'!C85</f>
        <v>Mark-Franz</v>
      </c>
      <c r="D66" s="46">
        <f>'Stammdaten - Schwimmer'!D85</f>
        <v>31212</v>
      </c>
      <c r="E66">
        <f>'Stammdaten - Schwimmer'!E85</f>
        <v>0</v>
      </c>
      <c r="F66">
        <f>'Stammdaten - Schwimmer'!F85</f>
        <v>34</v>
      </c>
      <c r="K66">
        <f>'Stammdaten - Schwimmer'!A78</f>
        <v>75</v>
      </c>
      <c r="L66" t="str">
        <f>'Stammdaten - Schwimmer'!B78</f>
        <v>Holste</v>
      </c>
      <c r="M66" t="str">
        <f>'Stammdaten - Schwimmer'!C78</f>
        <v>Lotte</v>
      </c>
      <c r="N66" s="46">
        <f>'Stammdaten - Schwimmer'!D78</f>
        <v>41408</v>
      </c>
      <c r="O66">
        <f>'Stammdaten - Schwimmer'!E78</f>
        <v>503.505</v>
      </c>
      <c r="P66">
        <f>'Stammdaten - Schwimmer'!F78</f>
        <v>84</v>
      </c>
      <c r="Q66">
        <v>25</v>
      </c>
      <c r="R66">
        <f t="shared" si="0"/>
        <v>2100</v>
      </c>
    </row>
    <row r="67" spans="1:18" x14ac:dyDescent="0.35">
      <c r="A67">
        <f>'Stammdaten - Schwimmer'!A65</f>
        <v>62</v>
      </c>
      <c r="B67" t="str">
        <f>'Stammdaten - Schwimmer'!B65</f>
        <v>Rink</v>
      </c>
      <c r="C67" t="str">
        <f>'Stammdaten - Schwimmer'!C65</f>
        <v>Bärbel</v>
      </c>
      <c r="D67" s="46">
        <f>'Stammdaten - Schwimmer'!D65</f>
        <v>30623</v>
      </c>
      <c r="E67">
        <f>'Stammdaten - Schwimmer'!E65</f>
        <v>505</v>
      </c>
      <c r="F67">
        <f>'Stammdaten - Schwimmer'!F65</f>
        <v>46</v>
      </c>
      <c r="K67">
        <f>'Stammdaten - Schwimmer'!A54</f>
        <v>51</v>
      </c>
      <c r="L67" t="str">
        <f>'Stammdaten - Schwimmer'!B54</f>
        <v>Baier</v>
      </c>
      <c r="M67" t="str">
        <f>'Stammdaten - Schwimmer'!C54</f>
        <v>Louis</v>
      </c>
      <c r="N67" s="46">
        <f>'Stammdaten - Schwimmer'!D54</f>
        <v>41632</v>
      </c>
      <c r="O67">
        <f>'Stammdaten - Schwimmer'!E54</f>
        <v>502.505</v>
      </c>
      <c r="P67">
        <f>'Stammdaten - Schwimmer'!F54</f>
        <v>126</v>
      </c>
      <c r="Q67">
        <v>25</v>
      </c>
      <c r="R67">
        <f t="shared" si="0"/>
        <v>3150</v>
      </c>
    </row>
    <row r="68" spans="1:18" x14ac:dyDescent="0.35">
      <c r="A68">
        <f>'Stammdaten - Schwimmer'!A74</f>
        <v>71</v>
      </c>
      <c r="B68" t="str">
        <f>'Stammdaten - Schwimmer'!B74</f>
        <v>Schmid</v>
      </c>
      <c r="C68" t="str">
        <f>'Stammdaten - Schwimmer'!C74</f>
        <v>Katherina</v>
      </c>
      <c r="D68" s="46">
        <f>'Stammdaten - Schwimmer'!D74</f>
        <v>30595</v>
      </c>
      <c r="E68">
        <f>'Stammdaten - Schwimmer'!E74</f>
        <v>502</v>
      </c>
      <c r="F68">
        <f>'Stammdaten - Schwimmer'!F74</f>
        <v>46</v>
      </c>
      <c r="K68">
        <f>'Stammdaten - Schwimmer'!A8</f>
        <v>5</v>
      </c>
      <c r="L68" t="str">
        <f>'Stammdaten - Schwimmer'!B8</f>
        <v>Kombächer</v>
      </c>
      <c r="M68" t="str">
        <f>'Stammdaten - Schwimmer'!C8</f>
        <v>Lea</v>
      </c>
      <c r="N68" s="46">
        <f>'Stammdaten - Schwimmer'!D8</f>
        <v>41712</v>
      </c>
      <c r="O68">
        <f>'Stammdaten - Schwimmer'!E8</f>
        <v>502</v>
      </c>
      <c r="P68">
        <f>'Stammdaten - Schwimmer'!F8</f>
        <v>80</v>
      </c>
      <c r="Q68">
        <v>25</v>
      </c>
      <c r="R68">
        <f t="shared" ref="R68:R94" si="1">P68*Q68</f>
        <v>2000</v>
      </c>
    </row>
    <row r="69" spans="1:18" x14ac:dyDescent="0.35">
      <c r="A69">
        <f>'Stammdaten - Schwimmer'!A7</f>
        <v>4</v>
      </c>
      <c r="B69" t="str">
        <f>'Stammdaten - Schwimmer'!B7</f>
        <v>Kombächer</v>
      </c>
      <c r="C69" t="str">
        <f>'Stammdaten - Schwimmer'!C7</f>
        <v>Anja</v>
      </c>
      <c r="D69" s="46">
        <f>'Stammdaten - Schwimmer'!D7</f>
        <v>30515</v>
      </c>
      <c r="E69">
        <f>'Stammdaten - Schwimmer'!E7</f>
        <v>502</v>
      </c>
      <c r="F69">
        <f>'Stammdaten - Schwimmer'!F7</f>
        <v>44</v>
      </c>
      <c r="K69">
        <f>'Stammdaten - Schwimmer'!A60</f>
        <v>57</v>
      </c>
      <c r="L69" t="str">
        <f>'Stammdaten - Schwimmer'!B60</f>
        <v>Hecker</v>
      </c>
      <c r="M69" t="str">
        <f>'Stammdaten - Schwimmer'!C60</f>
        <v>Floyd</v>
      </c>
      <c r="N69" s="46">
        <f>'Stammdaten - Schwimmer'!D60</f>
        <v>41720</v>
      </c>
      <c r="O69">
        <f>'Stammdaten - Schwimmer'!E60</f>
        <v>0</v>
      </c>
      <c r="P69">
        <f>'Stammdaten - Schwimmer'!F60</f>
        <v>0</v>
      </c>
      <c r="Q69">
        <v>25</v>
      </c>
      <c r="R69">
        <f t="shared" si="1"/>
        <v>0</v>
      </c>
    </row>
    <row r="70" spans="1:18" x14ac:dyDescent="0.35">
      <c r="A70">
        <f>'Stammdaten - Schwimmer'!A18</f>
        <v>15</v>
      </c>
      <c r="B70" t="str">
        <f>'Stammdaten - Schwimmer'!B18</f>
        <v xml:space="preserve"> Schmid</v>
      </c>
      <c r="C70" t="str">
        <f>'Stammdaten - Schwimmer'!C18</f>
        <v>Annette</v>
      </c>
      <c r="D70" s="46">
        <f>'Stammdaten - Schwimmer'!D18</f>
        <v>30400</v>
      </c>
      <c r="E70">
        <f>'Stammdaten - Schwimmer'!E18</f>
        <v>502</v>
      </c>
      <c r="F70">
        <f>'Stammdaten - Schwimmer'!F18</f>
        <v>40</v>
      </c>
      <c r="K70">
        <f>'Stammdaten - Schwimmer'!A82</f>
        <v>79</v>
      </c>
      <c r="L70" t="str">
        <f>'Stammdaten - Schwimmer'!B82</f>
        <v>Bossert De Paz</v>
      </c>
      <c r="M70" t="str">
        <f>'Stammdaten - Schwimmer'!C82</f>
        <v>Noah Javier</v>
      </c>
      <c r="N70" s="46">
        <f>'Stammdaten - Schwimmer'!D82</f>
        <v>41765</v>
      </c>
      <c r="O70">
        <f>'Stammdaten - Schwimmer'!E82</f>
        <v>503</v>
      </c>
      <c r="P70">
        <f>'Stammdaten - Schwimmer'!F82</f>
        <v>60</v>
      </c>
      <c r="Q70">
        <v>25</v>
      </c>
      <c r="R70">
        <f t="shared" si="1"/>
        <v>1500</v>
      </c>
    </row>
    <row r="71" spans="1:18" x14ac:dyDescent="0.35">
      <c r="A71">
        <f>'Stammdaten - Schwimmer'!A79</f>
        <v>76</v>
      </c>
      <c r="B71" t="str">
        <f>'Stammdaten - Schwimmer'!B79</f>
        <v>Holste</v>
      </c>
      <c r="C71" t="str">
        <f>'Stammdaten - Schwimmer'!C79</f>
        <v>Ruban</v>
      </c>
      <c r="D71" s="46">
        <f>'Stammdaten - Schwimmer'!D79</f>
        <v>30358</v>
      </c>
      <c r="E71">
        <f>'Stammdaten - Schwimmer'!E79</f>
        <v>503.505</v>
      </c>
      <c r="F71">
        <f>'Stammdaten - Schwimmer'!F79</f>
        <v>68</v>
      </c>
      <c r="K71">
        <f>'Stammdaten - Schwimmer'!A31</f>
        <v>28</v>
      </c>
      <c r="L71" t="str">
        <f>'Stammdaten - Schwimmer'!B31</f>
        <v>Burck</v>
      </c>
      <c r="M71" t="str">
        <f>'Stammdaten - Schwimmer'!C31</f>
        <v>Jan Aleander</v>
      </c>
      <c r="N71" s="46">
        <f>'Stammdaten - Schwimmer'!D31</f>
        <v>41849</v>
      </c>
      <c r="O71">
        <f>'Stammdaten - Schwimmer'!E31</f>
        <v>502</v>
      </c>
      <c r="P71">
        <f>'Stammdaten - Schwimmer'!F31</f>
        <v>82</v>
      </c>
      <c r="Q71">
        <v>25</v>
      </c>
      <c r="R71">
        <f t="shared" si="1"/>
        <v>2050</v>
      </c>
    </row>
    <row r="72" spans="1:18" x14ac:dyDescent="0.35">
      <c r="A72">
        <f>'Stammdaten - Schwimmer'!A55</f>
        <v>52</v>
      </c>
      <c r="B72" t="str">
        <f>'Stammdaten - Schwimmer'!B55</f>
        <v>Theobald</v>
      </c>
      <c r="C72" t="str">
        <f>'Stammdaten - Schwimmer'!C55</f>
        <v>Ariane</v>
      </c>
      <c r="D72" s="46">
        <f>'Stammdaten - Schwimmer'!D55</f>
        <v>29400</v>
      </c>
      <c r="E72">
        <f>'Stammdaten - Schwimmer'!E55</f>
        <v>503</v>
      </c>
      <c r="F72">
        <f>'Stammdaten - Schwimmer'!F55</f>
        <v>24</v>
      </c>
      <c r="K72">
        <f>'Stammdaten - Schwimmer'!A6</f>
        <v>3</v>
      </c>
      <c r="L72" t="str">
        <f>'Stammdaten - Schwimmer'!B6</f>
        <v>Hueber</v>
      </c>
      <c r="M72" t="str">
        <f>'Stammdaten - Schwimmer'!C6</f>
        <v>Elyana</v>
      </c>
      <c r="N72" s="46">
        <f>'Stammdaten - Schwimmer'!D6</f>
        <v>41924</v>
      </c>
      <c r="O72">
        <f>'Stammdaten - Schwimmer'!E6</f>
        <v>502</v>
      </c>
      <c r="P72">
        <f>'Stammdaten - Schwimmer'!F6</f>
        <v>70</v>
      </c>
      <c r="Q72">
        <v>25</v>
      </c>
      <c r="R72">
        <f t="shared" si="1"/>
        <v>1750</v>
      </c>
    </row>
    <row r="73" spans="1:18" x14ac:dyDescent="0.35">
      <c r="A73">
        <f>'Stammdaten - Schwimmer'!A19</f>
        <v>16</v>
      </c>
      <c r="B73" t="str">
        <f>'Stammdaten - Schwimmer'!B19</f>
        <v>Gessler</v>
      </c>
      <c r="C73" t="str">
        <f>'Stammdaten - Schwimmer'!C19</f>
        <v>Birget</v>
      </c>
      <c r="D73" s="46">
        <f>'Stammdaten - Schwimmer'!D19</f>
        <v>29380</v>
      </c>
      <c r="E73">
        <f>'Stammdaten - Schwimmer'!E19</f>
        <v>502</v>
      </c>
      <c r="F73">
        <f>'Stammdaten - Schwimmer'!F19</f>
        <v>40</v>
      </c>
      <c r="K73">
        <f>'Stammdaten - Schwimmer'!A30</f>
        <v>27</v>
      </c>
      <c r="L73" t="str">
        <f>'Stammdaten - Schwimmer'!B30</f>
        <v>Tutsch</v>
      </c>
      <c r="M73" t="str">
        <f>'Stammdaten - Schwimmer'!C30</f>
        <v>Linda</v>
      </c>
      <c r="N73" s="46">
        <f>'Stammdaten - Schwimmer'!D30</f>
        <v>41926</v>
      </c>
      <c r="O73">
        <f>'Stammdaten - Schwimmer'!E30</f>
        <v>505</v>
      </c>
      <c r="P73">
        <f>'Stammdaten - Schwimmer'!F30</f>
        <v>80</v>
      </c>
      <c r="Q73">
        <v>25</v>
      </c>
      <c r="R73">
        <f t="shared" si="1"/>
        <v>2000</v>
      </c>
    </row>
    <row r="74" spans="1:18" x14ac:dyDescent="0.35">
      <c r="A74">
        <f>'Stammdaten - Schwimmer'!A68</f>
        <v>65</v>
      </c>
      <c r="B74" t="str">
        <f>'Stammdaten - Schwimmer'!B68</f>
        <v>Faller</v>
      </c>
      <c r="C74" t="str">
        <f>'Stammdaten - Schwimmer'!C68</f>
        <v>Petra</v>
      </c>
      <c r="D74" s="46">
        <f>'Stammdaten - Schwimmer'!D68</f>
        <v>28697</v>
      </c>
      <c r="E74">
        <f>'Stammdaten - Schwimmer'!E68</f>
        <v>505</v>
      </c>
      <c r="F74">
        <f>'Stammdaten - Schwimmer'!F68</f>
        <v>52</v>
      </c>
      <c r="K74">
        <f>'Stammdaten - Schwimmer'!A77</f>
        <v>74</v>
      </c>
      <c r="L74" t="str">
        <f>'Stammdaten - Schwimmer'!B77</f>
        <v>Holste</v>
      </c>
      <c r="M74" t="str">
        <f>'Stammdaten - Schwimmer'!C77</f>
        <v>Oscar</v>
      </c>
      <c r="N74" s="46">
        <f>'Stammdaten - Schwimmer'!D77</f>
        <v>42027</v>
      </c>
      <c r="O74">
        <f>'Stammdaten - Schwimmer'!E77</f>
        <v>503.505</v>
      </c>
      <c r="P74">
        <f>'Stammdaten - Schwimmer'!F77</f>
        <v>68</v>
      </c>
      <c r="Q74">
        <v>25</v>
      </c>
      <c r="R74">
        <f t="shared" si="1"/>
        <v>1700</v>
      </c>
    </row>
    <row r="75" spans="1:18" x14ac:dyDescent="0.35">
      <c r="A75">
        <f>'Stammdaten - Schwimmer'!A72</f>
        <v>69</v>
      </c>
      <c r="B75" t="str">
        <f>'Stammdaten - Schwimmer'!B72</f>
        <v>Schuppler</v>
      </c>
      <c r="C75" t="str">
        <f>'Stammdaten - Schwimmer'!C72</f>
        <v>Christian</v>
      </c>
      <c r="D75" s="46">
        <f>'Stammdaten - Schwimmer'!D72</f>
        <v>28159</v>
      </c>
      <c r="E75">
        <f>'Stammdaten - Schwimmer'!E72</f>
        <v>0</v>
      </c>
      <c r="F75">
        <f>'Stammdaten - Schwimmer'!F72</f>
        <v>50</v>
      </c>
      <c r="K75">
        <f>'Stammdaten - Schwimmer'!A33</f>
        <v>30</v>
      </c>
      <c r="L75" t="str">
        <f>'Stammdaten - Schwimmer'!B33</f>
        <v>Kesten</v>
      </c>
      <c r="M75" t="str">
        <f>'Stammdaten - Schwimmer'!C33</f>
        <v>Annabelle</v>
      </c>
      <c r="N75" s="46">
        <f>'Stammdaten - Schwimmer'!D33</f>
        <v>42053</v>
      </c>
      <c r="O75">
        <f>'Stammdaten - Schwimmer'!E33</f>
        <v>503</v>
      </c>
      <c r="P75">
        <f>'Stammdaten - Schwimmer'!F33</f>
        <v>98</v>
      </c>
      <c r="Q75">
        <v>25</v>
      </c>
      <c r="R75">
        <f t="shared" si="1"/>
        <v>2450</v>
      </c>
    </row>
    <row r="76" spans="1:18" x14ac:dyDescent="0.35">
      <c r="A76">
        <f>'Stammdaten - Schwimmer'!A51</f>
        <v>48</v>
      </c>
      <c r="B76" t="str">
        <f>'Stammdaten - Schwimmer'!B51</f>
        <v>Warga</v>
      </c>
      <c r="C76" t="str">
        <f>'Stammdaten - Schwimmer'!C51</f>
        <v>Christina</v>
      </c>
      <c r="D76" s="46">
        <f>'Stammdaten - Schwimmer'!D51</f>
        <v>27766</v>
      </c>
      <c r="E76">
        <f>'Stammdaten - Schwimmer'!E51</f>
        <v>503</v>
      </c>
      <c r="F76">
        <f>'Stammdaten - Schwimmer'!F51</f>
        <v>64</v>
      </c>
      <c r="K76">
        <f>'Stammdaten - Schwimmer'!A84</f>
        <v>81</v>
      </c>
      <c r="L76" t="str">
        <f>'Stammdaten - Schwimmer'!B84</f>
        <v>Zhou</v>
      </c>
      <c r="M76" t="str">
        <f>'Stammdaten - Schwimmer'!C84</f>
        <v>Robin</v>
      </c>
      <c r="N76" s="46">
        <f>'Stammdaten - Schwimmer'!D84</f>
        <v>42116</v>
      </c>
      <c r="O76">
        <f>'Stammdaten - Schwimmer'!E84</f>
        <v>503</v>
      </c>
      <c r="P76">
        <f>'Stammdaten - Schwimmer'!F84</f>
        <v>80</v>
      </c>
      <c r="Q76">
        <v>25</v>
      </c>
      <c r="R76">
        <f t="shared" si="1"/>
        <v>2000</v>
      </c>
    </row>
    <row r="77" spans="1:18" x14ac:dyDescent="0.35">
      <c r="A77">
        <f>'Stammdaten - Schwimmer'!A36</f>
        <v>33</v>
      </c>
      <c r="B77" t="str">
        <f>'Stammdaten - Schwimmer'!B36</f>
        <v>Kühn</v>
      </c>
      <c r="C77" t="str">
        <f>'Stammdaten - Schwimmer'!C36</f>
        <v>Jürgen</v>
      </c>
      <c r="D77" s="46">
        <f>'Stammdaten - Schwimmer'!D36</f>
        <v>27495</v>
      </c>
      <c r="E77">
        <f>'Stammdaten - Schwimmer'!E36</f>
        <v>502</v>
      </c>
      <c r="F77">
        <f>'Stammdaten - Schwimmer'!F36</f>
        <v>58</v>
      </c>
      <c r="K77">
        <f>'Stammdaten - Schwimmer'!A87</f>
        <v>84</v>
      </c>
      <c r="L77" t="str">
        <f>'Stammdaten - Schwimmer'!B87</f>
        <v>Pauls</v>
      </c>
      <c r="M77" t="str">
        <f>'Stammdaten - Schwimmer'!C87</f>
        <v xml:space="preserve">Anton </v>
      </c>
      <c r="N77" s="46">
        <f>'Stammdaten - Schwimmer'!D87</f>
        <v>42163</v>
      </c>
      <c r="O77">
        <f>'Stammdaten - Schwimmer'!E87</f>
        <v>0</v>
      </c>
      <c r="P77">
        <f>'Stammdaten - Schwimmer'!F87</f>
        <v>52</v>
      </c>
      <c r="Q77">
        <v>25</v>
      </c>
      <c r="R77">
        <f t="shared" si="1"/>
        <v>1300</v>
      </c>
    </row>
    <row r="78" spans="1:18" x14ac:dyDescent="0.35">
      <c r="A78">
        <f>'Stammdaten - Schwimmer'!A50</f>
        <v>47</v>
      </c>
      <c r="B78" t="str">
        <f>'Stammdaten - Schwimmer'!B50</f>
        <v>Warga</v>
      </c>
      <c r="C78" t="str">
        <f>'Stammdaten - Schwimmer'!C50</f>
        <v>Christian</v>
      </c>
      <c r="D78" s="46">
        <f>'Stammdaten - Schwimmer'!D50</f>
        <v>27486</v>
      </c>
      <c r="E78">
        <f>'Stammdaten - Schwimmer'!E50</f>
        <v>0</v>
      </c>
      <c r="F78">
        <f>'Stammdaten - Schwimmer'!F50</f>
        <v>62</v>
      </c>
      <c r="K78">
        <f>'Stammdaten - Schwimmer'!A35</f>
        <v>32</v>
      </c>
      <c r="L78" t="str">
        <f>'Stammdaten - Schwimmer'!B35</f>
        <v xml:space="preserve">Veit </v>
      </c>
      <c r="M78" t="str">
        <f>'Stammdaten - Schwimmer'!C35</f>
        <v>Dorothea</v>
      </c>
      <c r="N78" s="46">
        <f>'Stammdaten - Schwimmer'!D35</f>
        <v>42205</v>
      </c>
      <c r="O78">
        <f>'Stammdaten - Schwimmer'!E35</f>
        <v>503</v>
      </c>
      <c r="P78">
        <f>'Stammdaten - Schwimmer'!F35</f>
        <v>80</v>
      </c>
      <c r="Q78">
        <v>25</v>
      </c>
      <c r="R78">
        <f t="shared" si="1"/>
        <v>2000</v>
      </c>
    </row>
    <row r="79" spans="1:18" x14ac:dyDescent="0.35">
      <c r="A79">
        <f>'Stammdaten - Schwimmer'!A57</f>
        <v>54</v>
      </c>
      <c r="B79" t="str">
        <f>'Stammdaten - Schwimmer'!B57</f>
        <v>Künzemüller</v>
      </c>
      <c r="C79" t="str">
        <f>'Stammdaten - Schwimmer'!C57</f>
        <v>Klaus</v>
      </c>
      <c r="D79" s="46">
        <f>'Stammdaten - Schwimmer'!D57</f>
        <v>27149</v>
      </c>
      <c r="E79">
        <f>'Stammdaten - Schwimmer'!E57</f>
        <v>503</v>
      </c>
      <c r="F79">
        <f>'Stammdaten - Schwimmer'!F57</f>
        <v>44</v>
      </c>
      <c r="K79">
        <f>'Stammdaten - Schwimmer'!A32</f>
        <v>29</v>
      </c>
      <c r="L79" t="str">
        <f>'Stammdaten - Schwimmer'!B32</f>
        <v>Maier</v>
      </c>
      <c r="M79" t="str">
        <f>'Stammdaten - Schwimmer'!C32</f>
        <v>Matis</v>
      </c>
      <c r="N79" s="46">
        <f>'Stammdaten - Schwimmer'!D32</f>
        <v>42213</v>
      </c>
      <c r="O79">
        <f>'Stammdaten - Schwimmer'!E32</f>
        <v>0</v>
      </c>
      <c r="P79">
        <f>'Stammdaten - Schwimmer'!F32</f>
        <v>60</v>
      </c>
      <c r="Q79">
        <v>25</v>
      </c>
      <c r="R79">
        <f t="shared" si="1"/>
        <v>1500</v>
      </c>
    </row>
    <row r="80" spans="1:18" x14ac:dyDescent="0.35">
      <c r="A80">
        <f>'Stammdaten - Schwimmer'!A61</f>
        <v>58</v>
      </c>
      <c r="B80" t="str">
        <f>'Stammdaten - Schwimmer'!B61</f>
        <v>Zu</v>
      </c>
      <c r="C80" t="str">
        <f>'Stammdaten - Schwimmer'!C61</f>
        <v>Yanqi</v>
      </c>
      <c r="D80" s="46">
        <f>'Stammdaten - Schwimmer'!D61</f>
        <v>25393</v>
      </c>
      <c r="E80">
        <f>'Stammdaten - Schwimmer'!E61</f>
        <v>503.50400000000002</v>
      </c>
      <c r="F80">
        <f>'Stammdaten - Schwimmer'!F61</f>
        <v>16</v>
      </c>
      <c r="K80">
        <f>'Stammdaten - Schwimmer'!A20</f>
        <v>17</v>
      </c>
      <c r="L80" t="str">
        <f>'Stammdaten - Schwimmer'!B20</f>
        <v>Gessler</v>
      </c>
      <c r="M80" t="str">
        <f>'Stammdaten - Schwimmer'!C20</f>
        <v>Tom Michael</v>
      </c>
      <c r="N80" s="46">
        <f>'Stammdaten - Schwimmer'!D20</f>
        <v>42230</v>
      </c>
      <c r="O80">
        <f>'Stammdaten - Schwimmer'!E20</f>
        <v>502</v>
      </c>
      <c r="P80">
        <f>'Stammdaten - Schwimmer'!F20</f>
        <v>14</v>
      </c>
      <c r="Q80">
        <v>25</v>
      </c>
      <c r="R80">
        <f t="shared" si="1"/>
        <v>350</v>
      </c>
    </row>
    <row r="81" spans="1:18" x14ac:dyDescent="0.35">
      <c r="A81">
        <f>'Stammdaten - Schwimmer'!A90</f>
        <v>87</v>
      </c>
      <c r="B81" t="str">
        <f>'Stammdaten - Schwimmer'!B90</f>
        <v>Glass</v>
      </c>
      <c r="C81" t="str">
        <f>'Stammdaten - Schwimmer'!C90</f>
        <v>Helmut</v>
      </c>
      <c r="D81" s="46">
        <f>'Stammdaten - Schwimmer'!D90</f>
        <v>24492</v>
      </c>
      <c r="E81">
        <f>'Stammdaten - Schwimmer'!E90</f>
        <v>502.505</v>
      </c>
      <c r="F81">
        <f>'Stammdaten - Schwimmer'!F90</f>
        <v>58</v>
      </c>
      <c r="K81">
        <f>'Stammdaten - Schwimmer'!A24</f>
        <v>21</v>
      </c>
      <c r="L81" t="str">
        <f>'Stammdaten - Schwimmer'!B24</f>
        <v>Schmid</v>
      </c>
      <c r="M81" t="str">
        <f>'Stammdaten - Schwimmer'!C24</f>
        <v>Jakob</v>
      </c>
      <c r="N81" s="46">
        <f>'Stammdaten - Schwimmer'!D24</f>
        <v>42251</v>
      </c>
      <c r="O81">
        <f>'Stammdaten - Schwimmer'!E24</f>
        <v>502</v>
      </c>
      <c r="P81">
        <f>'Stammdaten - Schwimmer'!F24</f>
        <v>40</v>
      </c>
      <c r="Q81">
        <v>25</v>
      </c>
      <c r="R81">
        <f t="shared" si="1"/>
        <v>1000</v>
      </c>
    </row>
    <row r="82" spans="1:18" x14ac:dyDescent="0.35">
      <c r="A82">
        <f>'Stammdaten - Schwimmer'!A59</f>
        <v>56</v>
      </c>
      <c r="B82" t="str">
        <f>'Stammdaten - Schwimmer'!B59</f>
        <v>Buch</v>
      </c>
      <c r="C82" t="str">
        <f>'Stammdaten - Schwimmer'!C59</f>
        <v>Rüdiger</v>
      </c>
      <c r="D82" s="46">
        <f>'Stammdaten - Schwimmer'!D59</f>
        <v>23785</v>
      </c>
      <c r="E82">
        <f>'Stammdaten - Schwimmer'!E59</f>
        <v>0</v>
      </c>
      <c r="F82">
        <f>'Stammdaten - Schwimmer'!F59</f>
        <v>12</v>
      </c>
      <c r="K82">
        <f>'Stammdaten - Schwimmer'!A34</f>
        <v>31</v>
      </c>
      <c r="L82" t="str">
        <f>'Stammdaten - Schwimmer'!B34</f>
        <v>Veit</v>
      </c>
      <c r="M82" t="str">
        <f>'Stammdaten - Schwimmer'!C34</f>
        <v>Konstatin</v>
      </c>
      <c r="N82" s="46">
        <f>'Stammdaten - Schwimmer'!D34</f>
        <v>42325</v>
      </c>
      <c r="O82">
        <f>'Stammdaten - Schwimmer'!E34</f>
        <v>503</v>
      </c>
      <c r="P82">
        <f>'Stammdaten - Schwimmer'!F34</f>
        <v>50</v>
      </c>
      <c r="Q82">
        <v>25</v>
      </c>
      <c r="R82">
        <f t="shared" si="1"/>
        <v>1250</v>
      </c>
    </row>
    <row r="83" spans="1:18" x14ac:dyDescent="0.35">
      <c r="A83">
        <f>'Stammdaten - Schwimmer'!A66</f>
        <v>63</v>
      </c>
      <c r="B83" t="str">
        <f>'Stammdaten - Schwimmer'!B66</f>
        <v>Rink</v>
      </c>
      <c r="C83" t="str">
        <f>'Stammdaten - Schwimmer'!C66</f>
        <v>Wiebke</v>
      </c>
      <c r="D83" s="46">
        <f>'Stammdaten - Schwimmer'!D66</f>
        <v>23207</v>
      </c>
      <c r="E83">
        <f>'Stammdaten - Schwimmer'!E66</f>
        <v>505</v>
      </c>
      <c r="F83">
        <f>'Stammdaten - Schwimmer'!F66</f>
        <v>76</v>
      </c>
      <c r="K83">
        <f>'Stammdaten - Schwimmer'!A88</f>
        <v>85</v>
      </c>
      <c r="L83" t="str">
        <f>'Stammdaten - Schwimmer'!B88</f>
        <v>Holzworth</v>
      </c>
      <c r="M83" t="str">
        <f>'Stammdaten - Schwimmer'!C88</f>
        <v>Zoe Hanna</v>
      </c>
      <c r="N83" s="46">
        <f>'Stammdaten - Schwimmer'!D88</f>
        <v>42362</v>
      </c>
      <c r="O83">
        <f>'Stammdaten - Schwimmer'!E88</f>
        <v>0</v>
      </c>
      <c r="P83">
        <f>'Stammdaten - Schwimmer'!F88</f>
        <v>62</v>
      </c>
      <c r="Q83">
        <v>25</v>
      </c>
      <c r="R83">
        <f t="shared" si="1"/>
        <v>1550</v>
      </c>
    </row>
    <row r="84" spans="1:18" x14ac:dyDescent="0.35">
      <c r="A84">
        <f>'Stammdaten - Schwimmer'!A10</f>
        <v>7</v>
      </c>
      <c r="B84" t="str">
        <f>'Stammdaten - Schwimmer'!B10</f>
        <v>Sure</v>
      </c>
      <c r="C84" t="str">
        <f>'Stammdaten - Schwimmer'!C10</f>
        <v>Doris</v>
      </c>
      <c r="D84" s="46">
        <f>'Stammdaten - Schwimmer'!D10</f>
        <v>22857</v>
      </c>
      <c r="E84">
        <f>'Stammdaten - Schwimmer'!E10</f>
        <v>502</v>
      </c>
      <c r="F84">
        <f>'Stammdaten - Schwimmer'!F10</f>
        <v>40</v>
      </c>
      <c r="K84">
        <f>'Stammdaten - Schwimmer'!A71</f>
        <v>68</v>
      </c>
      <c r="L84" t="str">
        <f>'Stammdaten - Schwimmer'!B71</f>
        <v>Kombacher</v>
      </c>
      <c r="M84" t="str">
        <f>'Stammdaten - Schwimmer'!C71</f>
        <v>Sara</v>
      </c>
      <c r="N84" s="46">
        <f>'Stammdaten - Schwimmer'!D71</f>
        <v>42528</v>
      </c>
      <c r="O84">
        <f>'Stammdaten - Schwimmer'!E71</f>
        <v>502</v>
      </c>
      <c r="P84">
        <f>'Stammdaten - Schwimmer'!F71</f>
        <v>68</v>
      </c>
      <c r="Q84">
        <v>25</v>
      </c>
      <c r="R84">
        <f t="shared" si="1"/>
        <v>1700</v>
      </c>
    </row>
    <row r="85" spans="1:18" x14ac:dyDescent="0.35">
      <c r="A85">
        <f>'Stammdaten - Schwimmer'!A56</f>
        <v>53</v>
      </c>
      <c r="B85" t="str">
        <f>'Stammdaten - Schwimmer'!B56</f>
        <v>Schulze</v>
      </c>
      <c r="C85" t="str">
        <f>'Stammdaten - Schwimmer'!C56</f>
        <v>Ulrike</v>
      </c>
      <c r="D85" s="46">
        <f>'Stammdaten - Schwimmer'!D56</f>
        <v>22597</v>
      </c>
      <c r="E85">
        <f>'Stammdaten - Schwimmer'!E56</f>
        <v>502</v>
      </c>
      <c r="F85">
        <f>'Stammdaten - Schwimmer'!F56</f>
        <v>24</v>
      </c>
      <c r="K85">
        <f>'Stammdaten - Schwimmer'!A5</f>
        <v>2</v>
      </c>
      <c r="L85" t="str">
        <f>'Stammdaten - Schwimmer'!B5</f>
        <v>Montessoro</v>
      </c>
      <c r="M85" t="str">
        <f>'Stammdaten - Schwimmer'!C5</f>
        <v>Samantha</v>
      </c>
      <c r="N85" s="46">
        <f>'Stammdaten - Schwimmer'!D5</f>
        <v>42542</v>
      </c>
      <c r="O85">
        <f>'Stammdaten - Schwimmer'!E5</f>
        <v>502</v>
      </c>
      <c r="P85">
        <f>'Stammdaten - Schwimmer'!F5</f>
        <v>78</v>
      </c>
      <c r="Q85">
        <v>25</v>
      </c>
      <c r="R85">
        <f t="shared" si="1"/>
        <v>1950</v>
      </c>
    </row>
    <row r="86" spans="1:18" x14ac:dyDescent="0.35">
      <c r="A86">
        <f>'Stammdaten - Schwimmer'!A95</f>
        <v>92</v>
      </c>
      <c r="B86" t="str">
        <f>'Stammdaten - Schwimmer'!B95</f>
        <v>Trinh</v>
      </c>
      <c r="C86" t="str">
        <f>'Stammdaten - Schwimmer'!C95</f>
        <v>Tu</v>
      </c>
      <c r="D86" s="46">
        <f>'Stammdaten - Schwimmer'!D95</f>
        <v>22229</v>
      </c>
      <c r="E86">
        <f>'Stammdaten - Schwimmer'!E95</f>
        <v>0</v>
      </c>
      <c r="F86">
        <f>'Stammdaten - Schwimmer'!F95</f>
        <v>10</v>
      </c>
      <c r="K86">
        <f>'Stammdaten - Schwimmer'!A53</f>
        <v>50</v>
      </c>
      <c r="L86" t="str">
        <f>'Stammdaten - Schwimmer'!B53</f>
        <v>Baier</v>
      </c>
      <c r="M86" t="str">
        <f>'Stammdaten - Schwimmer'!C53</f>
        <v>Emily</v>
      </c>
      <c r="N86" s="46">
        <f>'Stammdaten - Schwimmer'!D53</f>
        <v>42563</v>
      </c>
      <c r="O86">
        <f>'Stammdaten - Schwimmer'!E53</f>
        <v>505</v>
      </c>
      <c r="P86">
        <f>'Stammdaten - Schwimmer'!F53</f>
        <v>116</v>
      </c>
      <c r="Q86">
        <v>25</v>
      </c>
      <c r="R86">
        <f t="shared" si="1"/>
        <v>2900</v>
      </c>
    </row>
    <row r="87" spans="1:18" x14ac:dyDescent="0.35">
      <c r="A87">
        <f>'Stammdaten - Schwimmer'!A11</f>
        <v>8</v>
      </c>
      <c r="B87" t="str">
        <f>'Stammdaten - Schwimmer'!B11</f>
        <v>Hartman</v>
      </c>
      <c r="C87" t="str">
        <f>'Stammdaten - Schwimmer'!C11</f>
        <v>Eleanor</v>
      </c>
      <c r="D87" s="46">
        <f>'Stammdaten - Schwimmer'!D11</f>
        <v>21608</v>
      </c>
      <c r="E87">
        <f>'Stammdaten - Schwimmer'!E11</f>
        <v>0</v>
      </c>
      <c r="F87">
        <f>'Stammdaten - Schwimmer'!F11</f>
        <v>20</v>
      </c>
      <c r="K87">
        <f>'Stammdaten - Schwimmer'!A23</f>
        <v>20</v>
      </c>
      <c r="L87" t="str">
        <f>'Stammdaten - Schwimmer'!B23</f>
        <v>Göpel</v>
      </c>
      <c r="M87" t="str">
        <f>'Stammdaten - Schwimmer'!C23</f>
        <v>Norah</v>
      </c>
      <c r="N87" s="46">
        <f>'Stammdaten - Schwimmer'!D23</f>
        <v>42602</v>
      </c>
      <c r="O87">
        <f>'Stammdaten - Schwimmer'!E23</f>
        <v>502</v>
      </c>
      <c r="P87">
        <f>'Stammdaten - Schwimmer'!F23</f>
        <v>58</v>
      </c>
      <c r="Q87">
        <v>25</v>
      </c>
      <c r="R87">
        <f t="shared" si="1"/>
        <v>1450</v>
      </c>
    </row>
    <row r="88" spans="1:18" x14ac:dyDescent="0.35">
      <c r="A88">
        <f>'Stammdaten - Schwimmer'!A62</f>
        <v>59</v>
      </c>
      <c r="B88" t="str">
        <f>'Stammdaten - Schwimmer'!B62</f>
        <v>Zimmermann</v>
      </c>
      <c r="C88" t="str">
        <f>'Stammdaten - Schwimmer'!C62</f>
        <v>Inge</v>
      </c>
      <c r="D88" s="46">
        <f>'Stammdaten - Schwimmer'!D62</f>
        <v>21516</v>
      </c>
      <c r="E88">
        <f>'Stammdaten - Schwimmer'!E62</f>
        <v>0</v>
      </c>
      <c r="F88">
        <f>'Stammdaten - Schwimmer'!F62</f>
        <v>22</v>
      </c>
      <c r="K88">
        <f>'Stammdaten - Schwimmer'!A25</f>
        <v>22</v>
      </c>
      <c r="L88" t="str">
        <f>'Stammdaten - Schwimmer'!B25</f>
        <v>Helbeck</v>
      </c>
      <c r="M88" t="str">
        <f>'Stammdaten - Schwimmer'!C25</f>
        <v>Jonne</v>
      </c>
      <c r="N88" s="46">
        <f>'Stammdaten - Schwimmer'!D25</f>
        <v>42624</v>
      </c>
      <c r="O88">
        <f>'Stammdaten - Schwimmer'!E25</f>
        <v>502</v>
      </c>
      <c r="P88">
        <f>'Stammdaten - Schwimmer'!F25</f>
        <v>30</v>
      </c>
      <c r="Q88">
        <v>25</v>
      </c>
      <c r="R88">
        <f t="shared" si="1"/>
        <v>750</v>
      </c>
    </row>
    <row r="89" spans="1:18" x14ac:dyDescent="0.35">
      <c r="A89">
        <f>'Stammdaten - Schwimmer'!A27</f>
        <v>24</v>
      </c>
      <c r="B89" t="str">
        <f>'Stammdaten - Schwimmer'!B27</f>
        <v>Schwenk-Fischer</v>
      </c>
      <c r="C89" t="str">
        <f>'Stammdaten - Schwimmer'!C27</f>
        <v>Eva</v>
      </c>
      <c r="D89" s="46">
        <f>'Stammdaten - Schwimmer'!D27</f>
        <v>20973</v>
      </c>
      <c r="E89">
        <f>'Stammdaten - Schwimmer'!E27</f>
        <v>505</v>
      </c>
      <c r="F89">
        <f>'Stammdaten - Schwimmer'!F27</f>
        <v>30</v>
      </c>
      <c r="K89">
        <f>'Stammdaten - Schwimmer'!A49</f>
        <v>46</v>
      </c>
      <c r="L89" t="str">
        <f>'Stammdaten - Schwimmer'!B49</f>
        <v>Warga</v>
      </c>
      <c r="M89" t="str">
        <f>'Stammdaten - Schwimmer'!C49</f>
        <v>Eva</v>
      </c>
      <c r="N89" s="46">
        <f>'Stammdaten - Schwimmer'!D49</f>
        <v>42629</v>
      </c>
      <c r="O89">
        <f>'Stammdaten - Schwimmer'!E49</f>
        <v>503</v>
      </c>
      <c r="P89">
        <f>'Stammdaten - Schwimmer'!F49</f>
        <v>170</v>
      </c>
      <c r="Q89">
        <v>25</v>
      </c>
      <c r="R89">
        <f t="shared" si="1"/>
        <v>4250</v>
      </c>
    </row>
    <row r="90" spans="1:18" x14ac:dyDescent="0.35">
      <c r="A90">
        <f>'Stammdaten - Schwimmer'!A91</f>
        <v>88</v>
      </c>
      <c r="B90" t="str">
        <f>'Stammdaten - Schwimmer'!B91</f>
        <v>von Dyken</v>
      </c>
      <c r="C90" t="str">
        <f>'Stammdaten - Schwimmer'!C91</f>
        <v>Waltrud</v>
      </c>
      <c r="D90" s="46">
        <f>'Stammdaten - Schwimmer'!D91</f>
        <v>20591</v>
      </c>
      <c r="E90">
        <f>'Stammdaten - Schwimmer'!E91</f>
        <v>0</v>
      </c>
      <c r="F90">
        <f>'Stammdaten - Schwimmer'!F91</f>
        <v>40</v>
      </c>
      <c r="K90">
        <f>'Stammdaten - Schwimmer'!A37</f>
        <v>34</v>
      </c>
      <c r="L90" t="str">
        <f>'Stammdaten - Schwimmer'!B37</f>
        <v>Düsterloh</v>
      </c>
      <c r="M90" t="str">
        <f>'Stammdaten - Schwimmer'!C37</f>
        <v>Casper</v>
      </c>
      <c r="N90" s="46">
        <f>'Stammdaten - Schwimmer'!D37</f>
        <v>43311</v>
      </c>
      <c r="O90">
        <f>'Stammdaten - Schwimmer'!E37</f>
        <v>503</v>
      </c>
      <c r="P90">
        <f>'Stammdaten - Schwimmer'!F37</f>
        <v>4</v>
      </c>
      <c r="Q90">
        <v>25</v>
      </c>
      <c r="R90">
        <f t="shared" si="1"/>
        <v>100</v>
      </c>
    </row>
    <row r="91" spans="1:18" x14ac:dyDescent="0.35">
      <c r="A91">
        <f>'Stammdaten - Schwimmer'!A43</f>
        <v>40</v>
      </c>
      <c r="B91" t="str">
        <f>'Stammdaten - Schwimmer'!B43</f>
        <v>Gerloch</v>
      </c>
      <c r="C91" t="str">
        <f>'Stammdaten - Schwimmer'!C43</f>
        <v>Christine</v>
      </c>
      <c r="D91" s="46">
        <f>'Stammdaten - Schwimmer'!D43</f>
        <v>18584</v>
      </c>
      <c r="E91">
        <f>'Stammdaten - Schwimmer'!E43</f>
        <v>0</v>
      </c>
      <c r="F91">
        <f>'Stammdaten - Schwimmer'!F43</f>
        <v>40</v>
      </c>
      <c r="K91">
        <f>'Stammdaten - Schwimmer'!A83</f>
        <v>80</v>
      </c>
      <c r="L91" t="str">
        <f>'Stammdaten - Schwimmer'!B83</f>
        <v>Zhou</v>
      </c>
      <c r="M91" t="str">
        <f>'Stammdaten - Schwimmer'!C83</f>
        <v>Fiona</v>
      </c>
      <c r="N91" s="46">
        <f>'Stammdaten - Schwimmer'!D83</f>
        <v>43407</v>
      </c>
      <c r="O91">
        <f>'Stammdaten - Schwimmer'!E83</f>
        <v>503</v>
      </c>
      <c r="P91">
        <f>'Stammdaten - Schwimmer'!F83</f>
        <v>16</v>
      </c>
      <c r="Q91">
        <v>25</v>
      </c>
      <c r="R91">
        <f t="shared" si="1"/>
        <v>400</v>
      </c>
    </row>
    <row r="92" spans="1:18" x14ac:dyDescent="0.35">
      <c r="A92">
        <f>'Stammdaten - Schwimmer'!A89</f>
        <v>86</v>
      </c>
      <c r="B92" t="str">
        <f>'Stammdaten - Schwimmer'!B89</f>
        <v>Rossner</v>
      </c>
      <c r="C92" t="str">
        <f>'Stammdaten - Schwimmer'!C89</f>
        <v>Hans-Joachim</v>
      </c>
      <c r="D92" s="46">
        <f>'Stammdaten - Schwimmer'!D89</f>
        <v>17924</v>
      </c>
      <c r="E92">
        <f>'Stammdaten - Schwimmer'!E89</f>
        <v>0</v>
      </c>
      <c r="F92">
        <f>'Stammdaten - Schwimmer'!F89</f>
        <v>38</v>
      </c>
      <c r="K92">
        <f>'Stammdaten - Schwimmer'!A67</f>
        <v>64</v>
      </c>
      <c r="L92" t="str">
        <f>'Stammdaten - Schwimmer'!B67</f>
        <v>Rink</v>
      </c>
      <c r="M92" t="str">
        <f>'Stammdaten - Schwimmer'!C67</f>
        <v>Henrik</v>
      </c>
      <c r="N92" s="46">
        <f>'Stammdaten - Schwimmer'!D67</f>
        <v>43474</v>
      </c>
      <c r="O92">
        <f>'Stammdaten - Schwimmer'!E67</f>
        <v>505</v>
      </c>
      <c r="P92">
        <f>'Stammdaten - Schwimmer'!F67</f>
        <v>14</v>
      </c>
      <c r="Q92">
        <v>25</v>
      </c>
      <c r="R92">
        <f t="shared" si="1"/>
        <v>350</v>
      </c>
    </row>
    <row r="93" spans="1:18" x14ac:dyDescent="0.35">
      <c r="A93">
        <f>'Stammdaten - Schwimmer'!A42</f>
        <v>39</v>
      </c>
      <c r="B93" t="str">
        <f>'Stammdaten - Schwimmer'!B42</f>
        <v>Gerngroß</v>
      </c>
      <c r="C93" t="str">
        <f>'Stammdaten - Schwimmer'!C42</f>
        <v>Heinz</v>
      </c>
      <c r="D93" s="46">
        <f>'Stammdaten - Schwimmer'!D42</f>
        <v>17842</v>
      </c>
      <c r="E93">
        <f>'Stammdaten - Schwimmer'!E42</f>
        <v>0</v>
      </c>
      <c r="F93">
        <f>'Stammdaten - Schwimmer'!F42</f>
        <v>38</v>
      </c>
      <c r="K93">
        <f>'Stammdaten - Schwimmer'!A92</f>
        <v>89</v>
      </c>
      <c r="L93" t="str">
        <f>'Stammdaten - Schwimmer'!B92</f>
        <v>Montessoro</v>
      </c>
      <c r="M93" t="str">
        <f>'Stammdaten - Schwimmer'!C92</f>
        <v>Angel</v>
      </c>
      <c r="N93" s="46">
        <f>'Stammdaten - Schwimmer'!D92</f>
        <v>43531</v>
      </c>
      <c r="O93">
        <f>'Stammdaten - Schwimmer'!E92</f>
        <v>0</v>
      </c>
      <c r="P93">
        <f>'Stammdaten - Schwimmer'!F92</f>
        <v>22</v>
      </c>
      <c r="Q93">
        <v>25</v>
      </c>
      <c r="R93">
        <f t="shared" si="1"/>
        <v>550</v>
      </c>
    </row>
    <row r="94" spans="1:18" x14ac:dyDescent="0.35">
      <c r="A94">
        <f>'Stammdaten - Schwimmer'!A39</f>
        <v>36</v>
      </c>
      <c r="B94" t="str">
        <f>'Stammdaten - Schwimmer'!B39</f>
        <v>Rottmann</v>
      </c>
      <c r="C94" t="str">
        <f>'Stammdaten - Schwimmer'!C39</f>
        <v>Christof</v>
      </c>
      <c r="D94" s="46">
        <f>'Stammdaten - Schwimmer'!D39</f>
        <v>26023</v>
      </c>
      <c r="E94">
        <f>'Stammdaten - Schwimmer'!E39</f>
        <v>0</v>
      </c>
      <c r="F94">
        <f>'Stammdaten - Schwimmer'!F39</f>
        <v>50</v>
      </c>
      <c r="K94">
        <f>'Stammdaten - Schwimmer'!A38</f>
        <v>35</v>
      </c>
      <c r="L94" t="str">
        <f>'Stammdaten - Schwimmer'!B38</f>
        <v>Düsterloh</v>
      </c>
      <c r="M94" t="str">
        <f>'Stammdaten - Schwimmer'!C38</f>
        <v>Kinga</v>
      </c>
      <c r="N94" s="46">
        <f>'Stammdaten - Schwimmer'!D38</f>
        <v>43887</v>
      </c>
      <c r="O94">
        <f>'Stammdaten - Schwimmer'!E38</f>
        <v>0</v>
      </c>
      <c r="P94">
        <f>'Stammdaten - Schwimmer'!F38</f>
        <v>4</v>
      </c>
      <c r="Q94">
        <v>25</v>
      </c>
      <c r="R94">
        <f t="shared" si="1"/>
        <v>100</v>
      </c>
    </row>
    <row r="95" spans="1:18" x14ac:dyDescent="0.35">
      <c r="P95">
        <f>SUM(P3:P94)</f>
        <v>4864</v>
      </c>
      <c r="R95">
        <f>SUM(R3:R94)</f>
        <v>189750</v>
      </c>
    </row>
  </sheetData>
  <sortState ref="K3:P104">
    <sortCondition ref="N1"/>
  </sortState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03"/>
  <sheetViews>
    <sheetView topLeftCell="A78" workbookViewId="0">
      <selection activeCell="B4" sqref="B4:B83"/>
    </sheetView>
  </sheetViews>
  <sheetFormatPr baseColWidth="10" defaultRowHeight="14.5" x14ac:dyDescent="0.35"/>
  <cols>
    <col min="1" max="1" width="11.453125" style="2"/>
    <col min="2" max="2" width="20" style="2" customWidth="1"/>
    <col min="3" max="3" width="18.54296875" style="2" customWidth="1"/>
    <col min="4" max="4" width="36.453125" style="2" customWidth="1"/>
    <col min="5" max="5" width="11.453125" style="2"/>
    <col min="6" max="6" width="13.453125" style="2" customWidth="1"/>
    <col min="7" max="7" width="14.453125" style="2" customWidth="1"/>
    <col min="8" max="8" width="13.7265625" style="2" customWidth="1"/>
    <col min="9" max="9" width="14.26953125" style="2" customWidth="1"/>
    <col min="10" max="10" width="14.453125" style="2" customWidth="1"/>
    <col min="11" max="11" width="15.453125" style="2" customWidth="1"/>
    <col min="12" max="12" width="15" style="2" customWidth="1"/>
    <col min="13" max="13" width="14.54296875" style="2" customWidth="1"/>
    <col min="14" max="14" width="17.26953125" customWidth="1"/>
  </cols>
  <sheetData>
    <row r="1" spans="1:14" x14ac:dyDescent="0.35">
      <c r="A1" s="29" t="s">
        <v>69</v>
      </c>
    </row>
    <row r="2" spans="1:14" x14ac:dyDescent="0.35">
      <c r="A2" s="29"/>
    </row>
    <row r="3" spans="1:14" ht="43.5" x14ac:dyDescent="0.35">
      <c r="A3" s="3" t="s">
        <v>1</v>
      </c>
      <c r="B3" s="3" t="s">
        <v>7</v>
      </c>
      <c r="C3" s="3" t="s">
        <v>8</v>
      </c>
      <c r="D3" s="2" t="s">
        <v>9</v>
      </c>
      <c r="E3" s="3" t="s">
        <v>10</v>
      </c>
      <c r="F3" s="3" t="s">
        <v>11</v>
      </c>
      <c r="H3" s="3" t="s">
        <v>11</v>
      </c>
      <c r="I3" s="3" t="s">
        <v>11</v>
      </c>
      <c r="J3" s="3" t="s">
        <v>11</v>
      </c>
      <c r="K3" s="3" t="s">
        <v>11</v>
      </c>
      <c r="L3" s="3" t="s">
        <v>11</v>
      </c>
      <c r="M3" s="3" t="s">
        <v>11</v>
      </c>
      <c r="N3" s="3" t="s">
        <v>11</v>
      </c>
    </row>
    <row r="4" spans="1:14" x14ac:dyDescent="0.35">
      <c r="A4" s="2">
        <v>1001</v>
      </c>
      <c r="B4" s="35" t="s">
        <v>29</v>
      </c>
      <c r="C4" s="35" t="s">
        <v>74</v>
      </c>
      <c r="D4" s="35"/>
    </row>
    <row r="5" spans="1:14" x14ac:dyDescent="0.35">
      <c r="A5" s="2">
        <v>1002</v>
      </c>
      <c r="B5" s="35" t="s">
        <v>30</v>
      </c>
      <c r="C5" s="35" t="s">
        <v>74</v>
      </c>
      <c r="D5" s="35" t="s">
        <v>117</v>
      </c>
      <c r="F5" s="2">
        <v>502</v>
      </c>
    </row>
    <row r="6" spans="1:14" ht="29" x14ac:dyDescent="0.35">
      <c r="A6" s="2">
        <v>1003</v>
      </c>
      <c r="B6" s="36" t="s">
        <v>31</v>
      </c>
      <c r="C6" s="35" t="s">
        <v>72</v>
      </c>
      <c r="D6" s="35" t="s">
        <v>116</v>
      </c>
      <c r="F6" s="2">
        <v>503</v>
      </c>
    </row>
    <row r="7" spans="1:14" x14ac:dyDescent="0.35">
      <c r="A7" s="2">
        <v>1004</v>
      </c>
      <c r="B7" s="35" t="s">
        <v>37</v>
      </c>
      <c r="C7" s="35" t="s">
        <v>32</v>
      </c>
      <c r="D7" s="35" t="s">
        <v>33</v>
      </c>
      <c r="F7" s="2">
        <v>2</v>
      </c>
    </row>
    <row r="8" spans="1:14" x14ac:dyDescent="0.35">
      <c r="A8" s="2">
        <v>1005</v>
      </c>
      <c r="B8" s="35" t="s">
        <v>57</v>
      </c>
      <c r="C8" s="35"/>
      <c r="D8" s="35" t="s">
        <v>58</v>
      </c>
      <c r="F8" s="2">
        <v>3</v>
      </c>
    </row>
    <row r="9" spans="1:14" x14ac:dyDescent="0.35">
      <c r="A9" s="2">
        <v>1006</v>
      </c>
      <c r="B9" s="35" t="s">
        <v>59</v>
      </c>
      <c r="C9" s="35" t="s">
        <v>60</v>
      </c>
      <c r="D9" s="35" t="s">
        <v>61</v>
      </c>
      <c r="E9" s="2">
        <v>50</v>
      </c>
      <c r="F9" s="2">
        <v>5</v>
      </c>
    </row>
    <row r="10" spans="1:14" x14ac:dyDescent="0.35">
      <c r="A10" s="2">
        <v>1007</v>
      </c>
      <c r="B10" s="37" t="s">
        <v>62</v>
      </c>
      <c r="C10" s="35" t="s">
        <v>63</v>
      </c>
      <c r="D10" s="35" t="s">
        <v>64</v>
      </c>
      <c r="E10" s="2">
        <v>50</v>
      </c>
      <c r="F10" s="2">
        <v>5</v>
      </c>
    </row>
    <row r="11" spans="1:14" x14ac:dyDescent="0.35">
      <c r="A11" s="2">
        <v>1008</v>
      </c>
      <c r="B11" s="37" t="s">
        <v>62</v>
      </c>
      <c r="C11" s="35" t="s">
        <v>65</v>
      </c>
      <c r="D11" s="35" t="s">
        <v>66</v>
      </c>
      <c r="F11" s="2">
        <v>5</v>
      </c>
    </row>
    <row r="12" spans="1:14" x14ac:dyDescent="0.35">
      <c r="A12" s="2">
        <v>1009</v>
      </c>
      <c r="B12" s="37" t="s">
        <v>49</v>
      </c>
      <c r="C12" s="35" t="s">
        <v>67</v>
      </c>
      <c r="D12" s="35" t="s">
        <v>68</v>
      </c>
      <c r="E12" s="2">
        <v>50</v>
      </c>
      <c r="F12" s="2">
        <v>5</v>
      </c>
    </row>
    <row r="13" spans="1:14" x14ac:dyDescent="0.35">
      <c r="A13" s="2">
        <v>1010</v>
      </c>
      <c r="B13" s="37" t="s">
        <v>87</v>
      </c>
      <c r="C13" s="35" t="s">
        <v>73</v>
      </c>
      <c r="D13" s="35" t="s">
        <v>88</v>
      </c>
      <c r="F13" s="2">
        <v>504</v>
      </c>
    </row>
    <row r="14" spans="1:14" x14ac:dyDescent="0.35">
      <c r="A14" s="2">
        <v>1011</v>
      </c>
      <c r="B14" s="37" t="s">
        <v>89</v>
      </c>
      <c r="C14" s="35" t="s">
        <v>115</v>
      </c>
      <c r="D14" s="35" t="s">
        <v>91</v>
      </c>
      <c r="F14" s="2">
        <v>8</v>
      </c>
    </row>
    <row r="15" spans="1:14" x14ac:dyDescent="0.35">
      <c r="A15" s="2">
        <v>1012</v>
      </c>
      <c r="B15" s="37" t="s">
        <v>247</v>
      </c>
      <c r="C15" s="35" t="s">
        <v>248</v>
      </c>
      <c r="D15" s="35" t="s">
        <v>249</v>
      </c>
      <c r="E15" s="2">
        <v>20</v>
      </c>
    </row>
    <row r="16" spans="1:14" x14ac:dyDescent="0.35">
      <c r="A16" s="2">
        <v>1013</v>
      </c>
      <c r="B16" s="37" t="s">
        <v>250</v>
      </c>
      <c r="C16" s="35" t="s">
        <v>251</v>
      </c>
      <c r="D16" s="35" t="s">
        <v>252</v>
      </c>
    </row>
    <row r="17" spans="1:5" x14ac:dyDescent="0.35">
      <c r="A17" s="2">
        <v>1014</v>
      </c>
      <c r="B17" s="37" t="s">
        <v>250</v>
      </c>
      <c r="C17" s="35" t="s">
        <v>253</v>
      </c>
      <c r="D17" s="35" t="s">
        <v>252</v>
      </c>
    </row>
    <row r="18" spans="1:5" x14ac:dyDescent="0.35">
      <c r="A18" s="2">
        <v>1015</v>
      </c>
      <c r="B18" s="37" t="s">
        <v>124</v>
      </c>
      <c r="C18" s="35" t="s">
        <v>254</v>
      </c>
      <c r="D18" s="35" t="s">
        <v>255</v>
      </c>
    </row>
    <row r="19" spans="1:5" x14ac:dyDescent="0.35">
      <c r="A19" s="2">
        <v>1016</v>
      </c>
      <c r="B19" s="37" t="s">
        <v>247</v>
      </c>
      <c r="C19" s="35" t="s">
        <v>248</v>
      </c>
      <c r="D19" s="35" t="s">
        <v>249</v>
      </c>
      <c r="E19" s="2">
        <v>20</v>
      </c>
    </row>
    <row r="20" spans="1:5" x14ac:dyDescent="0.35">
      <c r="A20" s="2">
        <v>1017</v>
      </c>
      <c r="B20" s="35" t="s">
        <v>126</v>
      </c>
      <c r="C20" s="35" t="s">
        <v>127</v>
      </c>
      <c r="D20" s="35"/>
      <c r="E20" s="2">
        <v>100</v>
      </c>
    </row>
    <row r="21" spans="1:5" x14ac:dyDescent="0.35">
      <c r="A21" s="2">
        <v>1018</v>
      </c>
      <c r="B21" s="35" t="s">
        <v>128</v>
      </c>
      <c r="C21" s="35" t="s">
        <v>38</v>
      </c>
      <c r="D21" s="35" t="s">
        <v>256</v>
      </c>
    </row>
    <row r="22" spans="1:5" x14ac:dyDescent="0.35">
      <c r="A22" s="2">
        <v>1019</v>
      </c>
      <c r="B22" s="35" t="s">
        <v>257</v>
      </c>
      <c r="C22" s="35" t="s">
        <v>258</v>
      </c>
      <c r="D22" s="35" t="s">
        <v>259</v>
      </c>
      <c r="E22" s="2">
        <v>50</v>
      </c>
    </row>
    <row r="23" spans="1:5" x14ac:dyDescent="0.35">
      <c r="A23" s="2">
        <v>1020</v>
      </c>
      <c r="B23" s="35" t="s">
        <v>257</v>
      </c>
      <c r="C23" s="35" t="s">
        <v>260</v>
      </c>
      <c r="D23" s="35" t="s">
        <v>261</v>
      </c>
      <c r="E23" s="2">
        <v>50</v>
      </c>
    </row>
    <row r="24" spans="1:5" x14ac:dyDescent="0.35">
      <c r="A24" s="2">
        <v>1021</v>
      </c>
      <c r="B24" s="35" t="s">
        <v>131</v>
      </c>
      <c r="C24" s="35" t="s">
        <v>181</v>
      </c>
      <c r="D24" s="35" t="s">
        <v>262</v>
      </c>
      <c r="E24" s="2">
        <v>100</v>
      </c>
    </row>
    <row r="25" spans="1:5" x14ac:dyDescent="0.35">
      <c r="A25" s="2">
        <v>1022</v>
      </c>
      <c r="B25" s="35" t="s">
        <v>263</v>
      </c>
      <c r="C25" s="35" t="s">
        <v>264</v>
      </c>
      <c r="D25" s="35" t="s">
        <v>265</v>
      </c>
    </row>
    <row r="26" spans="1:5" x14ac:dyDescent="0.35">
      <c r="A26" s="2">
        <v>1023</v>
      </c>
      <c r="B26" s="35" t="s">
        <v>266</v>
      </c>
      <c r="C26" s="35" t="s">
        <v>267</v>
      </c>
      <c r="D26" s="35" t="s">
        <v>268</v>
      </c>
    </row>
    <row r="27" spans="1:5" x14ac:dyDescent="0.35">
      <c r="A27" s="2">
        <v>1024</v>
      </c>
      <c r="B27" s="35" t="s">
        <v>133</v>
      </c>
      <c r="C27" s="35" t="s">
        <v>269</v>
      </c>
      <c r="D27" s="35" t="s">
        <v>270</v>
      </c>
    </row>
    <row r="28" spans="1:5" x14ac:dyDescent="0.35">
      <c r="A28" s="2">
        <v>1025</v>
      </c>
      <c r="B28" s="35" t="s">
        <v>271</v>
      </c>
      <c r="C28" s="35" t="s">
        <v>136</v>
      </c>
      <c r="D28" s="35" t="s">
        <v>272</v>
      </c>
    </row>
    <row r="29" spans="1:5" x14ac:dyDescent="0.35">
      <c r="A29" s="2">
        <v>1026</v>
      </c>
      <c r="B29" s="35" t="s">
        <v>273</v>
      </c>
      <c r="C29" s="35"/>
      <c r="D29" s="35" t="s">
        <v>274</v>
      </c>
      <c r="E29" s="2">
        <v>50</v>
      </c>
    </row>
    <row r="30" spans="1:5" x14ac:dyDescent="0.35">
      <c r="A30" s="2">
        <v>1027</v>
      </c>
      <c r="B30" s="35" t="s">
        <v>275</v>
      </c>
      <c r="C30" s="35"/>
      <c r="D30" s="35" t="s">
        <v>276</v>
      </c>
    </row>
    <row r="31" spans="1:5" x14ac:dyDescent="0.35">
      <c r="A31" s="2">
        <v>1028</v>
      </c>
      <c r="B31" s="35" t="s">
        <v>139</v>
      </c>
      <c r="C31" s="35" t="s">
        <v>277</v>
      </c>
      <c r="D31" s="35" t="s">
        <v>278</v>
      </c>
    </row>
    <row r="32" spans="1:5" x14ac:dyDescent="0.35">
      <c r="A32" s="2">
        <v>1029</v>
      </c>
      <c r="B32" s="35" t="s">
        <v>279</v>
      </c>
      <c r="C32" s="35" t="s">
        <v>193</v>
      </c>
      <c r="D32" s="35" t="s">
        <v>280</v>
      </c>
    </row>
    <row r="33" spans="1:5" x14ac:dyDescent="0.35">
      <c r="A33" s="2">
        <v>1030</v>
      </c>
      <c r="B33" s="35" t="s">
        <v>281</v>
      </c>
      <c r="C33" s="35" t="s">
        <v>282</v>
      </c>
      <c r="D33" s="35" t="s">
        <v>283</v>
      </c>
      <c r="E33" s="2">
        <v>50</v>
      </c>
    </row>
    <row r="34" spans="1:5" x14ac:dyDescent="0.35">
      <c r="A34" s="2">
        <v>1031</v>
      </c>
      <c r="B34" s="35" t="s">
        <v>284</v>
      </c>
      <c r="C34" s="35" t="s">
        <v>253</v>
      </c>
      <c r="D34" s="35" t="s">
        <v>283</v>
      </c>
      <c r="E34" s="2">
        <v>70</v>
      </c>
    </row>
    <row r="35" spans="1:5" x14ac:dyDescent="0.35">
      <c r="A35" s="2">
        <v>1032</v>
      </c>
      <c r="B35" s="35" t="s">
        <v>144</v>
      </c>
      <c r="C35" s="35" t="s">
        <v>285</v>
      </c>
      <c r="D35" s="35" t="s">
        <v>286</v>
      </c>
    </row>
    <row r="36" spans="1:5" x14ac:dyDescent="0.35">
      <c r="A36" s="2">
        <v>1033</v>
      </c>
      <c r="B36" s="35" t="s">
        <v>287</v>
      </c>
      <c r="C36" s="35" t="s">
        <v>288</v>
      </c>
      <c r="D36" s="35" t="s">
        <v>289</v>
      </c>
    </row>
    <row r="37" spans="1:5" x14ac:dyDescent="0.35">
      <c r="A37" s="2">
        <v>1034</v>
      </c>
      <c r="B37" s="35" t="s">
        <v>52</v>
      </c>
      <c r="C37" s="35" t="s">
        <v>290</v>
      </c>
      <c r="D37" s="35" t="s">
        <v>291</v>
      </c>
    </row>
    <row r="38" spans="1:5" x14ac:dyDescent="0.35">
      <c r="A38" s="2">
        <v>1035</v>
      </c>
      <c r="B38" s="35" t="s">
        <v>292</v>
      </c>
      <c r="C38" s="35" t="s">
        <v>293</v>
      </c>
      <c r="D38" s="35" t="s">
        <v>294</v>
      </c>
      <c r="E38" s="2">
        <v>100</v>
      </c>
    </row>
    <row r="39" spans="1:5" x14ac:dyDescent="0.35">
      <c r="A39" s="2">
        <v>1036</v>
      </c>
      <c r="B39" s="35" t="s">
        <v>295</v>
      </c>
      <c r="C39" s="35" t="s">
        <v>296</v>
      </c>
      <c r="D39" s="35" t="s">
        <v>297</v>
      </c>
      <c r="E39" s="2">
        <v>40</v>
      </c>
    </row>
    <row r="40" spans="1:5" x14ac:dyDescent="0.35">
      <c r="A40" s="2">
        <v>1037</v>
      </c>
      <c r="B40" s="35" t="s">
        <v>298</v>
      </c>
      <c r="C40" s="35" t="s">
        <v>299</v>
      </c>
      <c r="D40" s="35" t="s">
        <v>294</v>
      </c>
    </row>
    <row r="41" spans="1:5" x14ac:dyDescent="0.35">
      <c r="A41" s="2">
        <v>1038</v>
      </c>
      <c r="B41" s="35" t="s">
        <v>151</v>
      </c>
      <c r="C41" s="35" t="s">
        <v>300</v>
      </c>
      <c r="D41" s="35" t="s">
        <v>301</v>
      </c>
    </row>
    <row r="42" spans="1:5" x14ac:dyDescent="0.35">
      <c r="A42" s="2">
        <v>1039</v>
      </c>
      <c r="B42" s="35" t="s">
        <v>98</v>
      </c>
      <c r="C42" s="35" t="s">
        <v>99</v>
      </c>
      <c r="D42" s="35" t="s">
        <v>302</v>
      </c>
    </row>
    <row r="43" spans="1:5" x14ac:dyDescent="0.35">
      <c r="A43" s="2">
        <v>1040</v>
      </c>
      <c r="B43" s="35" t="s">
        <v>159</v>
      </c>
      <c r="C43" s="35"/>
      <c r="D43" s="35" t="s">
        <v>303</v>
      </c>
      <c r="E43" s="2">
        <v>100</v>
      </c>
    </row>
    <row r="44" spans="1:5" x14ac:dyDescent="0.35">
      <c r="A44" s="2">
        <v>1041</v>
      </c>
      <c r="B44" s="35" t="s">
        <v>304</v>
      </c>
      <c r="C44" s="35"/>
      <c r="D44" s="35" t="s">
        <v>305</v>
      </c>
      <c r="E44" s="2">
        <v>100</v>
      </c>
    </row>
    <row r="45" spans="1:5" x14ac:dyDescent="0.35">
      <c r="A45" s="2">
        <v>1042</v>
      </c>
      <c r="B45" s="35" t="s">
        <v>172</v>
      </c>
      <c r="C45" s="35" t="s">
        <v>138</v>
      </c>
      <c r="D45" s="35" t="s">
        <v>306</v>
      </c>
    </row>
    <row r="46" spans="1:5" x14ac:dyDescent="0.35">
      <c r="A46" s="2">
        <v>1043</v>
      </c>
      <c r="B46" s="35" t="s">
        <v>172</v>
      </c>
      <c r="C46" s="35" t="s">
        <v>173</v>
      </c>
      <c r="D46" s="35" t="s">
        <v>306</v>
      </c>
    </row>
    <row r="47" spans="1:5" x14ac:dyDescent="0.35">
      <c r="A47" s="2">
        <v>1044</v>
      </c>
      <c r="B47" s="35" t="s">
        <v>172</v>
      </c>
      <c r="C47" s="35" t="s">
        <v>132</v>
      </c>
      <c r="D47" s="35" t="s">
        <v>306</v>
      </c>
    </row>
    <row r="48" spans="1:5" x14ac:dyDescent="0.35">
      <c r="A48" s="2">
        <v>1045</v>
      </c>
      <c r="B48" s="35" t="s">
        <v>307</v>
      </c>
      <c r="C48" s="35" t="s">
        <v>308</v>
      </c>
      <c r="D48" s="35"/>
    </row>
    <row r="49" spans="1:5" x14ac:dyDescent="0.35">
      <c r="A49" s="2">
        <v>1046</v>
      </c>
      <c r="B49" s="35" t="s">
        <v>309</v>
      </c>
      <c r="C49" s="35" t="s">
        <v>174</v>
      </c>
      <c r="D49" s="35" t="s">
        <v>310</v>
      </c>
    </row>
    <row r="50" spans="1:5" x14ac:dyDescent="0.35">
      <c r="A50" s="2">
        <v>1047</v>
      </c>
      <c r="B50" s="35" t="s">
        <v>179</v>
      </c>
      <c r="C50" s="35" t="s">
        <v>180</v>
      </c>
      <c r="D50" s="35" t="s">
        <v>311</v>
      </c>
    </row>
    <row r="51" spans="1:5" x14ac:dyDescent="0.35">
      <c r="A51" s="2">
        <v>1048</v>
      </c>
      <c r="B51" s="35" t="s">
        <v>96</v>
      </c>
      <c r="C51" s="35" t="s">
        <v>97</v>
      </c>
      <c r="D51" s="35" t="s">
        <v>312</v>
      </c>
    </row>
    <row r="52" spans="1:5" x14ac:dyDescent="0.35">
      <c r="A52" s="2">
        <v>1049</v>
      </c>
      <c r="B52" s="35" t="s">
        <v>184</v>
      </c>
      <c r="C52" s="35" t="s">
        <v>313</v>
      </c>
      <c r="D52" s="35" t="s">
        <v>314</v>
      </c>
      <c r="E52" s="2">
        <v>50</v>
      </c>
    </row>
    <row r="53" spans="1:5" x14ac:dyDescent="0.35">
      <c r="A53" s="2">
        <v>1050</v>
      </c>
      <c r="B53" s="35" t="s">
        <v>186</v>
      </c>
      <c r="C53" s="35" t="s">
        <v>315</v>
      </c>
      <c r="D53" s="35" t="s">
        <v>316</v>
      </c>
      <c r="E53" s="2">
        <v>10</v>
      </c>
    </row>
    <row r="54" spans="1:5" x14ac:dyDescent="0.35">
      <c r="A54" s="2">
        <v>1051</v>
      </c>
      <c r="B54" s="35" t="s">
        <v>317</v>
      </c>
      <c r="C54" s="35" t="s">
        <v>97</v>
      </c>
      <c r="D54" s="35" t="s">
        <v>310</v>
      </c>
    </row>
    <row r="55" spans="1:5" x14ac:dyDescent="0.35">
      <c r="A55" s="2">
        <v>1052</v>
      </c>
      <c r="B55" s="35" t="s">
        <v>318</v>
      </c>
      <c r="C55" s="35" t="s">
        <v>319</v>
      </c>
      <c r="D55" s="35" t="s">
        <v>320</v>
      </c>
    </row>
    <row r="56" spans="1:5" x14ac:dyDescent="0.35">
      <c r="A56" s="2">
        <v>1053</v>
      </c>
      <c r="B56" s="35" t="s">
        <v>198</v>
      </c>
      <c r="C56" s="35" t="s">
        <v>321</v>
      </c>
      <c r="D56" s="35" t="s">
        <v>322</v>
      </c>
    </row>
    <row r="57" spans="1:5" x14ac:dyDescent="0.35">
      <c r="A57" s="2">
        <v>1054</v>
      </c>
      <c r="B57" s="35" t="s">
        <v>323</v>
      </c>
      <c r="C57" s="35" t="s">
        <v>324</v>
      </c>
      <c r="D57" s="35" t="s">
        <v>325</v>
      </c>
    </row>
    <row r="58" spans="1:5" x14ac:dyDescent="0.35">
      <c r="A58" s="2">
        <v>1055</v>
      </c>
      <c r="B58" s="35" t="s">
        <v>326</v>
      </c>
      <c r="C58" s="35" t="s">
        <v>327</v>
      </c>
      <c r="D58" s="35" t="s">
        <v>328</v>
      </c>
    </row>
    <row r="59" spans="1:5" x14ac:dyDescent="0.35">
      <c r="A59" s="2">
        <v>1056</v>
      </c>
      <c r="B59" s="35" t="s">
        <v>329</v>
      </c>
      <c r="C59" s="35" t="s">
        <v>330</v>
      </c>
      <c r="D59" s="35" t="s">
        <v>331</v>
      </c>
      <c r="E59" s="2">
        <v>50</v>
      </c>
    </row>
    <row r="60" spans="1:5" x14ac:dyDescent="0.35">
      <c r="A60" s="2">
        <v>1057</v>
      </c>
      <c r="B60" s="35" t="s">
        <v>332</v>
      </c>
      <c r="C60" s="35" t="s">
        <v>59</v>
      </c>
      <c r="D60" s="35" t="s">
        <v>333</v>
      </c>
      <c r="E60" s="2">
        <v>50</v>
      </c>
    </row>
    <row r="61" spans="1:5" x14ac:dyDescent="0.35">
      <c r="A61" s="2">
        <v>1058</v>
      </c>
      <c r="B61" s="35" t="s">
        <v>334</v>
      </c>
      <c r="C61" s="35" t="s">
        <v>62</v>
      </c>
      <c r="D61" s="35" t="s">
        <v>335</v>
      </c>
      <c r="E61" s="2">
        <v>50</v>
      </c>
    </row>
    <row r="62" spans="1:5" x14ac:dyDescent="0.35">
      <c r="A62" s="2">
        <v>1059</v>
      </c>
      <c r="B62" s="35" t="s">
        <v>211</v>
      </c>
      <c r="C62" s="35" t="s">
        <v>38</v>
      </c>
      <c r="D62" s="35" t="s">
        <v>336</v>
      </c>
      <c r="E62" s="2">
        <v>50</v>
      </c>
    </row>
    <row r="63" spans="1:5" x14ac:dyDescent="0.35">
      <c r="A63" s="2">
        <v>1060</v>
      </c>
      <c r="B63" s="35" t="s">
        <v>124</v>
      </c>
      <c r="C63" s="35" t="s">
        <v>254</v>
      </c>
      <c r="D63" s="35" t="s">
        <v>337</v>
      </c>
    </row>
    <row r="64" spans="1:5" x14ac:dyDescent="0.35">
      <c r="A64" s="2">
        <v>1061</v>
      </c>
      <c r="B64" s="35" t="s">
        <v>338</v>
      </c>
      <c r="C64" s="35" t="s">
        <v>285</v>
      </c>
      <c r="D64" s="35" t="s">
        <v>339</v>
      </c>
    </row>
    <row r="65" spans="1:5" x14ac:dyDescent="0.35">
      <c r="A65" s="2">
        <v>1062</v>
      </c>
      <c r="B65" s="35" t="s">
        <v>340</v>
      </c>
      <c r="C65" s="35" t="s">
        <v>341</v>
      </c>
      <c r="D65" s="35" t="s">
        <v>342</v>
      </c>
    </row>
    <row r="66" spans="1:5" x14ac:dyDescent="0.35">
      <c r="A66" s="2">
        <v>1063</v>
      </c>
      <c r="B66" s="35" t="s">
        <v>340</v>
      </c>
      <c r="C66" s="35" t="s">
        <v>343</v>
      </c>
      <c r="D66" s="35" t="s">
        <v>344</v>
      </c>
      <c r="E66" s="2">
        <v>10</v>
      </c>
    </row>
    <row r="67" spans="1:5" x14ac:dyDescent="0.35">
      <c r="A67" s="2">
        <v>1064</v>
      </c>
      <c r="B67" s="35" t="s">
        <v>345</v>
      </c>
      <c r="C67" s="35" t="s">
        <v>346</v>
      </c>
      <c r="D67" s="35" t="s">
        <v>347</v>
      </c>
    </row>
    <row r="68" spans="1:5" x14ac:dyDescent="0.35">
      <c r="A68" s="2">
        <v>1065</v>
      </c>
      <c r="B68" s="35" t="s">
        <v>348</v>
      </c>
      <c r="C68" s="35" t="s">
        <v>349</v>
      </c>
      <c r="D68" s="35" t="s">
        <v>350</v>
      </c>
    </row>
    <row r="69" spans="1:5" x14ac:dyDescent="0.35">
      <c r="A69" s="2">
        <v>1066</v>
      </c>
      <c r="B69" s="35" t="s">
        <v>351</v>
      </c>
      <c r="C69" s="35"/>
      <c r="D69" s="35" t="s">
        <v>352</v>
      </c>
    </row>
    <row r="70" spans="1:5" x14ac:dyDescent="0.35">
      <c r="A70" s="2">
        <v>1067</v>
      </c>
      <c r="B70" s="35" t="s">
        <v>353</v>
      </c>
      <c r="C70" s="35" t="s">
        <v>225</v>
      </c>
      <c r="D70" s="35" t="s">
        <v>354</v>
      </c>
    </row>
    <row r="71" spans="1:5" x14ac:dyDescent="0.35">
      <c r="A71" s="2">
        <v>1068</v>
      </c>
      <c r="B71" s="35" t="s">
        <v>355</v>
      </c>
      <c r="C71" s="35" t="s">
        <v>356</v>
      </c>
      <c r="D71" s="35" t="s">
        <v>354</v>
      </c>
      <c r="E71" s="2">
        <v>10</v>
      </c>
    </row>
    <row r="72" spans="1:5" x14ac:dyDescent="0.35">
      <c r="A72" s="2">
        <v>1069</v>
      </c>
      <c r="B72" s="35" t="s">
        <v>357</v>
      </c>
      <c r="C72" s="35" t="s">
        <v>358</v>
      </c>
      <c r="D72" s="35" t="s">
        <v>359</v>
      </c>
    </row>
    <row r="73" spans="1:5" x14ac:dyDescent="0.35">
      <c r="A73" s="2">
        <v>1070</v>
      </c>
      <c r="B73" s="35" t="s">
        <v>360</v>
      </c>
      <c r="C73" s="35" t="s">
        <v>361</v>
      </c>
      <c r="D73" s="35" t="s">
        <v>362</v>
      </c>
    </row>
    <row r="74" spans="1:5" x14ac:dyDescent="0.35">
      <c r="A74" s="2">
        <v>1071</v>
      </c>
      <c r="B74" s="35" t="s">
        <v>231</v>
      </c>
      <c r="C74" s="35" t="s">
        <v>363</v>
      </c>
      <c r="D74" s="35" t="s">
        <v>364</v>
      </c>
    </row>
    <row r="75" spans="1:5" x14ac:dyDescent="0.35">
      <c r="A75" s="2">
        <v>1072</v>
      </c>
      <c r="B75" s="35" t="s">
        <v>365</v>
      </c>
      <c r="C75" s="35"/>
      <c r="D75" s="35" t="s">
        <v>366</v>
      </c>
    </row>
    <row r="76" spans="1:5" x14ac:dyDescent="0.35">
      <c r="A76" s="2">
        <v>1073</v>
      </c>
      <c r="B76" s="35" t="s">
        <v>367</v>
      </c>
      <c r="C76" s="35" t="s">
        <v>368</v>
      </c>
      <c r="D76" s="35" t="s">
        <v>369</v>
      </c>
    </row>
    <row r="77" spans="1:5" x14ac:dyDescent="0.35">
      <c r="A77" s="2">
        <v>1074</v>
      </c>
      <c r="B77" s="35" t="s">
        <v>370</v>
      </c>
      <c r="C77" s="35" t="s">
        <v>371</v>
      </c>
      <c r="D77" s="35" t="s">
        <v>372</v>
      </c>
    </row>
    <row r="78" spans="1:5" x14ac:dyDescent="0.35">
      <c r="A78" s="2">
        <v>1075</v>
      </c>
      <c r="B78" s="35" t="s">
        <v>373</v>
      </c>
      <c r="C78" s="35"/>
      <c r="D78" s="35" t="s">
        <v>374</v>
      </c>
      <c r="E78" s="2">
        <v>20</v>
      </c>
    </row>
    <row r="79" spans="1:5" x14ac:dyDescent="0.35">
      <c r="A79" s="2">
        <v>1076</v>
      </c>
      <c r="B79" s="35" t="s">
        <v>375</v>
      </c>
      <c r="C79" s="35" t="s">
        <v>376</v>
      </c>
      <c r="D79" s="35" t="s">
        <v>377</v>
      </c>
      <c r="E79" s="2">
        <v>20</v>
      </c>
    </row>
    <row r="80" spans="1:5" x14ac:dyDescent="0.35">
      <c r="A80" s="2">
        <v>1077</v>
      </c>
      <c r="B80" s="35" t="s">
        <v>242</v>
      </c>
      <c r="C80" s="35" t="s">
        <v>378</v>
      </c>
      <c r="D80" s="35" t="s">
        <v>379</v>
      </c>
      <c r="E80" s="2">
        <v>40</v>
      </c>
    </row>
    <row r="81" spans="1:5" x14ac:dyDescent="0.35">
      <c r="A81" s="2">
        <v>1078</v>
      </c>
      <c r="B81" s="35" t="s">
        <v>242</v>
      </c>
      <c r="C81" s="35" t="s">
        <v>380</v>
      </c>
      <c r="D81" s="35" t="s">
        <v>381</v>
      </c>
      <c r="E81" s="2">
        <v>40</v>
      </c>
    </row>
    <row r="82" spans="1:5" x14ac:dyDescent="0.35">
      <c r="A82" s="2">
        <v>1079</v>
      </c>
      <c r="B82" s="35" t="s">
        <v>382</v>
      </c>
      <c r="C82" s="35" t="s">
        <v>383</v>
      </c>
      <c r="D82" s="35" t="s">
        <v>374</v>
      </c>
      <c r="E82" s="2">
        <v>20</v>
      </c>
    </row>
    <row r="83" spans="1:5" x14ac:dyDescent="0.35">
      <c r="A83" s="2">
        <v>1080</v>
      </c>
      <c r="B83" s="35" t="s">
        <v>131</v>
      </c>
      <c r="C83" s="35" t="s">
        <v>193</v>
      </c>
      <c r="D83" s="35" t="s">
        <v>384</v>
      </c>
      <c r="E83" s="2">
        <v>50</v>
      </c>
    </row>
    <row r="84" spans="1:5" x14ac:dyDescent="0.35">
      <c r="A84" s="2">
        <v>1081</v>
      </c>
      <c r="B84" s="35"/>
      <c r="C84" s="35"/>
      <c r="D84" s="35"/>
    </row>
    <row r="85" spans="1:5" x14ac:dyDescent="0.35">
      <c r="A85" s="2">
        <v>1082</v>
      </c>
      <c r="B85" s="35"/>
      <c r="C85" s="35"/>
      <c r="D85" s="35"/>
    </row>
    <row r="86" spans="1:5" x14ac:dyDescent="0.35">
      <c r="A86" s="2">
        <v>1083</v>
      </c>
      <c r="B86" s="35"/>
      <c r="C86" s="35"/>
      <c r="D86" s="35"/>
    </row>
    <row r="87" spans="1:5" x14ac:dyDescent="0.35">
      <c r="A87" s="2">
        <v>1084</v>
      </c>
      <c r="B87" s="35"/>
      <c r="C87" s="35"/>
      <c r="D87" s="35"/>
    </row>
    <row r="88" spans="1:5" x14ac:dyDescent="0.35">
      <c r="A88" s="2">
        <v>1085</v>
      </c>
      <c r="B88" s="35"/>
      <c r="C88" s="35"/>
      <c r="D88" s="35"/>
    </row>
    <row r="89" spans="1:5" x14ac:dyDescent="0.35">
      <c r="A89" s="2">
        <v>1086</v>
      </c>
      <c r="B89" s="35"/>
      <c r="C89" s="35"/>
      <c r="D89" s="35"/>
    </row>
    <row r="90" spans="1:5" x14ac:dyDescent="0.35">
      <c r="A90" s="2">
        <v>1087</v>
      </c>
      <c r="B90" s="35"/>
      <c r="C90" s="35"/>
      <c r="D90" s="35"/>
    </row>
    <row r="91" spans="1:5" x14ac:dyDescent="0.35">
      <c r="A91" s="2">
        <v>1088</v>
      </c>
      <c r="B91" s="35"/>
      <c r="C91" s="35"/>
      <c r="D91" s="35"/>
    </row>
    <row r="92" spans="1:5" x14ac:dyDescent="0.35">
      <c r="A92" s="2">
        <v>1089</v>
      </c>
      <c r="B92" s="35"/>
      <c r="C92" s="35"/>
      <c r="D92" s="35"/>
    </row>
    <row r="93" spans="1:5" x14ac:dyDescent="0.35">
      <c r="A93" s="2">
        <v>1090</v>
      </c>
      <c r="B93" s="35"/>
      <c r="C93" s="35"/>
      <c r="D93" s="35"/>
    </row>
    <row r="94" spans="1:5" x14ac:dyDescent="0.35">
      <c r="A94" s="2">
        <v>1091</v>
      </c>
      <c r="B94" s="35"/>
      <c r="C94" s="35"/>
      <c r="D94" s="35"/>
    </row>
    <row r="95" spans="1:5" x14ac:dyDescent="0.35">
      <c r="A95" s="2">
        <v>1092</v>
      </c>
      <c r="B95" s="35"/>
      <c r="C95" s="35"/>
      <c r="D95" s="35"/>
    </row>
    <row r="96" spans="1:5" x14ac:dyDescent="0.35">
      <c r="A96" s="2">
        <v>1093</v>
      </c>
      <c r="B96" s="35"/>
      <c r="C96" s="35"/>
      <c r="D96" s="35"/>
    </row>
    <row r="97" spans="1:4" x14ac:dyDescent="0.35">
      <c r="A97" s="2">
        <v>1094</v>
      </c>
      <c r="B97" s="35"/>
      <c r="C97" s="35"/>
      <c r="D97" s="35"/>
    </row>
    <row r="98" spans="1:4" x14ac:dyDescent="0.35">
      <c r="A98" s="2">
        <v>1095</v>
      </c>
      <c r="B98" s="35"/>
      <c r="C98" s="35"/>
      <c r="D98" s="35"/>
    </row>
    <row r="99" spans="1:4" x14ac:dyDescent="0.35">
      <c r="A99" s="2">
        <v>1096</v>
      </c>
      <c r="B99" s="35"/>
      <c r="C99" s="35"/>
      <c r="D99" s="35"/>
    </row>
    <row r="100" spans="1:4" x14ac:dyDescent="0.35">
      <c r="A100" s="2">
        <v>1097</v>
      </c>
      <c r="B100" s="35"/>
      <c r="C100" s="35"/>
      <c r="D100" s="35"/>
    </row>
    <row r="101" spans="1:4" x14ac:dyDescent="0.35">
      <c r="A101" s="2">
        <v>1098</v>
      </c>
      <c r="B101" s="35"/>
      <c r="C101" s="35"/>
      <c r="D101" s="35"/>
    </row>
    <row r="102" spans="1:4" x14ac:dyDescent="0.35">
      <c r="A102" s="2">
        <v>1099</v>
      </c>
      <c r="B102" s="35"/>
      <c r="C102" s="35"/>
      <c r="D102" s="35"/>
    </row>
    <row r="103" spans="1:4" x14ac:dyDescent="0.35">
      <c r="A103" s="2">
        <v>1100</v>
      </c>
      <c r="B103" s="35"/>
      <c r="C103" s="35"/>
      <c r="D103" s="35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Q53"/>
  <sheetViews>
    <sheetView topLeftCell="U1" workbookViewId="0">
      <selection activeCell="AK17" sqref="AK17:AK18"/>
    </sheetView>
  </sheetViews>
  <sheetFormatPr baseColWidth="10" defaultRowHeight="14.5" x14ac:dyDescent="0.35"/>
  <cols>
    <col min="1" max="1" width="15.54296875" style="2" customWidth="1"/>
    <col min="2" max="2" width="16.54296875" style="2" customWidth="1"/>
    <col min="3" max="3" width="17.81640625" style="2" customWidth="1"/>
    <col min="4" max="4" width="11.7265625" style="2" customWidth="1"/>
    <col min="5" max="8" width="14.26953125" style="2" customWidth="1"/>
    <col min="9" max="9" width="13.54296875" style="2" customWidth="1"/>
    <col min="10" max="18" width="11.453125" style="2"/>
  </cols>
  <sheetData>
    <row r="1" spans="1:43" x14ac:dyDescent="0.35">
      <c r="A1" s="29" t="s">
        <v>17</v>
      </c>
    </row>
    <row r="2" spans="1:43" x14ac:dyDescent="0.35">
      <c r="A2" s="29" t="s">
        <v>71</v>
      </c>
    </row>
    <row r="3" spans="1:43" ht="29" x14ac:dyDescent="0.35">
      <c r="A3" s="2" t="s">
        <v>18</v>
      </c>
      <c r="B3" s="2" t="s">
        <v>19</v>
      </c>
      <c r="C3" s="2" t="s">
        <v>20</v>
      </c>
      <c r="D3" s="3" t="s">
        <v>92</v>
      </c>
      <c r="E3" s="3" t="s">
        <v>93</v>
      </c>
      <c r="F3" s="3" t="s">
        <v>94</v>
      </c>
      <c r="G3" s="3" t="s">
        <v>95</v>
      </c>
      <c r="H3" s="3" t="s">
        <v>110</v>
      </c>
      <c r="I3" s="3" t="s">
        <v>21</v>
      </c>
      <c r="J3" s="3" t="s">
        <v>21</v>
      </c>
      <c r="K3" s="3" t="s">
        <v>21</v>
      </c>
      <c r="L3" s="3" t="s">
        <v>21</v>
      </c>
      <c r="M3" s="3" t="s">
        <v>21</v>
      </c>
      <c r="N3" s="3" t="s">
        <v>21</v>
      </c>
      <c r="O3" s="3" t="s">
        <v>21</v>
      </c>
      <c r="P3" s="3" t="s">
        <v>21</v>
      </c>
      <c r="Q3" s="3" t="s">
        <v>21</v>
      </c>
      <c r="R3" s="3" t="s">
        <v>21</v>
      </c>
      <c r="S3" s="3" t="s">
        <v>21</v>
      </c>
      <c r="T3" s="3" t="s">
        <v>21</v>
      </c>
      <c r="U3" s="3" t="s">
        <v>21</v>
      </c>
      <c r="V3" s="3" t="s">
        <v>21</v>
      </c>
      <c r="W3" s="3" t="s">
        <v>21</v>
      </c>
      <c r="X3" s="3" t="s">
        <v>21</v>
      </c>
      <c r="Y3" s="3" t="s">
        <v>21</v>
      </c>
      <c r="Z3" s="3" t="s">
        <v>21</v>
      </c>
      <c r="AA3" s="3" t="s">
        <v>21</v>
      </c>
      <c r="AB3" s="3" t="s">
        <v>21</v>
      </c>
      <c r="AC3" s="3" t="s">
        <v>21</v>
      </c>
      <c r="AD3" s="3" t="s">
        <v>21</v>
      </c>
      <c r="AE3" s="3" t="s">
        <v>21</v>
      </c>
      <c r="AF3" s="3" t="s">
        <v>21</v>
      </c>
      <c r="AG3" s="3" t="s">
        <v>21</v>
      </c>
      <c r="AH3" s="3"/>
      <c r="AI3" s="3"/>
      <c r="AJ3" s="3"/>
      <c r="AK3" s="3"/>
      <c r="AL3" s="3"/>
      <c r="AM3" s="3"/>
      <c r="AN3" s="3"/>
      <c r="AO3" s="3"/>
      <c r="AP3" s="3"/>
      <c r="AQ3" s="3"/>
    </row>
    <row r="4" spans="1:43" x14ac:dyDescent="0.35">
      <c r="A4" s="2">
        <v>501</v>
      </c>
      <c r="B4" s="2" t="s">
        <v>36</v>
      </c>
      <c r="D4" s="24">
        <f>COUNTIF(I4:AQ4,"&gt;0")</f>
        <v>0</v>
      </c>
      <c r="E4" s="24"/>
      <c r="F4" s="14"/>
      <c r="G4" s="22"/>
      <c r="H4" s="39">
        <f>IF(D4&gt;0,E4/D4,)</f>
        <v>0</v>
      </c>
    </row>
    <row r="5" spans="1:43" x14ac:dyDescent="0.35">
      <c r="A5" s="2">
        <v>502</v>
      </c>
      <c r="B5" s="2" t="s">
        <v>22</v>
      </c>
      <c r="C5" s="2" t="s">
        <v>74</v>
      </c>
      <c r="D5" s="24">
        <f>COUNTIFS(I5:AQ5,"&gt;0",I5:AQ5,"&lt;101")</f>
        <v>25</v>
      </c>
      <c r="E5" s="24">
        <f ca="1">INDIRECT("'Stammdaten - Schwimmer'!F"&amp;(I5+3))+INDIRECT("'Stammdaten - Schwimmer'!F"&amp;(J5+3))+INDIRECT("'Stammdaten - Schwimmer'!F"&amp;(K5+3))+INDIRECT("'Stammdaten - Schwimmer'!F"&amp;(L5+3))+INDIRECT("'Stammdaten - Schwimmer'!F"&amp;(M5+3))+INDIRECT("'Stammdaten - Schwimmer'!F"&amp;(N5+3))+INDIRECT("'Stammdaten - Schwimmer'!F"&amp;O5+3)+INDIRECT("'Stammdaten - Schwimmer'!F"&amp;(P5+3))+INDIRECT("'Stammdaten - Schwimmer'!F"&amp;(Q5+3))+INDIRECT("'Stammdaten - Schwimmer'!F"&amp;(R5+3))+INDIRECT("'Stammdaten - Schwimmer'!F"&amp;(S5+3))+INDIRECT("'Stammdaten - Schwimmer'!F"&amp;(T5+3))+INDIRECT("'Stammdaten - Schwimmer'!F"&amp;(U5+3))+INDIRECT("'Stammdaten - Schwimmer'!F"&amp;(V5+3))+INDIRECT("'Stammdaten - Schwimmer'!F"&amp;(W5+3))+INDIRECT("'Stammdaten - Schwimmer'!F"&amp;(X5+3))+INDIRECT("'Stammdaten - Schwimmer'!F"&amp;(Y5+3))+INDIRECT("'Stammdaten - Schwimmer'!F"&amp;(Z5+3))+INDIRECT("'Stammdaten - Schwimmer'!F"&amp;(AA5+3))+INDIRECT("'Stammdaten - Schwimmer'!F"&amp;(AB5+3))+INDIRECT("'Stammdaten - Schwimmer'!F"&amp;(AC5+3))+INDIRECT("'Stammdaten - Schwimmer'!F"&amp;(AD5+3))+INDIRECT("'Stammdaten - Schwimmer'!F"&amp;(AE5+3))+INDIRECT("'Stammdaten - Schwimmer'!F"&amp;(AF5+3))+INDIRECT("'Stammdaten - Schwimmer'!F"&amp;(AG5+3))</f>
        <v>1345</v>
      </c>
      <c r="F5" s="14">
        <v>0.5</v>
      </c>
      <c r="G5" s="22">
        <f ca="1">E5*F5</f>
        <v>672.5</v>
      </c>
      <c r="H5" s="39">
        <f t="shared" ref="H5:H53" ca="1" si="0">IF(D5&gt;0,E5/D5,)</f>
        <v>53.8</v>
      </c>
      <c r="I5" s="2">
        <v>2</v>
      </c>
      <c r="J5" s="2">
        <v>3</v>
      </c>
      <c r="K5" s="2">
        <v>4</v>
      </c>
      <c r="L5" s="2">
        <v>5</v>
      </c>
      <c r="M5" s="2">
        <v>6</v>
      </c>
      <c r="N5" s="2">
        <v>7</v>
      </c>
      <c r="O5" s="2">
        <v>15</v>
      </c>
      <c r="P5" s="2">
        <v>16</v>
      </c>
      <c r="Q5" s="2">
        <v>17</v>
      </c>
      <c r="R5" s="2">
        <v>18</v>
      </c>
      <c r="S5" s="2">
        <v>19</v>
      </c>
      <c r="T5" s="2">
        <v>20</v>
      </c>
      <c r="U5" s="2">
        <v>21</v>
      </c>
      <c r="V5" s="2">
        <v>22</v>
      </c>
      <c r="W5" s="2">
        <v>23</v>
      </c>
      <c r="X5" s="2">
        <v>24</v>
      </c>
      <c r="Y5" s="2">
        <v>25</v>
      </c>
      <c r="Z5" s="2">
        <v>28</v>
      </c>
      <c r="AA5" s="2">
        <v>33</v>
      </c>
      <c r="AB5" s="2">
        <v>53</v>
      </c>
      <c r="AC5" s="2">
        <v>68</v>
      </c>
      <c r="AD5" s="2">
        <v>71</v>
      </c>
      <c r="AE5" s="2">
        <v>78</v>
      </c>
      <c r="AF5" s="2">
        <v>83</v>
      </c>
      <c r="AG5" s="2">
        <v>87</v>
      </c>
      <c r="AH5" s="2"/>
      <c r="AI5" s="2"/>
      <c r="AJ5" s="2"/>
      <c r="AK5" s="2"/>
      <c r="AL5" s="2"/>
      <c r="AM5" s="2"/>
      <c r="AN5" s="2"/>
      <c r="AO5" s="2"/>
      <c r="AP5" s="2"/>
      <c r="AQ5" s="2"/>
    </row>
    <row r="6" spans="1:43" x14ac:dyDescent="0.35">
      <c r="A6" s="2">
        <v>503</v>
      </c>
      <c r="B6" s="2" t="s">
        <v>23</v>
      </c>
      <c r="C6" s="2" t="s">
        <v>72</v>
      </c>
      <c r="D6" s="24">
        <f t="shared" ref="D6:D53" si="1">COUNTIFS(I6:AQ6,"&gt;0",I6:AQ6,"&lt;101")</f>
        <v>31</v>
      </c>
      <c r="E6" s="24">
        <f t="shared" ref="E6:E53" ca="1" si="2">INDIRECT("'Stammdaten - Schwimmer'!F"&amp;(I6+3))+INDIRECT("'Stammdaten - Schwimmer'!F"&amp;(J6+3))+INDIRECT("'Stammdaten - Schwimmer'!F"&amp;(K6+3))+INDIRECT("'Stammdaten - Schwimmer'!F"&amp;(L6+3))+INDIRECT("'Stammdaten - Schwimmer'!F"&amp;(M6+3))+INDIRECT("'Stammdaten - Schwimmer'!F"&amp;(N6+3))+INDIRECT("'Stammdaten - Schwimmer'!F"&amp;O6+3)+INDIRECT("'Stammdaten - Schwimmer'!F"&amp;(P6+3))+INDIRECT("'Stammdaten - Schwimmer'!F"&amp;(Q6+3))+INDIRECT("'Stammdaten - Schwimmer'!F"&amp;(R6+3))+INDIRECT("'Stammdaten - Schwimmer'!F"&amp;(S6+3))+INDIRECT("'Stammdaten - Schwimmer'!F"&amp;(T6+3))+INDIRECT("'Stammdaten - Schwimmer'!F"&amp;(U6+3))+INDIRECT("'Stammdaten - Schwimmer'!F"&amp;(V6+3))+INDIRECT("'Stammdaten - Schwimmer'!F"&amp;(W6+3))+INDIRECT("'Stammdaten - Schwimmer'!F"&amp;(X6+3))+INDIRECT("'Stammdaten - Schwimmer'!F"&amp;(Y6+3))+INDIRECT("'Stammdaten - Schwimmer'!F"&amp;(Z6+3))+INDIRECT("'Stammdaten - Schwimmer'!F"&amp;(AA6+3))+INDIRECT("'Stammdaten - Schwimmer'!F"&amp;(AB6+3))+INDIRECT("'Stammdaten - Schwimmer'!F"&amp;(AC6+3))+INDIRECT("'Stammdaten - Schwimmer'!F"&amp;(AD6+3))+INDIRECT("'Stammdaten - Schwimmer'!F"&amp;(AE6+3))+INDIRECT("'Stammdaten - Schwimmer'!F"&amp;(AF6+3))+INDIRECT("'Stammdaten - Schwimmer'!F"&amp;(AG6+3))</f>
        <v>1636</v>
      </c>
      <c r="F6" s="14">
        <v>0.5</v>
      </c>
      <c r="G6" s="22">
        <f t="shared" ref="G6:G53" ca="1" si="3">E6*F6</f>
        <v>818</v>
      </c>
      <c r="H6" s="39">
        <f t="shared" ca="1" si="0"/>
        <v>52.774193548387096</v>
      </c>
      <c r="I6" s="2">
        <v>9</v>
      </c>
      <c r="J6" s="2">
        <v>10</v>
      </c>
      <c r="K6" s="2">
        <v>11</v>
      </c>
      <c r="L6" s="2">
        <v>31</v>
      </c>
      <c r="M6" s="2">
        <v>32</v>
      </c>
      <c r="N6" s="2">
        <v>34</v>
      </c>
      <c r="O6" s="2">
        <v>37</v>
      </c>
      <c r="P6" s="2">
        <v>38</v>
      </c>
      <c r="Q6" s="2">
        <v>41</v>
      </c>
      <c r="R6" s="2">
        <v>42</v>
      </c>
      <c r="S6" s="2">
        <v>43</v>
      </c>
      <c r="T6" s="2">
        <v>44</v>
      </c>
      <c r="U6" s="2">
        <v>45</v>
      </c>
      <c r="V6" s="2">
        <v>46</v>
      </c>
      <c r="W6" s="2">
        <v>48</v>
      </c>
      <c r="X6" s="2">
        <v>49</v>
      </c>
      <c r="Y6" s="2">
        <v>52</v>
      </c>
      <c r="Z6" s="2">
        <v>54</v>
      </c>
      <c r="AA6" s="2">
        <v>55</v>
      </c>
      <c r="AB6" s="2">
        <v>58</v>
      </c>
      <c r="AC6" s="2">
        <v>61</v>
      </c>
      <c r="AD6" s="2">
        <v>70</v>
      </c>
      <c r="AE6" s="2">
        <v>73</v>
      </c>
      <c r="AF6" s="2">
        <v>74</v>
      </c>
      <c r="AG6" s="2">
        <v>75</v>
      </c>
      <c r="AH6" s="2">
        <v>76</v>
      </c>
      <c r="AI6" s="2">
        <v>77</v>
      </c>
      <c r="AJ6" s="2">
        <v>79</v>
      </c>
      <c r="AK6" s="2">
        <v>80</v>
      </c>
      <c r="AL6" s="2">
        <v>81</v>
      </c>
      <c r="AM6" s="2">
        <v>90</v>
      </c>
      <c r="AN6" s="2"/>
      <c r="AO6" s="2"/>
      <c r="AP6" s="2"/>
      <c r="AQ6" s="2"/>
    </row>
    <row r="7" spans="1:43" x14ac:dyDescent="0.35">
      <c r="A7" s="2">
        <v>504</v>
      </c>
      <c r="B7" s="2" t="s">
        <v>56</v>
      </c>
      <c r="C7" s="2" t="s">
        <v>87</v>
      </c>
      <c r="D7" s="24">
        <f t="shared" si="1"/>
        <v>4</v>
      </c>
      <c r="E7" s="24">
        <f t="shared" ca="1" si="2"/>
        <v>182</v>
      </c>
      <c r="F7" s="14">
        <v>0.5</v>
      </c>
      <c r="G7" s="22">
        <f t="shared" ca="1" si="3"/>
        <v>91</v>
      </c>
      <c r="H7" s="39">
        <f t="shared" ca="1" si="0"/>
        <v>45.5</v>
      </c>
      <c r="I7" s="2">
        <v>9</v>
      </c>
      <c r="J7" s="2">
        <v>10</v>
      </c>
      <c r="K7" s="2">
        <v>11</v>
      </c>
      <c r="L7" s="2">
        <v>58</v>
      </c>
      <c r="M7" s="2">
        <v>101</v>
      </c>
      <c r="N7" s="2">
        <v>101</v>
      </c>
      <c r="O7" s="2">
        <v>101</v>
      </c>
      <c r="P7" s="2">
        <v>101</v>
      </c>
      <c r="Q7" s="2">
        <v>101</v>
      </c>
      <c r="R7" s="2">
        <v>101</v>
      </c>
      <c r="S7" s="2">
        <v>101</v>
      </c>
      <c r="T7" s="2">
        <v>101</v>
      </c>
      <c r="U7" s="2">
        <v>101</v>
      </c>
      <c r="V7" s="2">
        <v>101</v>
      </c>
      <c r="W7" s="2">
        <v>101</v>
      </c>
      <c r="X7" s="2">
        <v>101</v>
      </c>
      <c r="Y7" s="2">
        <v>101</v>
      </c>
      <c r="Z7" s="2">
        <v>101</v>
      </c>
      <c r="AA7" s="2">
        <v>101</v>
      </c>
      <c r="AB7" s="2">
        <v>101</v>
      </c>
      <c r="AC7" s="2">
        <v>101</v>
      </c>
      <c r="AD7" s="2">
        <v>101</v>
      </c>
      <c r="AE7" s="2">
        <v>101</v>
      </c>
      <c r="AF7" s="2">
        <v>101</v>
      </c>
      <c r="AG7" s="2">
        <v>101</v>
      </c>
      <c r="AH7" s="2"/>
      <c r="AI7" s="2"/>
      <c r="AJ7" s="2"/>
      <c r="AK7" s="2"/>
      <c r="AL7" s="2"/>
      <c r="AM7" s="2"/>
      <c r="AN7" s="2"/>
      <c r="AO7" s="2"/>
      <c r="AP7" s="2"/>
      <c r="AQ7" s="2"/>
    </row>
    <row r="8" spans="1:43" x14ac:dyDescent="0.35">
      <c r="A8" s="2">
        <v>505</v>
      </c>
      <c r="B8" s="2" t="s">
        <v>192</v>
      </c>
      <c r="C8" s="2" t="s">
        <v>193</v>
      </c>
      <c r="D8" s="24">
        <f t="shared" si="1"/>
        <v>15</v>
      </c>
      <c r="E8" s="24">
        <f t="shared" ca="1" si="2"/>
        <v>956</v>
      </c>
      <c r="F8" s="14">
        <v>0.5</v>
      </c>
      <c r="G8" s="22">
        <f t="shared" ca="1" si="3"/>
        <v>478</v>
      </c>
      <c r="H8" s="39">
        <f t="shared" ca="1" si="0"/>
        <v>63.733333333333334</v>
      </c>
      <c r="I8" s="2">
        <v>24</v>
      </c>
      <c r="J8" s="2">
        <v>26</v>
      </c>
      <c r="K8" s="2">
        <v>27</v>
      </c>
      <c r="L8" s="2">
        <v>50</v>
      </c>
      <c r="M8" s="2">
        <v>51</v>
      </c>
      <c r="N8" s="2">
        <v>62</v>
      </c>
      <c r="O8" s="2">
        <v>63</v>
      </c>
      <c r="P8" s="2">
        <v>64</v>
      </c>
      <c r="Q8" s="2">
        <v>65</v>
      </c>
      <c r="R8" s="2">
        <v>66</v>
      </c>
      <c r="S8" s="2">
        <v>74</v>
      </c>
      <c r="T8" s="2">
        <v>75</v>
      </c>
      <c r="U8" s="2">
        <v>76</v>
      </c>
      <c r="V8" s="2">
        <v>77</v>
      </c>
      <c r="W8" s="2">
        <v>87</v>
      </c>
      <c r="X8" s="2">
        <v>101</v>
      </c>
      <c r="Y8" s="2">
        <v>101</v>
      </c>
      <c r="Z8" s="2">
        <v>101</v>
      </c>
      <c r="AA8" s="2">
        <v>101</v>
      </c>
      <c r="AB8" s="2">
        <v>101</v>
      </c>
      <c r="AC8" s="2">
        <v>101</v>
      </c>
      <c r="AD8" s="2">
        <v>101</v>
      </c>
      <c r="AE8" s="2">
        <v>101</v>
      </c>
      <c r="AF8" s="2">
        <v>101</v>
      </c>
      <c r="AG8" s="2">
        <v>101</v>
      </c>
      <c r="AH8" s="2"/>
      <c r="AI8" s="2"/>
      <c r="AJ8" s="2"/>
      <c r="AK8" s="2"/>
      <c r="AL8" s="2"/>
      <c r="AM8" s="2"/>
      <c r="AN8" s="2"/>
      <c r="AO8" s="2"/>
      <c r="AP8" s="2"/>
      <c r="AQ8" s="2"/>
    </row>
    <row r="9" spans="1:43" x14ac:dyDescent="0.35">
      <c r="A9" s="2">
        <v>506</v>
      </c>
      <c r="D9" s="24">
        <f t="shared" si="1"/>
        <v>0</v>
      </c>
      <c r="E9" s="24">
        <f t="shared" ca="1" si="2"/>
        <v>0</v>
      </c>
      <c r="F9" s="14"/>
      <c r="G9" s="22">
        <f t="shared" ca="1" si="3"/>
        <v>0</v>
      </c>
      <c r="H9" s="39">
        <f t="shared" si="0"/>
        <v>0</v>
      </c>
      <c r="I9" s="2">
        <v>101</v>
      </c>
      <c r="J9" s="2">
        <v>101</v>
      </c>
      <c r="K9" s="2">
        <v>101</v>
      </c>
      <c r="L9" s="2">
        <v>101</v>
      </c>
      <c r="M9" s="2">
        <v>101</v>
      </c>
      <c r="N9" s="2">
        <v>101</v>
      </c>
      <c r="O9" s="2">
        <v>101</v>
      </c>
      <c r="P9" s="2">
        <v>101</v>
      </c>
      <c r="Q9" s="2">
        <v>101</v>
      </c>
      <c r="R9" s="2">
        <v>101</v>
      </c>
      <c r="S9" s="2">
        <v>101</v>
      </c>
      <c r="T9" s="2">
        <v>101</v>
      </c>
      <c r="U9" s="2">
        <v>101</v>
      </c>
      <c r="V9" s="2">
        <v>101</v>
      </c>
      <c r="W9" s="2">
        <v>101</v>
      </c>
      <c r="X9" s="2">
        <v>101</v>
      </c>
      <c r="Y9" s="2">
        <v>101</v>
      </c>
      <c r="Z9" s="2">
        <v>101</v>
      </c>
      <c r="AA9" s="2">
        <v>101</v>
      </c>
      <c r="AB9" s="2">
        <v>101</v>
      </c>
      <c r="AC9" s="2">
        <v>101</v>
      </c>
      <c r="AD9" s="2">
        <v>101</v>
      </c>
      <c r="AE9" s="2">
        <v>101</v>
      </c>
      <c r="AF9" s="2">
        <v>101</v>
      </c>
      <c r="AG9" s="2">
        <v>101</v>
      </c>
      <c r="AH9" s="2"/>
      <c r="AI9" s="2"/>
      <c r="AJ9" s="2"/>
      <c r="AK9" s="2"/>
      <c r="AL9" s="2"/>
      <c r="AM9" s="2"/>
      <c r="AN9" s="2"/>
      <c r="AO9" s="2"/>
      <c r="AP9" s="2"/>
      <c r="AQ9" s="2"/>
    </row>
    <row r="10" spans="1:43" x14ac:dyDescent="0.35">
      <c r="A10" s="2">
        <v>507</v>
      </c>
      <c r="D10" s="24">
        <f t="shared" si="1"/>
        <v>0</v>
      </c>
      <c r="E10" s="24">
        <f t="shared" ca="1" si="2"/>
        <v>0</v>
      </c>
      <c r="F10" s="14"/>
      <c r="G10" s="22">
        <f t="shared" ca="1" si="3"/>
        <v>0</v>
      </c>
      <c r="H10" s="39">
        <f t="shared" si="0"/>
        <v>0</v>
      </c>
      <c r="I10" s="2">
        <v>101</v>
      </c>
      <c r="J10" s="2">
        <v>101</v>
      </c>
      <c r="K10" s="2">
        <v>101</v>
      </c>
      <c r="L10" s="2">
        <v>101</v>
      </c>
      <c r="M10" s="2">
        <v>101</v>
      </c>
      <c r="N10" s="2">
        <v>101</v>
      </c>
      <c r="O10" s="2">
        <v>101</v>
      </c>
      <c r="P10" s="2">
        <v>101</v>
      </c>
      <c r="Q10" s="2">
        <v>101</v>
      </c>
      <c r="R10" s="2">
        <v>101</v>
      </c>
      <c r="S10" s="2">
        <v>101</v>
      </c>
      <c r="T10" s="2">
        <v>101</v>
      </c>
      <c r="U10" s="2">
        <v>101</v>
      </c>
      <c r="V10" s="2">
        <v>101</v>
      </c>
      <c r="W10" s="2">
        <v>101</v>
      </c>
      <c r="X10" s="2">
        <v>101</v>
      </c>
      <c r="Y10" s="2">
        <v>101</v>
      </c>
      <c r="Z10" s="2">
        <v>101</v>
      </c>
      <c r="AA10" s="2">
        <v>101</v>
      </c>
      <c r="AB10" s="2">
        <v>101</v>
      </c>
      <c r="AC10" s="2">
        <v>101</v>
      </c>
      <c r="AD10" s="2">
        <v>101</v>
      </c>
      <c r="AE10" s="2">
        <v>101</v>
      </c>
      <c r="AF10" s="2">
        <v>101</v>
      </c>
      <c r="AG10" s="2">
        <v>101</v>
      </c>
      <c r="AH10" s="2"/>
      <c r="AI10" s="2"/>
      <c r="AJ10" s="2"/>
      <c r="AK10" s="2"/>
      <c r="AL10" s="2"/>
      <c r="AM10" s="2"/>
      <c r="AN10" s="2"/>
      <c r="AO10" s="2"/>
      <c r="AP10" s="2"/>
      <c r="AQ10" s="2"/>
    </row>
    <row r="11" spans="1:43" x14ac:dyDescent="0.35">
      <c r="A11" s="2">
        <v>508</v>
      </c>
      <c r="D11" s="24">
        <f t="shared" si="1"/>
        <v>0</v>
      </c>
      <c r="E11" s="24">
        <f t="shared" ca="1" si="2"/>
        <v>0</v>
      </c>
      <c r="F11" s="14"/>
      <c r="G11" s="22">
        <f t="shared" ca="1" si="3"/>
        <v>0</v>
      </c>
      <c r="H11" s="39">
        <f t="shared" si="0"/>
        <v>0</v>
      </c>
      <c r="I11" s="2">
        <v>101</v>
      </c>
      <c r="J11" s="2">
        <v>101</v>
      </c>
      <c r="K11" s="2">
        <v>101</v>
      </c>
      <c r="L11" s="2">
        <v>101</v>
      </c>
      <c r="M11" s="2">
        <v>101</v>
      </c>
      <c r="N11" s="2">
        <v>101</v>
      </c>
      <c r="O11" s="2">
        <v>101</v>
      </c>
      <c r="P11" s="2">
        <v>101</v>
      </c>
      <c r="Q11" s="2">
        <v>101</v>
      </c>
      <c r="R11" s="2">
        <v>101</v>
      </c>
      <c r="S11" s="2">
        <v>101</v>
      </c>
      <c r="T11" s="2">
        <v>101</v>
      </c>
      <c r="U11" s="2">
        <v>101</v>
      </c>
      <c r="V11" s="2">
        <v>101</v>
      </c>
      <c r="W11" s="2">
        <v>101</v>
      </c>
      <c r="X11" s="2">
        <v>101</v>
      </c>
      <c r="Y11" s="2">
        <v>101</v>
      </c>
      <c r="Z11" s="2">
        <v>101</v>
      </c>
      <c r="AA11" s="2">
        <v>101</v>
      </c>
      <c r="AB11" s="2">
        <v>101</v>
      </c>
      <c r="AC11" s="2">
        <v>101</v>
      </c>
      <c r="AD11" s="2">
        <v>101</v>
      </c>
      <c r="AE11" s="2">
        <v>101</v>
      </c>
      <c r="AF11" s="2">
        <v>101</v>
      </c>
      <c r="AG11" s="2">
        <v>101</v>
      </c>
      <c r="AH11" s="2"/>
      <c r="AI11" s="2"/>
      <c r="AJ11" s="2"/>
      <c r="AK11" s="2"/>
      <c r="AL11" s="2"/>
      <c r="AM11" s="2"/>
      <c r="AN11" s="2"/>
      <c r="AO11" s="2"/>
      <c r="AP11" s="2"/>
      <c r="AQ11" s="2"/>
    </row>
    <row r="12" spans="1:43" x14ac:dyDescent="0.35">
      <c r="A12" s="2">
        <v>509</v>
      </c>
      <c r="D12" s="24">
        <f t="shared" si="1"/>
        <v>0</v>
      </c>
      <c r="E12" s="24">
        <f t="shared" ca="1" si="2"/>
        <v>0</v>
      </c>
      <c r="F12" s="14"/>
      <c r="G12" s="22">
        <f t="shared" ca="1" si="3"/>
        <v>0</v>
      </c>
      <c r="H12" s="39">
        <f t="shared" si="0"/>
        <v>0</v>
      </c>
      <c r="I12" s="2">
        <v>101</v>
      </c>
      <c r="J12" s="2">
        <v>101</v>
      </c>
      <c r="K12" s="2">
        <v>101</v>
      </c>
      <c r="L12" s="2">
        <v>101</v>
      </c>
      <c r="M12" s="2">
        <v>101</v>
      </c>
      <c r="N12" s="2">
        <v>101</v>
      </c>
      <c r="O12" s="2">
        <v>101</v>
      </c>
      <c r="P12" s="2">
        <v>101</v>
      </c>
      <c r="Q12" s="2">
        <v>101</v>
      </c>
      <c r="R12" s="2">
        <v>101</v>
      </c>
      <c r="S12" s="2">
        <v>101</v>
      </c>
      <c r="T12" s="2">
        <v>101</v>
      </c>
      <c r="U12" s="2">
        <v>101</v>
      </c>
      <c r="V12" s="2">
        <v>101</v>
      </c>
      <c r="W12" s="2">
        <v>101</v>
      </c>
      <c r="X12" s="2">
        <v>101</v>
      </c>
      <c r="Y12" s="2">
        <v>101</v>
      </c>
      <c r="Z12" s="2">
        <v>101</v>
      </c>
      <c r="AA12" s="2">
        <v>101</v>
      </c>
      <c r="AB12" s="2">
        <v>101</v>
      </c>
      <c r="AC12" s="2">
        <v>101</v>
      </c>
      <c r="AD12" s="2">
        <v>101</v>
      </c>
      <c r="AE12" s="2">
        <v>101</v>
      </c>
      <c r="AF12" s="2">
        <v>101</v>
      </c>
      <c r="AG12" s="2">
        <v>101</v>
      </c>
      <c r="AH12" s="2"/>
      <c r="AI12" s="2"/>
      <c r="AJ12" s="2"/>
      <c r="AK12" s="2"/>
      <c r="AL12" s="2"/>
      <c r="AM12" s="2"/>
      <c r="AN12" s="2"/>
      <c r="AO12" s="2"/>
      <c r="AP12" s="2"/>
      <c r="AQ12" s="2"/>
    </row>
    <row r="13" spans="1:43" x14ac:dyDescent="0.35">
      <c r="A13" s="2">
        <v>510</v>
      </c>
      <c r="D13" s="24">
        <f t="shared" si="1"/>
        <v>0</v>
      </c>
      <c r="E13" s="24">
        <f t="shared" ca="1" si="2"/>
        <v>0</v>
      </c>
      <c r="F13" s="14"/>
      <c r="G13" s="22">
        <f t="shared" ca="1" si="3"/>
        <v>0</v>
      </c>
      <c r="H13" s="39">
        <f t="shared" si="0"/>
        <v>0</v>
      </c>
      <c r="I13" s="2">
        <v>101</v>
      </c>
      <c r="J13" s="2">
        <v>101</v>
      </c>
      <c r="K13" s="2">
        <v>101</v>
      </c>
      <c r="L13" s="2">
        <v>101</v>
      </c>
      <c r="M13" s="2">
        <v>101</v>
      </c>
      <c r="N13" s="2">
        <v>101</v>
      </c>
      <c r="O13" s="2">
        <v>101</v>
      </c>
      <c r="P13" s="2">
        <v>101</v>
      </c>
      <c r="Q13" s="2">
        <v>101</v>
      </c>
      <c r="R13" s="2">
        <v>101</v>
      </c>
      <c r="S13" s="2">
        <v>101</v>
      </c>
      <c r="T13" s="2">
        <v>101</v>
      </c>
      <c r="U13" s="2">
        <v>101</v>
      </c>
      <c r="V13" s="2">
        <v>101</v>
      </c>
      <c r="W13" s="2">
        <v>101</v>
      </c>
      <c r="X13" s="2">
        <v>101</v>
      </c>
      <c r="Y13" s="2">
        <v>101</v>
      </c>
      <c r="Z13" s="2">
        <v>101</v>
      </c>
      <c r="AA13" s="2">
        <v>101</v>
      </c>
      <c r="AB13" s="2">
        <v>101</v>
      </c>
      <c r="AC13" s="2">
        <v>101</v>
      </c>
      <c r="AD13" s="2">
        <v>101</v>
      </c>
      <c r="AE13" s="2">
        <v>101</v>
      </c>
      <c r="AF13" s="2">
        <v>101</v>
      </c>
      <c r="AG13" s="2">
        <v>101</v>
      </c>
      <c r="AH13" s="2"/>
      <c r="AI13" s="2"/>
      <c r="AJ13" s="2"/>
      <c r="AK13" s="2"/>
      <c r="AL13" s="2"/>
      <c r="AM13" s="2"/>
      <c r="AN13" s="2"/>
      <c r="AO13" s="2"/>
      <c r="AP13" s="2"/>
      <c r="AQ13" s="2"/>
    </row>
    <row r="14" spans="1:43" x14ac:dyDescent="0.35">
      <c r="A14" s="2">
        <v>511</v>
      </c>
      <c r="D14" s="24">
        <f t="shared" si="1"/>
        <v>0</v>
      </c>
      <c r="E14" s="24">
        <f t="shared" ca="1" si="2"/>
        <v>0</v>
      </c>
      <c r="F14" s="14"/>
      <c r="G14" s="22">
        <f t="shared" ca="1" si="3"/>
        <v>0</v>
      </c>
      <c r="H14" s="39">
        <f t="shared" si="0"/>
        <v>0</v>
      </c>
      <c r="I14" s="2">
        <v>101</v>
      </c>
      <c r="J14" s="2">
        <v>101</v>
      </c>
      <c r="K14" s="2">
        <v>101</v>
      </c>
      <c r="L14" s="2">
        <v>101</v>
      </c>
      <c r="M14" s="2">
        <v>101</v>
      </c>
      <c r="N14" s="2">
        <v>101</v>
      </c>
      <c r="O14" s="2">
        <v>101</v>
      </c>
      <c r="P14" s="2">
        <v>101</v>
      </c>
      <c r="Q14" s="2">
        <v>101</v>
      </c>
      <c r="R14" s="2">
        <v>101</v>
      </c>
      <c r="S14" s="2">
        <v>101</v>
      </c>
      <c r="T14" s="2">
        <v>101</v>
      </c>
      <c r="U14" s="2">
        <v>101</v>
      </c>
      <c r="V14" s="2">
        <v>101</v>
      </c>
      <c r="W14" s="2">
        <v>101</v>
      </c>
      <c r="X14" s="2">
        <v>101</v>
      </c>
      <c r="Y14" s="2">
        <v>101</v>
      </c>
      <c r="Z14" s="2">
        <v>101</v>
      </c>
      <c r="AA14" s="2">
        <v>101</v>
      </c>
      <c r="AB14" s="2">
        <v>101</v>
      </c>
      <c r="AC14" s="2">
        <v>101</v>
      </c>
      <c r="AD14" s="2">
        <v>101</v>
      </c>
      <c r="AE14" s="2">
        <v>101</v>
      </c>
      <c r="AF14" s="2">
        <v>101</v>
      </c>
      <c r="AG14" s="2">
        <v>101</v>
      </c>
      <c r="AH14" s="2"/>
      <c r="AI14" s="2"/>
      <c r="AJ14" s="2"/>
      <c r="AK14" s="2"/>
      <c r="AL14" s="2"/>
      <c r="AM14" s="2"/>
      <c r="AN14" s="2"/>
      <c r="AO14" s="2"/>
      <c r="AP14" s="2"/>
      <c r="AQ14" s="2"/>
    </row>
    <row r="15" spans="1:43" x14ac:dyDescent="0.35">
      <c r="A15" s="2">
        <v>512</v>
      </c>
      <c r="D15" s="24">
        <f t="shared" si="1"/>
        <v>0</v>
      </c>
      <c r="E15" s="24">
        <f t="shared" ca="1" si="2"/>
        <v>0</v>
      </c>
      <c r="F15" s="14"/>
      <c r="G15" s="22">
        <f t="shared" ca="1" si="3"/>
        <v>0</v>
      </c>
      <c r="H15" s="39">
        <f t="shared" si="0"/>
        <v>0</v>
      </c>
      <c r="I15" s="2">
        <v>101</v>
      </c>
      <c r="J15" s="2">
        <v>101</v>
      </c>
      <c r="K15" s="2">
        <v>101</v>
      </c>
      <c r="L15" s="2">
        <v>101</v>
      </c>
      <c r="M15" s="2">
        <v>101</v>
      </c>
      <c r="N15" s="2">
        <v>101</v>
      </c>
      <c r="O15" s="2">
        <v>101</v>
      </c>
      <c r="P15" s="2">
        <v>101</v>
      </c>
      <c r="Q15" s="2">
        <v>101</v>
      </c>
      <c r="R15" s="2">
        <v>101</v>
      </c>
      <c r="S15" s="2">
        <v>101</v>
      </c>
      <c r="T15" s="2">
        <v>101</v>
      </c>
      <c r="U15" s="2">
        <v>101</v>
      </c>
      <c r="V15" s="2">
        <v>101</v>
      </c>
      <c r="W15" s="2">
        <v>101</v>
      </c>
      <c r="X15" s="2">
        <v>101</v>
      </c>
      <c r="Y15" s="2">
        <v>101</v>
      </c>
      <c r="Z15" s="2">
        <v>101</v>
      </c>
      <c r="AA15" s="2">
        <v>101</v>
      </c>
      <c r="AB15" s="2">
        <v>101</v>
      </c>
      <c r="AC15" s="2">
        <v>101</v>
      </c>
      <c r="AD15" s="2">
        <v>101</v>
      </c>
      <c r="AE15" s="2">
        <v>101</v>
      </c>
      <c r="AF15" s="2">
        <v>101</v>
      </c>
      <c r="AG15" s="2">
        <v>101</v>
      </c>
      <c r="AH15" s="2"/>
      <c r="AI15" s="2"/>
      <c r="AJ15" s="2"/>
      <c r="AK15" s="2"/>
      <c r="AL15" s="2"/>
      <c r="AM15" s="2"/>
      <c r="AN15" s="2"/>
      <c r="AO15" s="2"/>
      <c r="AP15" s="2"/>
      <c r="AQ15" s="2"/>
    </row>
    <row r="16" spans="1:43" x14ac:dyDescent="0.35">
      <c r="A16" s="2">
        <v>513</v>
      </c>
      <c r="D16" s="24">
        <f t="shared" si="1"/>
        <v>0</v>
      </c>
      <c r="E16" s="24">
        <f t="shared" ca="1" si="2"/>
        <v>0</v>
      </c>
      <c r="F16" s="14"/>
      <c r="G16" s="22">
        <f t="shared" ca="1" si="3"/>
        <v>0</v>
      </c>
      <c r="H16" s="39">
        <f t="shared" si="0"/>
        <v>0</v>
      </c>
      <c r="I16" s="2">
        <v>101</v>
      </c>
      <c r="J16" s="2">
        <v>101</v>
      </c>
      <c r="K16" s="2">
        <v>101</v>
      </c>
      <c r="L16" s="2">
        <v>101</v>
      </c>
      <c r="M16" s="2">
        <v>101</v>
      </c>
      <c r="N16" s="2">
        <v>101</v>
      </c>
      <c r="O16" s="2">
        <v>101</v>
      </c>
      <c r="P16" s="2">
        <v>101</v>
      </c>
      <c r="Q16" s="2">
        <v>101</v>
      </c>
      <c r="R16" s="2">
        <v>101</v>
      </c>
      <c r="S16" s="2">
        <v>101</v>
      </c>
      <c r="T16" s="2">
        <v>101</v>
      </c>
      <c r="U16" s="2">
        <v>101</v>
      </c>
      <c r="V16" s="2">
        <v>101</v>
      </c>
      <c r="W16" s="2">
        <v>101</v>
      </c>
      <c r="X16" s="2">
        <v>101</v>
      </c>
      <c r="Y16" s="2">
        <v>101</v>
      </c>
      <c r="Z16" s="2">
        <v>101</v>
      </c>
      <c r="AA16" s="2">
        <v>101</v>
      </c>
      <c r="AB16" s="2">
        <v>101</v>
      </c>
      <c r="AC16" s="2">
        <v>101</v>
      </c>
      <c r="AD16" s="2">
        <v>101</v>
      </c>
      <c r="AE16" s="2">
        <v>101</v>
      </c>
      <c r="AF16" s="2">
        <v>101</v>
      </c>
      <c r="AG16" s="2">
        <v>101</v>
      </c>
      <c r="AH16" s="2"/>
      <c r="AI16" s="2"/>
      <c r="AJ16" s="2"/>
      <c r="AK16" s="2"/>
      <c r="AL16" s="2"/>
      <c r="AM16" s="2"/>
      <c r="AN16" s="2"/>
      <c r="AO16" s="2"/>
      <c r="AP16" s="2"/>
      <c r="AQ16" s="2"/>
    </row>
    <row r="17" spans="1:43" x14ac:dyDescent="0.35">
      <c r="A17" s="2">
        <v>514</v>
      </c>
      <c r="D17" s="24">
        <f t="shared" si="1"/>
        <v>0</v>
      </c>
      <c r="E17" s="24">
        <f t="shared" ca="1" si="2"/>
        <v>0</v>
      </c>
      <c r="F17" s="14"/>
      <c r="G17" s="22">
        <f t="shared" ca="1" si="3"/>
        <v>0</v>
      </c>
      <c r="H17" s="39">
        <f t="shared" si="0"/>
        <v>0</v>
      </c>
      <c r="I17" s="2">
        <v>101</v>
      </c>
      <c r="J17" s="2">
        <v>101</v>
      </c>
      <c r="K17" s="2">
        <v>101</v>
      </c>
      <c r="L17" s="2">
        <v>101</v>
      </c>
      <c r="M17" s="2">
        <v>101</v>
      </c>
      <c r="N17" s="2">
        <v>101</v>
      </c>
      <c r="O17" s="2">
        <v>101</v>
      </c>
      <c r="P17" s="2">
        <v>101</v>
      </c>
      <c r="Q17" s="2">
        <v>101</v>
      </c>
      <c r="R17" s="2">
        <v>101</v>
      </c>
      <c r="S17" s="2">
        <v>101</v>
      </c>
      <c r="T17" s="2">
        <v>101</v>
      </c>
      <c r="U17" s="2">
        <v>101</v>
      </c>
      <c r="V17" s="2">
        <v>101</v>
      </c>
      <c r="W17" s="2">
        <v>101</v>
      </c>
      <c r="X17" s="2">
        <v>101</v>
      </c>
      <c r="Y17" s="2">
        <v>101</v>
      </c>
      <c r="Z17" s="2">
        <v>101</v>
      </c>
      <c r="AA17" s="2">
        <v>101</v>
      </c>
      <c r="AB17" s="2">
        <v>101</v>
      </c>
      <c r="AC17" s="2">
        <v>101</v>
      </c>
      <c r="AD17" s="2">
        <v>101</v>
      </c>
      <c r="AE17" s="2">
        <v>101</v>
      </c>
      <c r="AF17" s="2">
        <v>101</v>
      </c>
      <c r="AG17" s="2">
        <v>101</v>
      </c>
      <c r="AH17" s="2"/>
      <c r="AI17" s="2"/>
      <c r="AJ17" s="2"/>
      <c r="AK17" s="2"/>
      <c r="AL17" s="2"/>
      <c r="AM17" s="2"/>
      <c r="AN17" s="2"/>
      <c r="AO17" s="2"/>
      <c r="AP17" s="2"/>
      <c r="AQ17" s="2"/>
    </row>
    <row r="18" spans="1:43" x14ac:dyDescent="0.35">
      <c r="A18" s="2">
        <v>515</v>
      </c>
      <c r="D18" s="24">
        <f t="shared" si="1"/>
        <v>0</v>
      </c>
      <c r="E18" s="24">
        <f t="shared" ca="1" si="2"/>
        <v>0</v>
      </c>
      <c r="F18" s="14"/>
      <c r="G18" s="22">
        <f t="shared" ca="1" si="3"/>
        <v>0</v>
      </c>
      <c r="H18" s="39">
        <f t="shared" si="0"/>
        <v>0</v>
      </c>
      <c r="I18" s="2">
        <v>101</v>
      </c>
      <c r="J18" s="2">
        <v>101</v>
      </c>
      <c r="K18" s="2">
        <v>101</v>
      </c>
      <c r="L18" s="2">
        <v>101</v>
      </c>
      <c r="M18" s="2">
        <v>101</v>
      </c>
      <c r="N18" s="2">
        <v>101</v>
      </c>
      <c r="O18" s="2">
        <v>101</v>
      </c>
      <c r="P18" s="2">
        <v>101</v>
      </c>
      <c r="Q18" s="2">
        <v>101</v>
      </c>
      <c r="R18" s="2">
        <v>101</v>
      </c>
      <c r="S18" s="2">
        <v>101</v>
      </c>
      <c r="T18" s="2">
        <v>101</v>
      </c>
      <c r="U18" s="2">
        <v>101</v>
      </c>
      <c r="V18" s="2">
        <v>101</v>
      </c>
      <c r="W18" s="2">
        <v>101</v>
      </c>
      <c r="X18" s="2">
        <v>101</v>
      </c>
      <c r="Y18" s="2">
        <v>101</v>
      </c>
      <c r="Z18" s="2">
        <v>101</v>
      </c>
      <c r="AA18" s="2">
        <v>101</v>
      </c>
      <c r="AB18" s="2">
        <v>101</v>
      </c>
      <c r="AC18" s="2">
        <v>101</v>
      </c>
      <c r="AD18" s="2">
        <v>101</v>
      </c>
      <c r="AE18" s="2">
        <v>101</v>
      </c>
      <c r="AF18" s="2">
        <v>101</v>
      </c>
      <c r="AG18" s="2">
        <v>101</v>
      </c>
      <c r="AH18" s="2"/>
      <c r="AI18" s="2"/>
      <c r="AJ18" s="2"/>
      <c r="AK18" s="2"/>
      <c r="AL18" s="2"/>
      <c r="AM18" s="2"/>
      <c r="AN18" s="2"/>
      <c r="AO18" s="2"/>
      <c r="AP18" s="2"/>
      <c r="AQ18" s="2"/>
    </row>
    <row r="19" spans="1:43" x14ac:dyDescent="0.35">
      <c r="A19" s="2">
        <v>516</v>
      </c>
      <c r="D19" s="24">
        <f t="shared" si="1"/>
        <v>0</v>
      </c>
      <c r="E19" s="24">
        <f t="shared" ca="1" si="2"/>
        <v>0</v>
      </c>
      <c r="F19" s="14"/>
      <c r="G19" s="22">
        <f t="shared" ca="1" si="3"/>
        <v>0</v>
      </c>
      <c r="H19" s="39">
        <f t="shared" si="0"/>
        <v>0</v>
      </c>
      <c r="I19" s="2">
        <v>101</v>
      </c>
      <c r="J19" s="2">
        <v>101</v>
      </c>
      <c r="K19" s="2">
        <v>101</v>
      </c>
      <c r="L19" s="2">
        <v>101</v>
      </c>
      <c r="M19" s="2">
        <v>101</v>
      </c>
      <c r="N19" s="2">
        <v>101</v>
      </c>
      <c r="O19" s="2">
        <v>101</v>
      </c>
      <c r="P19" s="2">
        <v>101</v>
      </c>
      <c r="Q19" s="2">
        <v>101</v>
      </c>
      <c r="R19" s="2">
        <v>101</v>
      </c>
      <c r="S19" s="2">
        <v>101</v>
      </c>
      <c r="T19" s="2">
        <v>101</v>
      </c>
      <c r="U19" s="2">
        <v>101</v>
      </c>
      <c r="V19" s="2">
        <v>101</v>
      </c>
      <c r="W19" s="2">
        <v>101</v>
      </c>
      <c r="X19" s="2">
        <v>101</v>
      </c>
      <c r="Y19" s="2">
        <v>101</v>
      </c>
      <c r="Z19" s="2">
        <v>101</v>
      </c>
      <c r="AA19" s="2">
        <v>101</v>
      </c>
      <c r="AB19" s="2">
        <v>101</v>
      </c>
      <c r="AC19" s="2">
        <v>101</v>
      </c>
      <c r="AD19" s="2">
        <v>101</v>
      </c>
      <c r="AE19" s="2">
        <v>101</v>
      </c>
      <c r="AF19" s="2">
        <v>101</v>
      </c>
      <c r="AG19" s="2">
        <v>101</v>
      </c>
      <c r="AH19" s="2"/>
      <c r="AI19" s="2"/>
      <c r="AJ19" s="2"/>
      <c r="AK19" s="2"/>
      <c r="AL19" s="2"/>
      <c r="AM19" s="2"/>
      <c r="AN19" s="2"/>
      <c r="AO19" s="2"/>
      <c r="AP19" s="2"/>
      <c r="AQ19" s="2"/>
    </row>
    <row r="20" spans="1:43" x14ac:dyDescent="0.35">
      <c r="A20" s="2">
        <v>517</v>
      </c>
      <c r="D20" s="24">
        <f t="shared" si="1"/>
        <v>0</v>
      </c>
      <c r="E20" s="24">
        <f t="shared" ca="1" si="2"/>
        <v>0</v>
      </c>
      <c r="F20" s="14"/>
      <c r="G20" s="22">
        <f t="shared" ca="1" si="3"/>
        <v>0</v>
      </c>
      <c r="H20" s="39">
        <f t="shared" si="0"/>
        <v>0</v>
      </c>
      <c r="I20" s="2">
        <v>101</v>
      </c>
      <c r="J20" s="2">
        <v>101</v>
      </c>
      <c r="K20" s="2">
        <v>101</v>
      </c>
      <c r="L20" s="2">
        <v>101</v>
      </c>
      <c r="M20" s="2">
        <v>101</v>
      </c>
      <c r="N20" s="2">
        <v>101</v>
      </c>
      <c r="O20" s="2">
        <v>101</v>
      </c>
      <c r="P20" s="2">
        <v>101</v>
      </c>
      <c r="Q20" s="2">
        <v>101</v>
      </c>
      <c r="R20" s="2">
        <v>101</v>
      </c>
      <c r="S20" s="2">
        <v>101</v>
      </c>
      <c r="T20" s="2">
        <v>101</v>
      </c>
      <c r="U20" s="2">
        <v>101</v>
      </c>
      <c r="V20" s="2">
        <v>101</v>
      </c>
      <c r="W20" s="2">
        <v>101</v>
      </c>
      <c r="X20" s="2">
        <v>101</v>
      </c>
      <c r="Y20" s="2">
        <v>101</v>
      </c>
      <c r="Z20" s="2">
        <v>101</v>
      </c>
      <c r="AA20" s="2">
        <v>101</v>
      </c>
      <c r="AB20" s="2">
        <v>101</v>
      </c>
      <c r="AC20" s="2">
        <v>101</v>
      </c>
      <c r="AD20" s="2">
        <v>101</v>
      </c>
      <c r="AE20" s="2">
        <v>101</v>
      </c>
      <c r="AF20" s="2">
        <v>101</v>
      </c>
      <c r="AG20" s="2">
        <v>101</v>
      </c>
      <c r="AH20" s="2"/>
      <c r="AI20" s="2"/>
      <c r="AJ20" s="2"/>
      <c r="AK20" s="2"/>
      <c r="AL20" s="2"/>
      <c r="AM20" s="2"/>
      <c r="AN20" s="2"/>
      <c r="AO20" s="2"/>
      <c r="AP20" s="2"/>
      <c r="AQ20" s="2"/>
    </row>
    <row r="21" spans="1:43" x14ac:dyDescent="0.35">
      <c r="A21" s="2">
        <v>518</v>
      </c>
      <c r="D21" s="24">
        <f t="shared" si="1"/>
        <v>0</v>
      </c>
      <c r="E21" s="24">
        <f t="shared" ca="1" si="2"/>
        <v>0</v>
      </c>
      <c r="F21" s="14"/>
      <c r="G21" s="22">
        <f t="shared" ca="1" si="3"/>
        <v>0</v>
      </c>
      <c r="H21" s="39">
        <f t="shared" si="0"/>
        <v>0</v>
      </c>
      <c r="I21" s="2">
        <v>101</v>
      </c>
      <c r="J21" s="2">
        <v>101</v>
      </c>
      <c r="K21" s="2">
        <v>101</v>
      </c>
      <c r="L21" s="2">
        <v>101</v>
      </c>
      <c r="M21" s="2">
        <v>101</v>
      </c>
      <c r="N21" s="2">
        <v>101</v>
      </c>
      <c r="O21" s="2">
        <v>101</v>
      </c>
      <c r="P21" s="2">
        <v>101</v>
      </c>
      <c r="Q21" s="2">
        <v>101</v>
      </c>
      <c r="R21" s="2">
        <v>101</v>
      </c>
      <c r="S21" s="2">
        <v>101</v>
      </c>
      <c r="T21" s="2">
        <v>101</v>
      </c>
      <c r="U21" s="2">
        <v>101</v>
      </c>
      <c r="V21" s="2">
        <v>101</v>
      </c>
      <c r="W21" s="2">
        <v>101</v>
      </c>
      <c r="X21" s="2">
        <v>101</v>
      </c>
      <c r="Y21" s="2">
        <v>101</v>
      </c>
      <c r="Z21" s="2">
        <v>101</v>
      </c>
      <c r="AA21" s="2">
        <v>101</v>
      </c>
      <c r="AB21" s="2">
        <v>101</v>
      </c>
      <c r="AC21" s="2">
        <v>101</v>
      </c>
      <c r="AD21" s="2">
        <v>101</v>
      </c>
      <c r="AE21" s="2">
        <v>101</v>
      </c>
      <c r="AF21" s="2">
        <v>101</v>
      </c>
      <c r="AG21" s="2">
        <v>101</v>
      </c>
      <c r="AH21" s="2"/>
      <c r="AI21" s="2"/>
      <c r="AJ21" s="2"/>
      <c r="AK21" s="2"/>
      <c r="AL21" s="2"/>
      <c r="AM21" s="2"/>
      <c r="AN21" s="2"/>
      <c r="AO21" s="2"/>
      <c r="AP21" s="2"/>
      <c r="AQ21" s="2"/>
    </row>
    <row r="22" spans="1:43" x14ac:dyDescent="0.35">
      <c r="A22" s="2">
        <v>519</v>
      </c>
      <c r="D22" s="24">
        <f t="shared" si="1"/>
        <v>0</v>
      </c>
      <c r="E22" s="24">
        <f t="shared" ca="1" si="2"/>
        <v>0</v>
      </c>
      <c r="F22" s="14"/>
      <c r="G22" s="22">
        <f t="shared" ca="1" si="3"/>
        <v>0</v>
      </c>
      <c r="H22" s="39">
        <f t="shared" si="0"/>
        <v>0</v>
      </c>
      <c r="I22" s="2">
        <v>101</v>
      </c>
      <c r="J22" s="2">
        <v>101</v>
      </c>
      <c r="K22" s="2">
        <v>101</v>
      </c>
      <c r="L22" s="2">
        <v>101</v>
      </c>
      <c r="M22" s="2">
        <v>101</v>
      </c>
      <c r="N22" s="2">
        <v>101</v>
      </c>
      <c r="O22" s="2">
        <v>101</v>
      </c>
      <c r="P22" s="2">
        <v>101</v>
      </c>
      <c r="Q22" s="2">
        <v>101</v>
      </c>
      <c r="R22" s="2">
        <v>101</v>
      </c>
      <c r="S22" s="2">
        <v>101</v>
      </c>
      <c r="T22" s="2">
        <v>101</v>
      </c>
      <c r="U22" s="2">
        <v>101</v>
      </c>
      <c r="V22" s="2">
        <v>101</v>
      </c>
      <c r="W22" s="2">
        <v>101</v>
      </c>
      <c r="X22" s="2">
        <v>101</v>
      </c>
      <c r="Y22" s="2">
        <v>101</v>
      </c>
      <c r="Z22" s="2">
        <v>101</v>
      </c>
      <c r="AA22" s="2">
        <v>101</v>
      </c>
      <c r="AB22" s="2">
        <v>101</v>
      </c>
      <c r="AC22" s="2">
        <v>101</v>
      </c>
      <c r="AD22" s="2">
        <v>101</v>
      </c>
      <c r="AE22" s="2">
        <v>101</v>
      </c>
      <c r="AF22" s="2">
        <v>101</v>
      </c>
      <c r="AG22" s="2">
        <v>101</v>
      </c>
      <c r="AH22" s="2"/>
      <c r="AI22" s="2"/>
      <c r="AJ22" s="2"/>
      <c r="AK22" s="2"/>
      <c r="AL22" s="2"/>
      <c r="AM22" s="2"/>
      <c r="AN22" s="2"/>
      <c r="AO22" s="2"/>
      <c r="AP22" s="2"/>
      <c r="AQ22" s="2"/>
    </row>
    <row r="23" spans="1:43" x14ac:dyDescent="0.35">
      <c r="A23" s="2">
        <v>520</v>
      </c>
      <c r="D23" s="24">
        <f t="shared" si="1"/>
        <v>0</v>
      </c>
      <c r="E23" s="24">
        <f t="shared" ca="1" si="2"/>
        <v>0</v>
      </c>
      <c r="F23" s="14"/>
      <c r="G23" s="22">
        <f t="shared" ca="1" si="3"/>
        <v>0</v>
      </c>
      <c r="H23" s="39">
        <f t="shared" si="0"/>
        <v>0</v>
      </c>
      <c r="I23" s="2">
        <v>101</v>
      </c>
      <c r="J23" s="2">
        <v>101</v>
      </c>
      <c r="K23" s="2">
        <v>101</v>
      </c>
      <c r="L23" s="2">
        <v>101</v>
      </c>
      <c r="M23" s="2">
        <v>101</v>
      </c>
      <c r="N23" s="2">
        <v>101</v>
      </c>
      <c r="O23" s="2">
        <v>101</v>
      </c>
      <c r="P23" s="2">
        <v>101</v>
      </c>
      <c r="Q23" s="2">
        <v>101</v>
      </c>
      <c r="R23" s="2">
        <v>101</v>
      </c>
      <c r="S23" s="2">
        <v>101</v>
      </c>
      <c r="T23" s="2">
        <v>101</v>
      </c>
      <c r="U23" s="2">
        <v>101</v>
      </c>
      <c r="V23" s="2">
        <v>101</v>
      </c>
      <c r="W23" s="2">
        <v>101</v>
      </c>
      <c r="X23" s="2">
        <v>101</v>
      </c>
      <c r="Y23" s="2">
        <v>101</v>
      </c>
      <c r="Z23" s="2">
        <v>101</v>
      </c>
      <c r="AA23" s="2">
        <v>101</v>
      </c>
      <c r="AB23" s="2">
        <v>101</v>
      </c>
      <c r="AC23" s="2">
        <v>101</v>
      </c>
      <c r="AD23" s="2">
        <v>101</v>
      </c>
      <c r="AE23" s="2">
        <v>101</v>
      </c>
      <c r="AF23" s="2">
        <v>101</v>
      </c>
      <c r="AG23" s="2">
        <v>101</v>
      </c>
      <c r="AH23" s="2"/>
      <c r="AI23" s="2"/>
      <c r="AJ23" s="2"/>
      <c r="AK23" s="2"/>
      <c r="AL23" s="2"/>
      <c r="AM23" s="2"/>
      <c r="AN23" s="2"/>
      <c r="AO23" s="2"/>
      <c r="AP23" s="2"/>
      <c r="AQ23" s="2"/>
    </row>
    <row r="24" spans="1:43" x14ac:dyDescent="0.35">
      <c r="A24" s="2">
        <v>521</v>
      </c>
      <c r="D24" s="24">
        <f t="shared" si="1"/>
        <v>0</v>
      </c>
      <c r="E24" s="24">
        <f t="shared" ca="1" si="2"/>
        <v>0</v>
      </c>
      <c r="F24" s="14"/>
      <c r="G24" s="22">
        <f t="shared" ca="1" si="3"/>
        <v>0</v>
      </c>
      <c r="H24" s="39">
        <f t="shared" si="0"/>
        <v>0</v>
      </c>
      <c r="I24" s="2">
        <v>101</v>
      </c>
      <c r="J24" s="2">
        <v>101</v>
      </c>
      <c r="K24" s="2">
        <v>101</v>
      </c>
      <c r="L24" s="2">
        <v>101</v>
      </c>
      <c r="M24" s="2">
        <v>101</v>
      </c>
      <c r="N24" s="2">
        <v>101</v>
      </c>
      <c r="O24" s="2">
        <v>101</v>
      </c>
      <c r="P24" s="2">
        <v>101</v>
      </c>
      <c r="Q24" s="2">
        <v>101</v>
      </c>
      <c r="R24" s="2">
        <v>101</v>
      </c>
      <c r="S24" s="2">
        <v>101</v>
      </c>
      <c r="T24" s="2">
        <v>101</v>
      </c>
      <c r="U24" s="2">
        <v>101</v>
      </c>
      <c r="V24" s="2">
        <v>101</v>
      </c>
      <c r="W24" s="2">
        <v>101</v>
      </c>
      <c r="X24" s="2">
        <v>101</v>
      </c>
      <c r="Y24" s="2">
        <v>101</v>
      </c>
      <c r="Z24" s="2">
        <v>101</v>
      </c>
      <c r="AA24" s="2">
        <v>101</v>
      </c>
      <c r="AB24" s="2">
        <v>101</v>
      </c>
      <c r="AC24" s="2">
        <v>101</v>
      </c>
      <c r="AD24" s="2">
        <v>101</v>
      </c>
      <c r="AE24" s="2">
        <v>101</v>
      </c>
      <c r="AF24" s="2">
        <v>101</v>
      </c>
      <c r="AG24" s="2">
        <v>101</v>
      </c>
      <c r="AH24" s="2"/>
      <c r="AI24" s="2"/>
      <c r="AJ24" s="2"/>
      <c r="AK24" s="2"/>
      <c r="AL24" s="2"/>
      <c r="AM24" s="2"/>
      <c r="AN24" s="2"/>
      <c r="AO24" s="2"/>
      <c r="AP24" s="2"/>
      <c r="AQ24" s="2"/>
    </row>
    <row r="25" spans="1:43" x14ac:dyDescent="0.35">
      <c r="A25" s="2">
        <v>522</v>
      </c>
      <c r="D25" s="24">
        <f t="shared" si="1"/>
        <v>0</v>
      </c>
      <c r="E25" s="24">
        <f t="shared" ca="1" si="2"/>
        <v>0</v>
      </c>
      <c r="F25" s="14"/>
      <c r="G25" s="22">
        <f t="shared" ca="1" si="3"/>
        <v>0</v>
      </c>
      <c r="H25" s="39">
        <f t="shared" si="0"/>
        <v>0</v>
      </c>
      <c r="I25" s="2">
        <v>101</v>
      </c>
      <c r="J25" s="2">
        <v>101</v>
      </c>
      <c r="K25" s="2">
        <v>101</v>
      </c>
      <c r="L25" s="2">
        <v>101</v>
      </c>
      <c r="M25" s="2">
        <v>101</v>
      </c>
      <c r="N25" s="2">
        <v>101</v>
      </c>
      <c r="O25" s="2">
        <v>101</v>
      </c>
      <c r="P25" s="2">
        <v>101</v>
      </c>
      <c r="Q25" s="2">
        <v>101</v>
      </c>
      <c r="R25" s="2">
        <v>101</v>
      </c>
      <c r="S25" s="2">
        <v>101</v>
      </c>
      <c r="T25" s="2">
        <v>101</v>
      </c>
      <c r="U25" s="2">
        <v>101</v>
      </c>
      <c r="V25" s="2">
        <v>101</v>
      </c>
      <c r="W25" s="2">
        <v>101</v>
      </c>
      <c r="X25" s="2">
        <v>101</v>
      </c>
      <c r="Y25" s="2">
        <v>101</v>
      </c>
      <c r="Z25" s="2">
        <v>101</v>
      </c>
      <c r="AA25" s="2">
        <v>101</v>
      </c>
      <c r="AB25" s="2">
        <v>101</v>
      </c>
      <c r="AC25" s="2">
        <v>101</v>
      </c>
      <c r="AD25" s="2">
        <v>101</v>
      </c>
      <c r="AE25" s="2">
        <v>101</v>
      </c>
      <c r="AF25" s="2">
        <v>101</v>
      </c>
      <c r="AG25" s="2">
        <v>101</v>
      </c>
      <c r="AH25" s="2"/>
      <c r="AI25" s="2"/>
      <c r="AJ25" s="2"/>
      <c r="AK25" s="2"/>
      <c r="AL25" s="2"/>
      <c r="AM25" s="2"/>
      <c r="AN25" s="2"/>
      <c r="AO25" s="2"/>
      <c r="AP25" s="2"/>
      <c r="AQ25" s="2"/>
    </row>
    <row r="26" spans="1:43" x14ac:dyDescent="0.35">
      <c r="A26" s="2">
        <v>523</v>
      </c>
      <c r="D26" s="24">
        <f t="shared" si="1"/>
        <v>0</v>
      </c>
      <c r="E26" s="24">
        <f t="shared" ca="1" si="2"/>
        <v>0</v>
      </c>
      <c r="F26" s="14"/>
      <c r="G26" s="22">
        <f t="shared" ca="1" si="3"/>
        <v>0</v>
      </c>
      <c r="H26" s="39">
        <f t="shared" si="0"/>
        <v>0</v>
      </c>
      <c r="I26" s="2">
        <v>101</v>
      </c>
      <c r="J26" s="2">
        <v>101</v>
      </c>
      <c r="K26" s="2">
        <v>101</v>
      </c>
      <c r="L26" s="2">
        <v>101</v>
      </c>
      <c r="M26" s="2">
        <v>101</v>
      </c>
      <c r="N26" s="2">
        <v>101</v>
      </c>
      <c r="O26" s="2">
        <v>101</v>
      </c>
      <c r="P26" s="2">
        <v>101</v>
      </c>
      <c r="Q26" s="2">
        <v>101</v>
      </c>
      <c r="R26" s="2">
        <v>101</v>
      </c>
      <c r="S26" s="2">
        <v>101</v>
      </c>
      <c r="T26" s="2">
        <v>101</v>
      </c>
      <c r="U26" s="2">
        <v>101</v>
      </c>
      <c r="V26" s="2">
        <v>101</v>
      </c>
      <c r="W26" s="2">
        <v>101</v>
      </c>
      <c r="X26" s="2">
        <v>101</v>
      </c>
      <c r="Y26" s="2">
        <v>101</v>
      </c>
      <c r="Z26" s="2">
        <v>101</v>
      </c>
      <c r="AA26" s="2">
        <v>101</v>
      </c>
      <c r="AB26" s="2">
        <v>101</v>
      </c>
      <c r="AC26" s="2">
        <v>101</v>
      </c>
      <c r="AD26" s="2">
        <v>101</v>
      </c>
      <c r="AE26" s="2">
        <v>101</v>
      </c>
      <c r="AF26" s="2">
        <v>101</v>
      </c>
      <c r="AG26" s="2">
        <v>101</v>
      </c>
      <c r="AH26" s="2"/>
      <c r="AI26" s="2"/>
      <c r="AJ26" s="2"/>
      <c r="AK26" s="2"/>
      <c r="AL26" s="2"/>
      <c r="AM26" s="2"/>
      <c r="AN26" s="2"/>
      <c r="AO26" s="2"/>
      <c r="AP26" s="2"/>
      <c r="AQ26" s="2"/>
    </row>
    <row r="27" spans="1:43" x14ac:dyDescent="0.35">
      <c r="A27" s="2">
        <v>524</v>
      </c>
      <c r="D27" s="24">
        <f t="shared" si="1"/>
        <v>0</v>
      </c>
      <c r="E27" s="24">
        <f t="shared" ca="1" si="2"/>
        <v>0</v>
      </c>
      <c r="F27" s="14"/>
      <c r="G27" s="22">
        <f t="shared" ca="1" si="3"/>
        <v>0</v>
      </c>
      <c r="H27" s="39">
        <f t="shared" si="0"/>
        <v>0</v>
      </c>
      <c r="I27" s="2">
        <v>101</v>
      </c>
      <c r="J27" s="2">
        <v>101</v>
      </c>
      <c r="K27" s="2">
        <v>101</v>
      </c>
      <c r="L27" s="2">
        <v>101</v>
      </c>
      <c r="M27" s="2">
        <v>101</v>
      </c>
      <c r="N27" s="2">
        <v>101</v>
      </c>
      <c r="O27" s="2">
        <v>101</v>
      </c>
      <c r="P27" s="2">
        <v>101</v>
      </c>
      <c r="Q27" s="2">
        <v>101</v>
      </c>
      <c r="R27" s="2">
        <v>101</v>
      </c>
      <c r="S27" s="2">
        <v>101</v>
      </c>
      <c r="T27" s="2">
        <v>101</v>
      </c>
      <c r="U27" s="2">
        <v>101</v>
      </c>
      <c r="V27" s="2">
        <v>101</v>
      </c>
      <c r="W27" s="2">
        <v>101</v>
      </c>
      <c r="X27" s="2">
        <v>101</v>
      </c>
      <c r="Y27" s="2">
        <v>101</v>
      </c>
      <c r="Z27" s="2">
        <v>101</v>
      </c>
      <c r="AA27" s="2">
        <v>101</v>
      </c>
      <c r="AB27" s="2">
        <v>101</v>
      </c>
      <c r="AC27" s="2">
        <v>101</v>
      </c>
      <c r="AD27" s="2">
        <v>101</v>
      </c>
      <c r="AE27" s="2">
        <v>101</v>
      </c>
      <c r="AF27" s="2">
        <v>101</v>
      </c>
      <c r="AG27" s="2">
        <v>101</v>
      </c>
      <c r="AH27" s="2"/>
      <c r="AI27" s="2"/>
      <c r="AJ27" s="2"/>
      <c r="AK27" s="2"/>
      <c r="AL27" s="2"/>
      <c r="AM27" s="2"/>
      <c r="AN27" s="2"/>
      <c r="AO27" s="2"/>
      <c r="AP27" s="2"/>
      <c r="AQ27" s="2"/>
    </row>
    <row r="28" spans="1:43" x14ac:dyDescent="0.35">
      <c r="A28" s="2">
        <v>525</v>
      </c>
      <c r="D28" s="24">
        <f t="shared" si="1"/>
        <v>0</v>
      </c>
      <c r="E28" s="24">
        <f t="shared" ca="1" si="2"/>
        <v>0</v>
      </c>
      <c r="F28" s="14"/>
      <c r="G28" s="22">
        <f t="shared" ca="1" si="3"/>
        <v>0</v>
      </c>
      <c r="H28" s="39">
        <f t="shared" si="0"/>
        <v>0</v>
      </c>
      <c r="I28" s="2">
        <v>101</v>
      </c>
      <c r="J28" s="2">
        <v>101</v>
      </c>
      <c r="K28" s="2">
        <v>101</v>
      </c>
      <c r="L28" s="2">
        <v>101</v>
      </c>
      <c r="M28" s="2">
        <v>101</v>
      </c>
      <c r="N28" s="2">
        <v>101</v>
      </c>
      <c r="O28" s="2">
        <v>101</v>
      </c>
      <c r="P28" s="2">
        <v>101</v>
      </c>
      <c r="Q28" s="2">
        <v>101</v>
      </c>
      <c r="R28" s="2">
        <v>101</v>
      </c>
      <c r="S28" s="2">
        <v>101</v>
      </c>
      <c r="T28" s="2">
        <v>101</v>
      </c>
      <c r="U28" s="2">
        <v>101</v>
      </c>
      <c r="V28" s="2">
        <v>101</v>
      </c>
      <c r="W28" s="2">
        <v>101</v>
      </c>
      <c r="X28" s="2">
        <v>101</v>
      </c>
      <c r="Y28" s="2">
        <v>101</v>
      </c>
      <c r="Z28" s="2">
        <v>101</v>
      </c>
      <c r="AA28" s="2">
        <v>101</v>
      </c>
      <c r="AB28" s="2">
        <v>101</v>
      </c>
      <c r="AC28" s="2">
        <v>101</v>
      </c>
      <c r="AD28" s="2">
        <v>101</v>
      </c>
      <c r="AE28" s="2">
        <v>101</v>
      </c>
      <c r="AF28" s="2">
        <v>101</v>
      </c>
      <c r="AG28" s="2">
        <v>101</v>
      </c>
      <c r="AH28" s="2"/>
      <c r="AI28" s="2"/>
      <c r="AJ28" s="2"/>
      <c r="AK28" s="2"/>
      <c r="AL28" s="2"/>
      <c r="AM28" s="2"/>
      <c r="AN28" s="2"/>
      <c r="AO28" s="2"/>
      <c r="AP28" s="2"/>
      <c r="AQ28" s="2"/>
    </row>
    <row r="29" spans="1:43" x14ac:dyDescent="0.35">
      <c r="A29" s="2">
        <v>526</v>
      </c>
      <c r="D29" s="24">
        <f t="shared" si="1"/>
        <v>0</v>
      </c>
      <c r="E29" s="24">
        <f t="shared" ca="1" si="2"/>
        <v>0</v>
      </c>
      <c r="F29" s="14"/>
      <c r="G29" s="22">
        <f t="shared" ca="1" si="3"/>
        <v>0</v>
      </c>
      <c r="H29" s="39">
        <f t="shared" si="0"/>
        <v>0</v>
      </c>
      <c r="I29" s="2">
        <v>101</v>
      </c>
      <c r="J29" s="2">
        <v>101</v>
      </c>
      <c r="K29" s="2">
        <v>101</v>
      </c>
      <c r="L29" s="2">
        <v>101</v>
      </c>
      <c r="M29" s="2">
        <v>101</v>
      </c>
      <c r="N29" s="2">
        <v>101</v>
      </c>
      <c r="O29" s="2">
        <v>101</v>
      </c>
      <c r="P29" s="2">
        <v>101</v>
      </c>
      <c r="Q29" s="2">
        <v>101</v>
      </c>
      <c r="R29" s="2">
        <v>101</v>
      </c>
      <c r="S29" s="2">
        <v>101</v>
      </c>
      <c r="T29" s="2">
        <v>101</v>
      </c>
      <c r="U29" s="2">
        <v>101</v>
      </c>
      <c r="V29" s="2">
        <v>101</v>
      </c>
      <c r="W29" s="2">
        <v>101</v>
      </c>
      <c r="X29" s="2">
        <v>101</v>
      </c>
      <c r="Y29" s="2">
        <v>101</v>
      </c>
      <c r="Z29" s="2">
        <v>101</v>
      </c>
      <c r="AA29" s="2">
        <v>101</v>
      </c>
      <c r="AB29" s="2">
        <v>101</v>
      </c>
      <c r="AC29" s="2">
        <v>101</v>
      </c>
      <c r="AD29" s="2">
        <v>101</v>
      </c>
      <c r="AE29" s="2">
        <v>101</v>
      </c>
      <c r="AF29" s="2">
        <v>101</v>
      </c>
      <c r="AG29" s="2">
        <v>101</v>
      </c>
      <c r="AH29" s="2"/>
      <c r="AI29" s="2"/>
      <c r="AJ29" s="2"/>
      <c r="AK29" s="2"/>
      <c r="AL29" s="2"/>
      <c r="AM29" s="2"/>
      <c r="AN29" s="2"/>
      <c r="AO29" s="2"/>
      <c r="AP29" s="2"/>
      <c r="AQ29" s="2"/>
    </row>
    <row r="30" spans="1:43" x14ac:dyDescent="0.35">
      <c r="A30" s="2">
        <v>527</v>
      </c>
      <c r="D30" s="24">
        <f t="shared" si="1"/>
        <v>0</v>
      </c>
      <c r="E30" s="24">
        <f t="shared" ca="1" si="2"/>
        <v>0</v>
      </c>
      <c r="F30" s="14"/>
      <c r="G30" s="22">
        <f t="shared" ca="1" si="3"/>
        <v>0</v>
      </c>
      <c r="H30" s="39">
        <f t="shared" si="0"/>
        <v>0</v>
      </c>
      <c r="I30" s="2">
        <v>101</v>
      </c>
      <c r="J30" s="2">
        <v>101</v>
      </c>
      <c r="K30" s="2">
        <v>101</v>
      </c>
      <c r="L30" s="2">
        <v>101</v>
      </c>
      <c r="M30" s="2">
        <v>101</v>
      </c>
      <c r="N30" s="2">
        <v>101</v>
      </c>
      <c r="O30" s="2">
        <v>101</v>
      </c>
      <c r="P30" s="2">
        <v>101</v>
      </c>
      <c r="Q30" s="2">
        <v>101</v>
      </c>
      <c r="R30" s="2">
        <v>101</v>
      </c>
      <c r="S30" s="2">
        <v>101</v>
      </c>
      <c r="T30" s="2">
        <v>101</v>
      </c>
      <c r="U30" s="2">
        <v>101</v>
      </c>
      <c r="V30" s="2">
        <v>101</v>
      </c>
      <c r="W30" s="2">
        <v>101</v>
      </c>
      <c r="X30" s="2">
        <v>101</v>
      </c>
      <c r="Y30" s="2">
        <v>101</v>
      </c>
      <c r="Z30" s="2">
        <v>101</v>
      </c>
      <c r="AA30" s="2">
        <v>101</v>
      </c>
      <c r="AB30" s="2">
        <v>101</v>
      </c>
      <c r="AC30" s="2">
        <v>101</v>
      </c>
      <c r="AD30" s="2">
        <v>101</v>
      </c>
      <c r="AE30" s="2">
        <v>101</v>
      </c>
      <c r="AF30" s="2">
        <v>101</v>
      </c>
      <c r="AG30" s="2">
        <v>101</v>
      </c>
      <c r="AH30" s="2"/>
      <c r="AI30" s="2"/>
      <c r="AJ30" s="2"/>
      <c r="AK30" s="2"/>
      <c r="AL30" s="2"/>
      <c r="AM30" s="2"/>
      <c r="AN30" s="2"/>
      <c r="AO30" s="2"/>
      <c r="AP30" s="2"/>
      <c r="AQ30" s="2"/>
    </row>
    <row r="31" spans="1:43" x14ac:dyDescent="0.35">
      <c r="A31" s="2">
        <v>528</v>
      </c>
      <c r="D31" s="24">
        <f t="shared" si="1"/>
        <v>0</v>
      </c>
      <c r="E31" s="24">
        <f t="shared" ca="1" si="2"/>
        <v>0</v>
      </c>
      <c r="F31" s="14"/>
      <c r="G31" s="22">
        <f t="shared" ca="1" si="3"/>
        <v>0</v>
      </c>
      <c r="H31" s="39">
        <f t="shared" si="0"/>
        <v>0</v>
      </c>
      <c r="I31" s="2">
        <v>101</v>
      </c>
      <c r="J31" s="2">
        <v>101</v>
      </c>
      <c r="K31" s="2">
        <v>101</v>
      </c>
      <c r="L31" s="2">
        <v>101</v>
      </c>
      <c r="M31" s="2">
        <v>101</v>
      </c>
      <c r="N31" s="2">
        <v>101</v>
      </c>
      <c r="O31" s="2">
        <v>101</v>
      </c>
      <c r="P31" s="2">
        <v>101</v>
      </c>
      <c r="Q31" s="2">
        <v>101</v>
      </c>
      <c r="R31" s="2">
        <v>101</v>
      </c>
      <c r="S31" s="2">
        <v>101</v>
      </c>
      <c r="T31" s="2">
        <v>101</v>
      </c>
      <c r="U31" s="2">
        <v>101</v>
      </c>
      <c r="V31" s="2">
        <v>101</v>
      </c>
      <c r="W31" s="2">
        <v>101</v>
      </c>
      <c r="X31" s="2">
        <v>101</v>
      </c>
      <c r="Y31" s="2">
        <v>101</v>
      </c>
      <c r="Z31" s="2">
        <v>101</v>
      </c>
      <c r="AA31" s="2">
        <v>101</v>
      </c>
      <c r="AB31" s="2">
        <v>101</v>
      </c>
      <c r="AC31" s="2">
        <v>101</v>
      </c>
      <c r="AD31" s="2">
        <v>101</v>
      </c>
      <c r="AE31" s="2">
        <v>101</v>
      </c>
      <c r="AF31" s="2">
        <v>101</v>
      </c>
      <c r="AG31" s="2">
        <v>101</v>
      </c>
      <c r="AH31" s="2"/>
      <c r="AI31" s="2"/>
      <c r="AJ31" s="2"/>
      <c r="AK31" s="2"/>
      <c r="AL31" s="2"/>
      <c r="AM31" s="2"/>
      <c r="AN31" s="2"/>
      <c r="AO31" s="2"/>
      <c r="AP31" s="2"/>
      <c r="AQ31" s="2"/>
    </row>
    <row r="32" spans="1:43" x14ac:dyDescent="0.35">
      <c r="A32" s="2">
        <v>529</v>
      </c>
      <c r="D32" s="24">
        <f t="shared" si="1"/>
        <v>0</v>
      </c>
      <c r="E32" s="24">
        <f t="shared" ca="1" si="2"/>
        <v>0</v>
      </c>
      <c r="F32" s="14"/>
      <c r="G32" s="22">
        <f t="shared" ca="1" si="3"/>
        <v>0</v>
      </c>
      <c r="H32" s="39">
        <f t="shared" si="0"/>
        <v>0</v>
      </c>
      <c r="I32" s="2">
        <v>101</v>
      </c>
      <c r="J32" s="2">
        <v>101</v>
      </c>
      <c r="K32" s="2">
        <v>101</v>
      </c>
      <c r="L32" s="2">
        <v>101</v>
      </c>
      <c r="M32" s="2">
        <v>101</v>
      </c>
      <c r="N32" s="2">
        <v>101</v>
      </c>
      <c r="O32" s="2">
        <v>101</v>
      </c>
      <c r="P32" s="2">
        <v>101</v>
      </c>
      <c r="Q32" s="2">
        <v>101</v>
      </c>
      <c r="R32" s="2">
        <v>101</v>
      </c>
      <c r="S32" s="2">
        <v>101</v>
      </c>
      <c r="T32" s="2">
        <v>101</v>
      </c>
      <c r="U32" s="2">
        <v>101</v>
      </c>
      <c r="V32" s="2">
        <v>101</v>
      </c>
      <c r="W32" s="2">
        <v>101</v>
      </c>
      <c r="X32" s="2">
        <v>101</v>
      </c>
      <c r="Y32" s="2">
        <v>101</v>
      </c>
      <c r="Z32" s="2">
        <v>101</v>
      </c>
      <c r="AA32" s="2">
        <v>101</v>
      </c>
      <c r="AB32" s="2">
        <v>101</v>
      </c>
      <c r="AC32" s="2">
        <v>101</v>
      </c>
      <c r="AD32" s="2">
        <v>101</v>
      </c>
      <c r="AE32" s="2">
        <v>101</v>
      </c>
      <c r="AF32" s="2">
        <v>101</v>
      </c>
      <c r="AG32" s="2">
        <v>101</v>
      </c>
      <c r="AH32" s="2"/>
      <c r="AI32" s="2"/>
      <c r="AJ32" s="2"/>
      <c r="AK32" s="2"/>
      <c r="AL32" s="2"/>
      <c r="AM32" s="2"/>
      <c r="AN32" s="2"/>
      <c r="AO32" s="2"/>
      <c r="AP32" s="2"/>
      <c r="AQ32" s="2"/>
    </row>
    <row r="33" spans="1:43" x14ac:dyDescent="0.35">
      <c r="A33" s="2">
        <v>530</v>
      </c>
      <c r="D33" s="24">
        <f t="shared" si="1"/>
        <v>0</v>
      </c>
      <c r="E33" s="24">
        <f t="shared" ca="1" si="2"/>
        <v>0</v>
      </c>
      <c r="F33" s="14"/>
      <c r="G33" s="22">
        <f t="shared" ca="1" si="3"/>
        <v>0</v>
      </c>
      <c r="H33" s="39">
        <f t="shared" si="0"/>
        <v>0</v>
      </c>
      <c r="I33" s="2">
        <v>101</v>
      </c>
      <c r="J33" s="2">
        <v>101</v>
      </c>
      <c r="K33" s="2">
        <v>101</v>
      </c>
      <c r="L33" s="2">
        <v>101</v>
      </c>
      <c r="M33" s="2">
        <v>101</v>
      </c>
      <c r="N33" s="2">
        <v>101</v>
      </c>
      <c r="O33" s="2">
        <v>101</v>
      </c>
      <c r="P33" s="2">
        <v>101</v>
      </c>
      <c r="Q33" s="2">
        <v>101</v>
      </c>
      <c r="R33" s="2">
        <v>101</v>
      </c>
      <c r="S33" s="2">
        <v>101</v>
      </c>
      <c r="T33" s="2">
        <v>101</v>
      </c>
      <c r="U33" s="2">
        <v>101</v>
      </c>
      <c r="V33" s="2">
        <v>101</v>
      </c>
      <c r="W33" s="2">
        <v>101</v>
      </c>
      <c r="X33" s="2">
        <v>101</v>
      </c>
      <c r="Y33" s="2">
        <v>101</v>
      </c>
      <c r="Z33" s="2">
        <v>101</v>
      </c>
      <c r="AA33" s="2">
        <v>101</v>
      </c>
      <c r="AB33" s="2">
        <v>101</v>
      </c>
      <c r="AC33" s="2">
        <v>101</v>
      </c>
      <c r="AD33" s="2">
        <v>101</v>
      </c>
      <c r="AE33" s="2">
        <v>101</v>
      </c>
      <c r="AF33" s="2">
        <v>101</v>
      </c>
      <c r="AG33" s="2">
        <v>101</v>
      </c>
      <c r="AH33" s="2"/>
      <c r="AI33" s="2"/>
      <c r="AJ33" s="2"/>
      <c r="AK33" s="2"/>
      <c r="AL33" s="2"/>
      <c r="AM33" s="2"/>
      <c r="AN33" s="2"/>
      <c r="AO33" s="2"/>
      <c r="AP33" s="2"/>
      <c r="AQ33" s="2"/>
    </row>
    <row r="34" spans="1:43" x14ac:dyDescent="0.35">
      <c r="A34" s="2">
        <v>531</v>
      </c>
      <c r="D34" s="24">
        <f t="shared" si="1"/>
        <v>0</v>
      </c>
      <c r="E34" s="24">
        <f t="shared" ca="1" si="2"/>
        <v>0</v>
      </c>
      <c r="F34" s="14"/>
      <c r="G34" s="22">
        <f t="shared" ca="1" si="3"/>
        <v>0</v>
      </c>
      <c r="H34" s="39">
        <f t="shared" si="0"/>
        <v>0</v>
      </c>
      <c r="I34" s="2">
        <v>101</v>
      </c>
      <c r="J34" s="2">
        <v>101</v>
      </c>
      <c r="K34" s="2">
        <v>101</v>
      </c>
      <c r="L34" s="2">
        <v>101</v>
      </c>
      <c r="M34" s="2">
        <v>101</v>
      </c>
      <c r="N34" s="2">
        <v>101</v>
      </c>
      <c r="O34" s="2">
        <v>101</v>
      </c>
      <c r="P34" s="2">
        <v>101</v>
      </c>
      <c r="Q34" s="2">
        <v>101</v>
      </c>
      <c r="R34" s="2">
        <v>101</v>
      </c>
      <c r="S34" s="2">
        <v>101</v>
      </c>
      <c r="T34" s="2">
        <v>101</v>
      </c>
      <c r="U34" s="2">
        <v>101</v>
      </c>
      <c r="V34" s="2">
        <v>101</v>
      </c>
      <c r="W34" s="2">
        <v>101</v>
      </c>
      <c r="X34" s="2">
        <v>101</v>
      </c>
      <c r="Y34" s="2">
        <v>101</v>
      </c>
      <c r="Z34" s="2">
        <v>101</v>
      </c>
      <c r="AA34" s="2">
        <v>101</v>
      </c>
      <c r="AB34" s="2">
        <v>101</v>
      </c>
      <c r="AC34" s="2">
        <v>101</v>
      </c>
      <c r="AD34" s="2">
        <v>101</v>
      </c>
      <c r="AE34" s="2">
        <v>101</v>
      </c>
      <c r="AF34" s="2">
        <v>101</v>
      </c>
      <c r="AG34" s="2">
        <v>101</v>
      </c>
      <c r="AH34" s="2"/>
      <c r="AI34" s="2"/>
      <c r="AJ34" s="2"/>
      <c r="AK34" s="2"/>
      <c r="AL34" s="2"/>
      <c r="AM34" s="2"/>
      <c r="AN34" s="2"/>
      <c r="AO34" s="2"/>
      <c r="AP34" s="2"/>
      <c r="AQ34" s="2"/>
    </row>
    <row r="35" spans="1:43" x14ac:dyDescent="0.35">
      <c r="A35" s="2">
        <v>532</v>
      </c>
      <c r="D35" s="24">
        <f t="shared" si="1"/>
        <v>0</v>
      </c>
      <c r="E35" s="24">
        <f t="shared" ca="1" si="2"/>
        <v>0</v>
      </c>
      <c r="F35" s="14"/>
      <c r="G35" s="22">
        <f t="shared" ca="1" si="3"/>
        <v>0</v>
      </c>
      <c r="H35" s="39">
        <f t="shared" si="0"/>
        <v>0</v>
      </c>
      <c r="I35" s="2">
        <v>101</v>
      </c>
      <c r="J35" s="2">
        <v>101</v>
      </c>
      <c r="K35" s="2">
        <v>101</v>
      </c>
      <c r="L35" s="2">
        <v>101</v>
      </c>
      <c r="M35" s="2">
        <v>101</v>
      </c>
      <c r="N35" s="2">
        <v>101</v>
      </c>
      <c r="O35" s="2">
        <v>101</v>
      </c>
      <c r="P35" s="2">
        <v>101</v>
      </c>
      <c r="Q35" s="2">
        <v>101</v>
      </c>
      <c r="R35" s="2">
        <v>101</v>
      </c>
      <c r="S35" s="2">
        <v>101</v>
      </c>
      <c r="T35" s="2">
        <v>101</v>
      </c>
      <c r="U35" s="2">
        <v>101</v>
      </c>
      <c r="V35" s="2">
        <v>101</v>
      </c>
      <c r="W35" s="2">
        <v>101</v>
      </c>
      <c r="X35" s="2">
        <v>101</v>
      </c>
      <c r="Y35" s="2">
        <v>101</v>
      </c>
      <c r="Z35" s="2">
        <v>101</v>
      </c>
      <c r="AA35" s="2">
        <v>101</v>
      </c>
      <c r="AB35" s="2">
        <v>101</v>
      </c>
      <c r="AC35" s="2">
        <v>101</v>
      </c>
      <c r="AD35" s="2">
        <v>101</v>
      </c>
      <c r="AE35" s="2">
        <v>101</v>
      </c>
      <c r="AF35" s="2">
        <v>101</v>
      </c>
      <c r="AG35" s="2">
        <v>101</v>
      </c>
      <c r="AH35" s="2"/>
      <c r="AI35" s="2"/>
      <c r="AJ35" s="2"/>
      <c r="AK35" s="2"/>
      <c r="AL35" s="2"/>
      <c r="AM35" s="2"/>
      <c r="AN35" s="2"/>
      <c r="AO35" s="2"/>
      <c r="AP35" s="2"/>
      <c r="AQ35" s="2"/>
    </row>
    <row r="36" spans="1:43" x14ac:dyDescent="0.35">
      <c r="A36" s="2">
        <v>533</v>
      </c>
      <c r="D36" s="24">
        <f t="shared" si="1"/>
        <v>0</v>
      </c>
      <c r="E36" s="24">
        <f t="shared" ca="1" si="2"/>
        <v>0</v>
      </c>
      <c r="F36" s="14"/>
      <c r="G36" s="22">
        <f t="shared" ca="1" si="3"/>
        <v>0</v>
      </c>
      <c r="H36" s="39">
        <f t="shared" si="0"/>
        <v>0</v>
      </c>
      <c r="I36" s="2">
        <v>101</v>
      </c>
      <c r="J36" s="2">
        <v>101</v>
      </c>
      <c r="K36" s="2">
        <v>101</v>
      </c>
      <c r="L36" s="2">
        <v>101</v>
      </c>
      <c r="M36" s="2">
        <v>101</v>
      </c>
      <c r="N36" s="2">
        <v>101</v>
      </c>
      <c r="O36" s="2">
        <v>101</v>
      </c>
      <c r="P36" s="2">
        <v>101</v>
      </c>
      <c r="Q36" s="2">
        <v>101</v>
      </c>
      <c r="R36" s="2">
        <v>101</v>
      </c>
      <c r="S36" s="2">
        <v>101</v>
      </c>
      <c r="T36" s="2">
        <v>101</v>
      </c>
      <c r="U36" s="2">
        <v>101</v>
      </c>
      <c r="V36" s="2">
        <v>101</v>
      </c>
      <c r="W36" s="2">
        <v>101</v>
      </c>
      <c r="X36" s="2">
        <v>101</v>
      </c>
      <c r="Y36" s="2">
        <v>101</v>
      </c>
      <c r="Z36" s="2">
        <v>101</v>
      </c>
      <c r="AA36" s="2">
        <v>101</v>
      </c>
      <c r="AB36" s="2">
        <v>101</v>
      </c>
      <c r="AC36" s="2">
        <v>101</v>
      </c>
      <c r="AD36" s="2">
        <v>101</v>
      </c>
      <c r="AE36" s="2">
        <v>101</v>
      </c>
      <c r="AF36" s="2">
        <v>101</v>
      </c>
      <c r="AG36" s="2">
        <v>101</v>
      </c>
      <c r="AH36" s="2"/>
      <c r="AI36" s="2"/>
      <c r="AJ36" s="2"/>
      <c r="AK36" s="2"/>
      <c r="AL36" s="2"/>
      <c r="AM36" s="2"/>
      <c r="AN36" s="2"/>
      <c r="AO36" s="2"/>
      <c r="AP36" s="2"/>
      <c r="AQ36" s="2"/>
    </row>
    <row r="37" spans="1:43" x14ac:dyDescent="0.35">
      <c r="A37" s="2">
        <v>534</v>
      </c>
      <c r="D37" s="24">
        <f t="shared" si="1"/>
        <v>0</v>
      </c>
      <c r="E37" s="24">
        <f t="shared" ca="1" si="2"/>
        <v>0</v>
      </c>
      <c r="F37" s="14"/>
      <c r="G37" s="22">
        <f t="shared" ca="1" si="3"/>
        <v>0</v>
      </c>
      <c r="H37" s="39">
        <f t="shared" si="0"/>
        <v>0</v>
      </c>
      <c r="I37" s="2">
        <v>101</v>
      </c>
      <c r="J37" s="2">
        <v>101</v>
      </c>
      <c r="K37" s="2">
        <v>101</v>
      </c>
      <c r="L37" s="2">
        <v>101</v>
      </c>
      <c r="M37" s="2">
        <v>101</v>
      </c>
      <c r="N37" s="2">
        <v>101</v>
      </c>
      <c r="O37" s="2">
        <v>101</v>
      </c>
      <c r="P37" s="2">
        <v>101</v>
      </c>
      <c r="Q37" s="2">
        <v>101</v>
      </c>
      <c r="R37" s="2">
        <v>101</v>
      </c>
      <c r="S37" s="2">
        <v>101</v>
      </c>
      <c r="T37" s="2">
        <v>101</v>
      </c>
      <c r="U37" s="2">
        <v>101</v>
      </c>
      <c r="V37" s="2">
        <v>101</v>
      </c>
      <c r="W37" s="2">
        <v>101</v>
      </c>
      <c r="X37" s="2">
        <v>101</v>
      </c>
      <c r="Y37" s="2">
        <v>101</v>
      </c>
      <c r="Z37" s="2">
        <v>101</v>
      </c>
      <c r="AA37" s="2">
        <v>101</v>
      </c>
      <c r="AB37" s="2">
        <v>101</v>
      </c>
      <c r="AC37" s="2">
        <v>101</v>
      </c>
      <c r="AD37" s="2">
        <v>101</v>
      </c>
      <c r="AE37" s="2">
        <v>101</v>
      </c>
      <c r="AF37" s="2">
        <v>101</v>
      </c>
      <c r="AG37" s="2">
        <v>101</v>
      </c>
      <c r="AH37" s="2"/>
      <c r="AI37" s="2"/>
      <c r="AJ37" s="2"/>
      <c r="AK37" s="2"/>
      <c r="AL37" s="2"/>
      <c r="AM37" s="2"/>
      <c r="AN37" s="2"/>
      <c r="AO37" s="2"/>
      <c r="AP37" s="2"/>
      <c r="AQ37" s="2"/>
    </row>
    <row r="38" spans="1:43" x14ac:dyDescent="0.35">
      <c r="A38" s="2">
        <v>535</v>
      </c>
      <c r="D38" s="24">
        <f t="shared" si="1"/>
        <v>0</v>
      </c>
      <c r="E38" s="24">
        <f t="shared" ca="1" si="2"/>
        <v>0</v>
      </c>
      <c r="F38" s="14"/>
      <c r="G38" s="22">
        <f t="shared" ca="1" si="3"/>
        <v>0</v>
      </c>
      <c r="H38" s="39">
        <f t="shared" si="0"/>
        <v>0</v>
      </c>
      <c r="I38" s="2">
        <v>101</v>
      </c>
      <c r="J38" s="2">
        <v>101</v>
      </c>
      <c r="K38" s="2">
        <v>101</v>
      </c>
      <c r="L38" s="2">
        <v>101</v>
      </c>
      <c r="M38" s="2">
        <v>101</v>
      </c>
      <c r="N38" s="2">
        <v>101</v>
      </c>
      <c r="O38" s="2">
        <v>101</v>
      </c>
      <c r="P38" s="2">
        <v>101</v>
      </c>
      <c r="Q38" s="2">
        <v>101</v>
      </c>
      <c r="R38" s="2">
        <v>101</v>
      </c>
      <c r="S38" s="2">
        <v>101</v>
      </c>
      <c r="T38" s="2">
        <v>101</v>
      </c>
      <c r="U38" s="2">
        <v>101</v>
      </c>
      <c r="V38" s="2">
        <v>101</v>
      </c>
      <c r="W38" s="2">
        <v>101</v>
      </c>
      <c r="X38" s="2">
        <v>101</v>
      </c>
      <c r="Y38" s="2">
        <v>101</v>
      </c>
      <c r="Z38" s="2">
        <v>101</v>
      </c>
      <c r="AA38" s="2">
        <v>101</v>
      </c>
      <c r="AB38" s="2">
        <v>101</v>
      </c>
      <c r="AC38" s="2">
        <v>101</v>
      </c>
      <c r="AD38" s="2">
        <v>101</v>
      </c>
      <c r="AE38" s="2">
        <v>101</v>
      </c>
      <c r="AF38" s="2">
        <v>101</v>
      </c>
      <c r="AG38" s="2">
        <v>101</v>
      </c>
      <c r="AH38" s="2"/>
      <c r="AI38" s="2"/>
      <c r="AJ38" s="2"/>
      <c r="AK38" s="2"/>
      <c r="AL38" s="2"/>
      <c r="AM38" s="2"/>
      <c r="AN38" s="2"/>
      <c r="AO38" s="2"/>
      <c r="AP38" s="2"/>
      <c r="AQ38" s="2"/>
    </row>
    <row r="39" spans="1:43" x14ac:dyDescent="0.35">
      <c r="A39" s="2">
        <v>536</v>
      </c>
      <c r="D39" s="24">
        <f t="shared" si="1"/>
        <v>0</v>
      </c>
      <c r="E39" s="24">
        <f t="shared" ca="1" si="2"/>
        <v>0</v>
      </c>
      <c r="F39" s="14"/>
      <c r="G39" s="22">
        <f t="shared" ca="1" si="3"/>
        <v>0</v>
      </c>
      <c r="H39" s="39">
        <f t="shared" si="0"/>
        <v>0</v>
      </c>
      <c r="I39" s="2">
        <v>101</v>
      </c>
      <c r="J39" s="2">
        <v>101</v>
      </c>
      <c r="K39" s="2">
        <v>101</v>
      </c>
      <c r="L39" s="2">
        <v>101</v>
      </c>
      <c r="M39" s="2">
        <v>101</v>
      </c>
      <c r="N39" s="2">
        <v>101</v>
      </c>
      <c r="O39" s="2">
        <v>101</v>
      </c>
      <c r="P39" s="2">
        <v>101</v>
      </c>
      <c r="Q39" s="2">
        <v>101</v>
      </c>
      <c r="R39" s="2">
        <v>101</v>
      </c>
      <c r="S39" s="2">
        <v>101</v>
      </c>
      <c r="T39" s="2">
        <v>101</v>
      </c>
      <c r="U39" s="2">
        <v>101</v>
      </c>
      <c r="V39" s="2">
        <v>101</v>
      </c>
      <c r="W39" s="2">
        <v>101</v>
      </c>
      <c r="X39" s="2">
        <v>101</v>
      </c>
      <c r="Y39" s="2">
        <v>101</v>
      </c>
      <c r="Z39" s="2">
        <v>101</v>
      </c>
      <c r="AA39" s="2">
        <v>101</v>
      </c>
      <c r="AB39" s="2">
        <v>101</v>
      </c>
      <c r="AC39" s="2">
        <v>101</v>
      </c>
      <c r="AD39" s="2">
        <v>101</v>
      </c>
      <c r="AE39" s="2">
        <v>101</v>
      </c>
      <c r="AF39" s="2">
        <v>101</v>
      </c>
      <c r="AG39" s="2">
        <v>101</v>
      </c>
      <c r="AH39" s="2"/>
      <c r="AI39" s="2"/>
      <c r="AJ39" s="2"/>
      <c r="AK39" s="2"/>
      <c r="AL39" s="2"/>
      <c r="AM39" s="2"/>
      <c r="AN39" s="2"/>
      <c r="AO39" s="2"/>
      <c r="AP39" s="2"/>
      <c r="AQ39" s="2"/>
    </row>
    <row r="40" spans="1:43" x14ac:dyDescent="0.35">
      <c r="A40" s="2">
        <v>537</v>
      </c>
      <c r="D40" s="24">
        <f t="shared" si="1"/>
        <v>0</v>
      </c>
      <c r="E40" s="24">
        <f t="shared" ca="1" si="2"/>
        <v>0</v>
      </c>
      <c r="F40" s="14"/>
      <c r="G40" s="22">
        <f t="shared" ca="1" si="3"/>
        <v>0</v>
      </c>
      <c r="H40" s="39">
        <f t="shared" si="0"/>
        <v>0</v>
      </c>
      <c r="I40" s="2">
        <v>101</v>
      </c>
      <c r="J40" s="2">
        <v>101</v>
      </c>
      <c r="K40" s="2">
        <v>101</v>
      </c>
      <c r="L40" s="2">
        <v>101</v>
      </c>
      <c r="M40" s="2">
        <v>101</v>
      </c>
      <c r="N40" s="2">
        <v>101</v>
      </c>
      <c r="O40" s="2">
        <v>101</v>
      </c>
      <c r="P40" s="2">
        <v>101</v>
      </c>
      <c r="Q40" s="2">
        <v>101</v>
      </c>
      <c r="R40" s="2">
        <v>101</v>
      </c>
      <c r="S40" s="2">
        <v>101</v>
      </c>
      <c r="T40" s="2">
        <v>101</v>
      </c>
      <c r="U40" s="2">
        <v>101</v>
      </c>
      <c r="V40" s="2">
        <v>101</v>
      </c>
      <c r="W40" s="2">
        <v>101</v>
      </c>
      <c r="X40" s="2">
        <v>101</v>
      </c>
      <c r="Y40" s="2">
        <v>101</v>
      </c>
      <c r="Z40" s="2">
        <v>101</v>
      </c>
      <c r="AA40" s="2">
        <v>101</v>
      </c>
      <c r="AB40" s="2">
        <v>101</v>
      </c>
      <c r="AC40" s="2">
        <v>101</v>
      </c>
      <c r="AD40" s="2">
        <v>101</v>
      </c>
      <c r="AE40" s="2">
        <v>101</v>
      </c>
      <c r="AF40" s="2">
        <v>101</v>
      </c>
      <c r="AG40" s="2">
        <v>101</v>
      </c>
      <c r="AH40" s="2"/>
      <c r="AI40" s="2"/>
      <c r="AJ40" s="2"/>
      <c r="AK40" s="2"/>
      <c r="AL40" s="2"/>
      <c r="AM40" s="2"/>
      <c r="AN40" s="2"/>
      <c r="AO40" s="2"/>
      <c r="AP40" s="2"/>
      <c r="AQ40" s="2"/>
    </row>
    <row r="41" spans="1:43" x14ac:dyDescent="0.35">
      <c r="A41" s="2">
        <v>538</v>
      </c>
      <c r="D41" s="24">
        <f t="shared" si="1"/>
        <v>0</v>
      </c>
      <c r="E41" s="24">
        <f t="shared" ca="1" si="2"/>
        <v>0</v>
      </c>
      <c r="F41" s="14"/>
      <c r="G41" s="22">
        <f t="shared" ca="1" si="3"/>
        <v>0</v>
      </c>
      <c r="H41" s="39">
        <f t="shared" si="0"/>
        <v>0</v>
      </c>
      <c r="I41" s="2">
        <v>101</v>
      </c>
      <c r="J41" s="2">
        <v>101</v>
      </c>
      <c r="K41" s="2">
        <v>101</v>
      </c>
      <c r="L41" s="2">
        <v>101</v>
      </c>
      <c r="M41" s="2">
        <v>101</v>
      </c>
      <c r="N41" s="2">
        <v>101</v>
      </c>
      <c r="O41" s="2">
        <v>101</v>
      </c>
      <c r="P41" s="2">
        <v>101</v>
      </c>
      <c r="Q41" s="2">
        <v>101</v>
      </c>
      <c r="R41" s="2">
        <v>101</v>
      </c>
      <c r="S41" s="2">
        <v>101</v>
      </c>
      <c r="T41" s="2">
        <v>101</v>
      </c>
      <c r="U41" s="2">
        <v>101</v>
      </c>
      <c r="V41" s="2">
        <v>101</v>
      </c>
      <c r="W41" s="2">
        <v>101</v>
      </c>
      <c r="X41" s="2">
        <v>101</v>
      </c>
      <c r="Y41" s="2">
        <v>101</v>
      </c>
      <c r="Z41" s="2">
        <v>101</v>
      </c>
      <c r="AA41" s="2">
        <v>101</v>
      </c>
      <c r="AB41" s="2">
        <v>101</v>
      </c>
      <c r="AC41" s="2">
        <v>101</v>
      </c>
      <c r="AD41" s="2">
        <v>101</v>
      </c>
      <c r="AE41" s="2">
        <v>101</v>
      </c>
      <c r="AF41" s="2">
        <v>101</v>
      </c>
      <c r="AG41" s="2">
        <v>101</v>
      </c>
      <c r="AH41" s="2"/>
      <c r="AI41" s="2"/>
      <c r="AJ41" s="2"/>
      <c r="AK41" s="2"/>
      <c r="AL41" s="2"/>
      <c r="AM41" s="2"/>
      <c r="AN41" s="2"/>
      <c r="AO41" s="2"/>
      <c r="AP41" s="2"/>
      <c r="AQ41" s="2"/>
    </row>
    <row r="42" spans="1:43" x14ac:dyDescent="0.35">
      <c r="A42" s="2">
        <v>539</v>
      </c>
      <c r="D42" s="24">
        <f t="shared" si="1"/>
        <v>0</v>
      </c>
      <c r="E42" s="24">
        <f t="shared" ca="1" si="2"/>
        <v>0</v>
      </c>
      <c r="F42" s="14"/>
      <c r="G42" s="22">
        <f t="shared" ca="1" si="3"/>
        <v>0</v>
      </c>
      <c r="H42" s="39">
        <f t="shared" si="0"/>
        <v>0</v>
      </c>
      <c r="I42" s="2">
        <v>101</v>
      </c>
      <c r="J42" s="2">
        <v>101</v>
      </c>
      <c r="K42" s="2">
        <v>101</v>
      </c>
      <c r="L42" s="2">
        <v>101</v>
      </c>
      <c r="M42" s="2">
        <v>101</v>
      </c>
      <c r="N42" s="2">
        <v>101</v>
      </c>
      <c r="O42" s="2">
        <v>101</v>
      </c>
      <c r="P42" s="2">
        <v>101</v>
      </c>
      <c r="Q42" s="2">
        <v>101</v>
      </c>
      <c r="R42" s="2">
        <v>101</v>
      </c>
      <c r="S42" s="2">
        <v>101</v>
      </c>
      <c r="T42" s="2">
        <v>101</v>
      </c>
      <c r="U42" s="2">
        <v>101</v>
      </c>
      <c r="V42" s="2">
        <v>101</v>
      </c>
      <c r="W42" s="2">
        <v>101</v>
      </c>
      <c r="X42" s="2">
        <v>101</v>
      </c>
      <c r="Y42" s="2">
        <v>101</v>
      </c>
      <c r="Z42" s="2">
        <v>101</v>
      </c>
      <c r="AA42" s="2">
        <v>101</v>
      </c>
      <c r="AB42" s="2">
        <v>101</v>
      </c>
      <c r="AC42" s="2">
        <v>101</v>
      </c>
      <c r="AD42" s="2">
        <v>101</v>
      </c>
      <c r="AE42" s="2">
        <v>101</v>
      </c>
      <c r="AF42" s="2">
        <v>101</v>
      </c>
      <c r="AG42" s="2">
        <v>101</v>
      </c>
      <c r="AH42" s="2"/>
      <c r="AI42" s="2"/>
      <c r="AJ42" s="2"/>
      <c r="AK42" s="2"/>
      <c r="AL42" s="2"/>
      <c r="AM42" s="2"/>
      <c r="AN42" s="2"/>
      <c r="AO42" s="2"/>
      <c r="AP42" s="2"/>
      <c r="AQ42" s="2"/>
    </row>
    <row r="43" spans="1:43" x14ac:dyDescent="0.35">
      <c r="A43" s="2">
        <v>540</v>
      </c>
      <c r="D43" s="24">
        <f t="shared" si="1"/>
        <v>0</v>
      </c>
      <c r="E43" s="24">
        <f t="shared" ca="1" si="2"/>
        <v>0</v>
      </c>
      <c r="F43" s="14"/>
      <c r="G43" s="22">
        <f t="shared" ca="1" si="3"/>
        <v>0</v>
      </c>
      <c r="H43" s="39">
        <f t="shared" si="0"/>
        <v>0</v>
      </c>
      <c r="I43" s="2">
        <v>101</v>
      </c>
      <c r="J43" s="2">
        <v>101</v>
      </c>
      <c r="K43" s="2">
        <v>101</v>
      </c>
      <c r="L43" s="2">
        <v>101</v>
      </c>
      <c r="M43" s="2">
        <v>101</v>
      </c>
      <c r="N43" s="2">
        <v>101</v>
      </c>
      <c r="O43" s="2">
        <v>101</v>
      </c>
      <c r="P43" s="2">
        <v>101</v>
      </c>
      <c r="Q43" s="2">
        <v>101</v>
      </c>
      <c r="R43" s="2">
        <v>101</v>
      </c>
      <c r="S43" s="2">
        <v>101</v>
      </c>
      <c r="T43" s="2">
        <v>101</v>
      </c>
      <c r="U43" s="2">
        <v>101</v>
      </c>
      <c r="V43" s="2">
        <v>101</v>
      </c>
      <c r="W43" s="2">
        <v>101</v>
      </c>
      <c r="X43" s="2">
        <v>101</v>
      </c>
      <c r="Y43" s="2">
        <v>101</v>
      </c>
      <c r="Z43" s="2">
        <v>101</v>
      </c>
      <c r="AA43" s="2">
        <v>101</v>
      </c>
      <c r="AB43" s="2">
        <v>101</v>
      </c>
      <c r="AC43" s="2">
        <v>101</v>
      </c>
      <c r="AD43" s="2">
        <v>101</v>
      </c>
      <c r="AE43" s="2">
        <v>101</v>
      </c>
      <c r="AF43" s="2">
        <v>101</v>
      </c>
      <c r="AG43" s="2">
        <v>101</v>
      </c>
      <c r="AH43" s="2"/>
      <c r="AI43" s="2"/>
      <c r="AJ43" s="2"/>
      <c r="AK43" s="2"/>
      <c r="AL43" s="2"/>
      <c r="AM43" s="2"/>
      <c r="AN43" s="2"/>
      <c r="AO43" s="2"/>
      <c r="AP43" s="2"/>
      <c r="AQ43" s="2"/>
    </row>
    <row r="44" spans="1:43" x14ac:dyDescent="0.35">
      <c r="A44" s="2">
        <v>541</v>
      </c>
      <c r="D44" s="24">
        <f t="shared" si="1"/>
        <v>0</v>
      </c>
      <c r="E44" s="24">
        <f t="shared" ca="1" si="2"/>
        <v>0</v>
      </c>
      <c r="F44" s="14"/>
      <c r="G44" s="22">
        <f t="shared" ca="1" si="3"/>
        <v>0</v>
      </c>
      <c r="H44" s="39">
        <f t="shared" si="0"/>
        <v>0</v>
      </c>
      <c r="I44" s="2">
        <v>101</v>
      </c>
      <c r="J44" s="2">
        <v>101</v>
      </c>
      <c r="K44" s="2">
        <v>101</v>
      </c>
      <c r="L44" s="2">
        <v>101</v>
      </c>
      <c r="M44" s="2">
        <v>101</v>
      </c>
      <c r="N44" s="2">
        <v>101</v>
      </c>
      <c r="O44" s="2">
        <v>101</v>
      </c>
      <c r="P44" s="2">
        <v>101</v>
      </c>
      <c r="Q44" s="2">
        <v>101</v>
      </c>
      <c r="R44" s="2">
        <v>101</v>
      </c>
      <c r="S44" s="2">
        <v>101</v>
      </c>
      <c r="T44" s="2">
        <v>101</v>
      </c>
      <c r="U44" s="2">
        <v>101</v>
      </c>
      <c r="V44" s="2">
        <v>101</v>
      </c>
      <c r="W44" s="2">
        <v>101</v>
      </c>
      <c r="X44" s="2">
        <v>101</v>
      </c>
      <c r="Y44" s="2">
        <v>101</v>
      </c>
      <c r="Z44" s="2">
        <v>101</v>
      </c>
      <c r="AA44" s="2">
        <v>101</v>
      </c>
      <c r="AB44" s="2">
        <v>101</v>
      </c>
      <c r="AC44" s="2">
        <v>101</v>
      </c>
      <c r="AD44" s="2">
        <v>101</v>
      </c>
      <c r="AE44" s="2">
        <v>101</v>
      </c>
      <c r="AF44" s="2">
        <v>101</v>
      </c>
      <c r="AG44" s="2">
        <v>101</v>
      </c>
      <c r="AH44" s="2"/>
      <c r="AI44" s="2"/>
      <c r="AJ44" s="2"/>
      <c r="AK44" s="2"/>
      <c r="AL44" s="2"/>
      <c r="AM44" s="2"/>
      <c r="AN44" s="2"/>
      <c r="AO44" s="2"/>
      <c r="AP44" s="2"/>
      <c r="AQ44" s="2"/>
    </row>
    <row r="45" spans="1:43" x14ac:dyDescent="0.35">
      <c r="A45" s="2">
        <v>542</v>
      </c>
      <c r="D45" s="24">
        <f t="shared" si="1"/>
        <v>0</v>
      </c>
      <c r="E45" s="24">
        <f t="shared" ca="1" si="2"/>
        <v>0</v>
      </c>
      <c r="F45" s="14"/>
      <c r="G45" s="22">
        <f t="shared" ca="1" si="3"/>
        <v>0</v>
      </c>
      <c r="H45" s="39">
        <f t="shared" si="0"/>
        <v>0</v>
      </c>
      <c r="I45" s="2">
        <v>101</v>
      </c>
      <c r="J45" s="2">
        <v>101</v>
      </c>
      <c r="K45" s="2">
        <v>101</v>
      </c>
      <c r="L45" s="2">
        <v>101</v>
      </c>
      <c r="M45" s="2">
        <v>101</v>
      </c>
      <c r="N45" s="2">
        <v>101</v>
      </c>
      <c r="O45" s="2">
        <v>101</v>
      </c>
      <c r="P45" s="2">
        <v>101</v>
      </c>
      <c r="Q45" s="2">
        <v>101</v>
      </c>
      <c r="R45" s="2">
        <v>101</v>
      </c>
      <c r="S45" s="2">
        <v>101</v>
      </c>
      <c r="T45" s="2">
        <v>101</v>
      </c>
      <c r="U45" s="2">
        <v>101</v>
      </c>
      <c r="V45" s="2">
        <v>101</v>
      </c>
      <c r="W45" s="2">
        <v>101</v>
      </c>
      <c r="X45" s="2">
        <v>101</v>
      </c>
      <c r="Y45" s="2">
        <v>101</v>
      </c>
      <c r="Z45" s="2">
        <v>101</v>
      </c>
      <c r="AA45" s="2">
        <v>101</v>
      </c>
      <c r="AB45" s="2">
        <v>101</v>
      </c>
      <c r="AC45" s="2">
        <v>101</v>
      </c>
      <c r="AD45" s="2">
        <v>101</v>
      </c>
      <c r="AE45" s="2">
        <v>101</v>
      </c>
      <c r="AF45" s="2">
        <v>101</v>
      </c>
      <c r="AG45" s="2">
        <v>101</v>
      </c>
      <c r="AH45" s="2"/>
      <c r="AI45" s="2"/>
      <c r="AJ45" s="2"/>
      <c r="AK45" s="2"/>
      <c r="AL45" s="2"/>
      <c r="AM45" s="2"/>
      <c r="AN45" s="2"/>
      <c r="AO45" s="2"/>
      <c r="AP45" s="2"/>
      <c r="AQ45" s="2"/>
    </row>
    <row r="46" spans="1:43" x14ac:dyDescent="0.35">
      <c r="A46" s="2">
        <v>543</v>
      </c>
      <c r="D46" s="24">
        <f t="shared" si="1"/>
        <v>0</v>
      </c>
      <c r="E46" s="24">
        <f t="shared" ca="1" si="2"/>
        <v>0</v>
      </c>
      <c r="F46" s="14"/>
      <c r="G46" s="22">
        <f t="shared" ca="1" si="3"/>
        <v>0</v>
      </c>
      <c r="H46" s="39">
        <f t="shared" si="0"/>
        <v>0</v>
      </c>
      <c r="I46" s="2">
        <v>101</v>
      </c>
      <c r="J46" s="2">
        <v>101</v>
      </c>
      <c r="K46" s="2">
        <v>101</v>
      </c>
      <c r="L46" s="2">
        <v>101</v>
      </c>
      <c r="M46" s="2">
        <v>101</v>
      </c>
      <c r="N46" s="2">
        <v>101</v>
      </c>
      <c r="O46" s="2">
        <v>101</v>
      </c>
      <c r="P46" s="2">
        <v>101</v>
      </c>
      <c r="Q46" s="2">
        <v>101</v>
      </c>
      <c r="R46" s="2">
        <v>101</v>
      </c>
      <c r="S46" s="2">
        <v>101</v>
      </c>
      <c r="T46" s="2">
        <v>101</v>
      </c>
      <c r="U46" s="2">
        <v>101</v>
      </c>
      <c r="V46" s="2">
        <v>101</v>
      </c>
      <c r="W46" s="2">
        <v>101</v>
      </c>
      <c r="X46" s="2">
        <v>101</v>
      </c>
      <c r="Y46" s="2">
        <v>101</v>
      </c>
      <c r="Z46" s="2">
        <v>101</v>
      </c>
      <c r="AA46" s="2">
        <v>101</v>
      </c>
      <c r="AB46" s="2">
        <v>101</v>
      </c>
      <c r="AC46" s="2">
        <v>101</v>
      </c>
      <c r="AD46" s="2">
        <v>101</v>
      </c>
      <c r="AE46" s="2">
        <v>101</v>
      </c>
      <c r="AF46" s="2">
        <v>101</v>
      </c>
      <c r="AG46" s="2">
        <v>101</v>
      </c>
      <c r="AH46" s="2"/>
      <c r="AI46" s="2"/>
      <c r="AJ46" s="2"/>
      <c r="AK46" s="2"/>
      <c r="AL46" s="2"/>
      <c r="AM46" s="2"/>
      <c r="AN46" s="2"/>
      <c r="AO46" s="2"/>
      <c r="AP46" s="2"/>
      <c r="AQ46" s="2"/>
    </row>
    <row r="47" spans="1:43" x14ac:dyDescent="0.35">
      <c r="A47" s="2">
        <v>544</v>
      </c>
      <c r="D47" s="24">
        <f t="shared" si="1"/>
        <v>0</v>
      </c>
      <c r="E47" s="24">
        <f t="shared" ca="1" si="2"/>
        <v>0</v>
      </c>
      <c r="F47" s="14"/>
      <c r="G47" s="22">
        <f t="shared" ca="1" si="3"/>
        <v>0</v>
      </c>
      <c r="H47" s="39">
        <f t="shared" si="0"/>
        <v>0</v>
      </c>
      <c r="I47" s="2">
        <v>101</v>
      </c>
      <c r="J47" s="2">
        <v>101</v>
      </c>
      <c r="K47" s="2">
        <v>101</v>
      </c>
      <c r="L47" s="2">
        <v>101</v>
      </c>
      <c r="M47" s="2">
        <v>101</v>
      </c>
      <c r="N47" s="2">
        <v>101</v>
      </c>
      <c r="O47" s="2">
        <v>101</v>
      </c>
      <c r="P47" s="2">
        <v>101</v>
      </c>
      <c r="Q47" s="2">
        <v>101</v>
      </c>
      <c r="R47" s="2">
        <v>101</v>
      </c>
      <c r="S47" s="2">
        <v>101</v>
      </c>
      <c r="T47" s="2">
        <v>101</v>
      </c>
      <c r="U47" s="2">
        <v>101</v>
      </c>
      <c r="V47" s="2">
        <v>101</v>
      </c>
      <c r="W47" s="2">
        <v>101</v>
      </c>
      <c r="X47" s="2">
        <v>101</v>
      </c>
      <c r="Y47" s="2">
        <v>101</v>
      </c>
      <c r="Z47" s="2">
        <v>101</v>
      </c>
      <c r="AA47" s="2">
        <v>101</v>
      </c>
      <c r="AB47" s="2">
        <v>101</v>
      </c>
      <c r="AC47" s="2">
        <v>101</v>
      </c>
      <c r="AD47" s="2">
        <v>101</v>
      </c>
      <c r="AE47" s="2">
        <v>101</v>
      </c>
      <c r="AF47" s="2">
        <v>101</v>
      </c>
      <c r="AG47" s="2">
        <v>101</v>
      </c>
      <c r="AH47" s="2"/>
      <c r="AI47" s="2"/>
      <c r="AJ47" s="2"/>
      <c r="AK47" s="2"/>
      <c r="AL47" s="2"/>
      <c r="AM47" s="2"/>
      <c r="AN47" s="2"/>
      <c r="AO47" s="2"/>
      <c r="AP47" s="2"/>
      <c r="AQ47" s="2"/>
    </row>
    <row r="48" spans="1:43" x14ac:dyDescent="0.35">
      <c r="A48" s="2">
        <v>545</v>
      </c>
      <c r="D48" s="24">
        <f t="shared" si="1"/>
        <v>0</v>
      </c>
      <c r="E48" s="24">
        <f t="shared" ca="1" si="2"/>
        <v>0</v>
      </c>
      <c r="F48" s="14"/>
      <c r="G48" s="22">
        <f t="shared" ca="1" si="3"/>
        <v>0</v>
      </c>
      <c r="H48" s="39">
        <f t="shared" si="0"/>
        <v>0</v>
      </c>
      <c r="I48" s="2">
        <v>101</v>
      </c>
      <c r="J48" s="2">
        <v>101</v>
      </c>
      <c r="K48" s="2">
        <v>101</v>
      </c>
      <c r="L48" s="2">
        <v>101</v>
      </c>
      <c r="M48" s="2">
        <v>101</v>
      </c>
      <c r="N48" s="2">
        <v>101</v>
      </c>
      <c r="O48" s="2">
        <v>101</v>
      </c>
      <c r="P48" s="2">
        <v>101</v>
      </c>
      <c r="Q48" s="2">
        <v>101</v>
      </c>
      <c r="R48" s="2">
        <v>101</v>
      </c>
      <c r="S48" s="2">
        <v>101</v>
      </c>
      <c r="T48" s="2">
        <v>101</v>
      </c>
      <c r="U48" s="2">
        <v>101</v>
      </c>
      <c r="V48" s="2">
        <v>101</v>
      </c>
      <c r="W48" s="2">
        <v>101</v>
      </c>
      <c r="X48" s="2">
        <v>101</v>
      </c>
      <c r="Y48" s="2">
        <v>101</v>
      </c>
      <c r="Z48" s="2">
        <v>101</v>
      </c>
      <c r="AA48" s="2">
        <v>101</v>
      </c>
      <c r="AB48" s="2">
        <v>101</v>
      </c>
      <c r="AC48" s="2">
        <v>101</v>
      </c>
      <c r="AD48" s="2">
        <v>101</v>
      </c>
      <c r="AE48" s="2">
        <v>101</v>
      </c>
      <c r="AF48" s="2">
        <v>101</v>
      </c>
      <c r="AG48" s="2">
        <v>101</v>
      </c>
      <c r="AH48" s="2"/>
      <c r="AI48" s="2"/>
      <c r="AJ48" s="2"/>
      <c r="AK48" s="2"/>
      <c r="AL48" s="2"/>
      <c r="AM48" s="2"/>
      <c r="AN48" s="2"/>
      <c r="AO48" s="2"/>
      <c r="AP48" s="2"/>
      <c r="AQ48" s="2"/>
    </row>
    <row r="49" spans="1:43" x14ac:dyDescent="0.35">
      <c r="A49" s="2">
        <v>546</v>
      </c>
      <c r="D49" s="24">
        <f t="shared" si="1"/>
        <v>0</v>
      </c>
      <c r="E49" s="24">
        <f t="shared" ca="1" si="2"/>
        <v>0</v>
      </c>
      <c r="F49" s="14"/>
      <c r="G49" s="22">
        <f t="shared" ca="1" si="3"/>
        <v>0</v>
      </c>
      <c r="H49" s="39">
        <f t="shared" si="0"/>
        <v>0</v>
      </c>
      <c r="I49" s="2">
        <v>101</v>
      </c>
      <c r="J49" s="2">
        <v>101</v>
      </c>
      <c r="K49" s="2">
        <v>101</v>
      </c>
      <c r="L49" s="2">
        <v>101</v>
      </c>
      <c r="M49" s="2">
        <v>101</v>
      </c>
      <c r="N49" s="2">
        <v>101</v>
      </c>
      <c r="O49" s="2">
        <v>101</v>
      </c>
      <c r="P49" s="2">
        <v>101</v>
      </c>
      <c r="Q49" s="2">
        <v>101</v>
      </c>
      <c r="R49" s="2">
        <v>101</v>
      </c>
      <c r="S49" s="2">
        <v>101</v>
      </c>
      <c r="T49" s="2">
        <v>101</v>
      </c>
      <c r="U49" s="2">
        <v>101</v>
      </c>
      <c r="V49" s="2">
        <v>101</v>
      </c>
      <c r="W49" s="2">
        <v>101</v>
      </c>
      <c r="X49" s="2">
        <v>101</v>
      </c>
      <c r="Y49" s="2">
        <v>101</v>
      </c>
      <c r="Z49" s="2">
        <v>101</v>
      </c>
      <c r="AA49" s="2">
        <v>101</v>
      </c>
      <c r="AB49" s="2">
        <v>101</v>
      </c>
      <c r="AC49" s="2">
        <v>101</v>
      </c>
      <c r="AD49" s="2">
        <v>101</v>
      </c>
      <c r="AE49" s="2">
        <v>101</v>
      </c>
      <c r="AF49" s="2">
        <v>101</v>
      </c>
      <c r="AG49" s="2">
        <v>101</v>
      </c>
      <c r="AH49" s="2"/>
      <c r="AI49" s="2"/>
      <c r="AJ49" s="2"/>
      <c r="AK49" s="2"/>
      <c r="AL49" s="2"/>
      <c r="AM49" s="2"/>
      <c r="AN49" s="2"/>
      <c r="AO49" s="2"/>
      <c r="AP49" s="2"/>
      <c r="AQ49" s="2"/>
    </row>
    <row r="50" spans="1:43" x14ac:dyDescent="0.35">
      <c r="A50" s="2">
        <v>547</v>
      </c>
      <c r="D50" s="24">
        <f t="shared" si="1"/>
        <v>0</v>
      </c>
      <c r="E50" s="24">
        <f t="shared" ca="1" si="2"/>
        <v>0</v>
      </c>
      <c r="F50" s="14"/>
      <c r="G50" s="22">
        <f t="shared" ca="1" si="3"/>
        <v>0</v>
      </c>
      <c r="H50" s="39">
        <f t="shared" si="0"/>
        <v>0</v>
      </c>
      <c r="I50" s="2">
        <v>101</v>
      </c>
      <c r="J50" s="2">
        <v>101</v>
      </c>
      <c r="K50" s="2">
        <v>101</v>
      </c>
      <c r="L50" s="2">
        <v>101</v>
      </c>
      <c r="M50" s="2">
        <v>101</v>
      </c>
      <c r="N50" s="2">
        <v>101</v>
      </c>
      <c r="O50" s="2">
        <v>101</v>
      </c>
      <c r="P50" s="2">
        <v>101</v>
      </c>
      <c r="Q50" s="2">
        <v>101</v>
      </c>
      <c r="R50" s="2">
        <v>101</v>
      </c>
      <c r="S50" s="2">
        <v>101</v>
      </c>
      <c r="T50" s="2">
        <v>101</v>
      </c>
      <c r="U50" s="2">
        <v>101</v>
      </c>
      <c r="V50" s="2">
        <v>101</v>
      </c>
      <c r="W50" s="2">
        <v>101</v>
      </c>
      <c r="X50" s="2">
        <v>101</v>
      </c>
      <c r="Y50" s="2">
        <v>101</v>
      </c>
      <c r="Z50" s="2">
        <v>101</v>
      </c>
      <c r="AA50" s="2">
        <v>101</v>
      </c>
      <c r="AB50" s="2">
        <v>101</v>
      </c>
      <c r="AC50" s="2">
        <v>101</v>
      </c>
      <c r="AD50" s="2">
        <v>101</v>
      </c>
      <c r="AE50" s="2">
        <v>101</v>
      </c>
      <c r="AF50" s="2">
        <v>101</v>
      </c>
      <c r="AG50" s="2">
        <v>101</v>
      </c>
      <c r="AH50" s="2"/>
      <c r="AI50" s="2"/>
      <c r="AJ50" s="2"/>
      <c r="AK50" s="2"/>
      <c r="AL50" s="2"/>
      <c r="AM50" s="2"/>
      <c r="AN50" s="2"/>
      <c r="AO50" s="2"/>
      <c r="AP50" s="2"/>
      <c r="AQ50" s="2"/>
    </row>
    <row r="51" spans="1:43" x14ac:dyDescent="0.35">
      <c r="A51" s="2">
        <v>548</v>
      </c>
      <c r="D51" s="24">
        <f t="shared" si="1"/>
        <v>0</v>
      </c>
      <c r="E51" s="24">
        <f t="shared" ca="1" si="2"/>
        <v>0</v>
      </c>
      <c r="F51" s="14"/>
      <c r="G51" s="22">
        <f t="shared" ca="1" si="3"/>
        <v>0</v>
      </c>
      <c r="H51" s="39">
        <f t="shared" si="0"/>
        <v>0</v>
      </c>
      <c r="I51" s="2">
        <v>101</v>
      </c>
      <c r="J51" s="2">
        <v>101</v>
      </c>
      <c r="K51" s="2">
        <v>101</v>
      </c>
      <c r="L51" s="2">
        <v>101</v>
      </c>
      <c r="M51" s="2">
        <v>101</v>
      </c>
      <c r="N51" s="2">
        <v>101</v>
      </c>
      <c r="O51" s="2">
        <v>101</v>
      </c>
      <c r="P51" s="2">
        <v>101</v>
      </c>
      <c r="Q51" s="2">
        <v>101</v>
      </c>
      <c r="R51" s="2">
        <v>101</v>
      </c>
      <c r="S51" s="2">
        <v>101</v>
      </c>
      <c r="T51" s="2">
        <v>101</v>
      </c>
      <c r="U51" s="2">
        <v>101</v>
      </c>
      <c r="V51" s="2">
        <v>101</v>
      </c>
      <c r="W51" s="2">
        <v>101</v>
      </c>
      <c r="X51" s="2">
        <v>101</v>
      </c>
      <c r="Y51" s="2">
        <v>101</v>
      </c>
      <c r="Z51" s="2">
        <v>101</v>
      </c>
      <c r="AA51" s="2">
        <v>101</v>
      </c>
      <c r="AB51" s="2">
        <v>101</v>
      </c>
      <c r="AC51" s="2">
        <v>101</v>
      </c>
      <c r="AD51" s="2">
        <v>101</v>
      </c>
      <c r="AE51" s="2">
        <v>101</v>
      </c>
      <c r="AF51" s="2">
        <v>101</v>
      </c>
      <c r="AG51" s="2">
        <v>101</v>
      </c>
      <c r="AH51" s="2"/>
      <c r="AI51" s="2"/>
      <c r="AJ51" s="2"/>
      <c r="AK51" s="2"/>
      <c r="AL51" s="2"/>
      <c r="AM51" s="2"/>
      <c r="AN51" s="2"/>
      <c r="AO51" s="2"/>
      <c r="AP51" s="2"/>
      <c r="AQ51" s="2"/>
    </row>
    <row r="52" spans="1:43" x14ac:dyDescent="0.35">
      <c r="A52" s="2">
        <v>549</v>
      </c>
      <c r="D52" s="24">
        <f t="shared" si="1"/>
        <v>0</v>
      </c>
      <c r="E52" s="24">
        <f t="shared" ca="1" si="2"/>
        <v>0</v>
      </c>
      <c r="F52" s="14"/>
      <c r="G52" s="22">
        <f t="shared" ca="1" si="3"/>
        <v>0</v>
      </c>
      <c r="H52" s="39">
        <f t="shared" si="0"/>
        <v>0</v>
      </c>
      <c r="I52" s="2">
        <v>101</v>
      </c>
      <c r="J52" s="2">
        <v>101</v>
      </c>
      <c r="K52" s="2">
        <v>101</v>
      </c>
      <c r="L52" s="2">
        <v>101</v>
      </c>
      <c r="M52" s="2">
        <v>101</v>
      </c>
      <c r="N52" s="2">
        <v>101</v>
      </c>
      <c r="O52" s="2">
        <v>101</v>
      </c>
      <c r="P52" s="2">
        <v>101</v>
      </c>
      <c r="Q52" s="2">
        <v>101</v>
      </c>
      <c r="R52" s="2">
        <v>101</v>
      </c>
      <c r="S52" s="2">
        <v>101</v>
      </c>
      <c r="T52" s="2">
        <v>101</v>
      </c>
      <c r="U52" s="2">
        <v>101</v>
      </c>
      <c r="V52" s="2">
        <v>101</v>
      </c>
      <c r="W52" s="2">
        <v>101</v>
      </c>
      <c r="X52" s="2">
        <v>101</v>
      </c>
      <c r="Y52" s="2">
        <v>101</v>
      </c>
      <c r="Z52" s="2">
        <v>101</v>
      </c>
      <c r="AA52" s="2">
        <v>101</v>
      </c>
      <c r="AB52" s="2">
        <v>101</v>
      </c>
      <c r="AC52" s="2">
        <v>101</v>
      </c>
      <c r="AD52" s="2">
        <v>101</v>
      </c>
      <c r="AE52" s="2">
        <v>101</v>
      </c>
      <c r="AF52" s="2">
        <v>101</v>
      </c>
      <c r="AG52" s="2">
        <v>101</v>
      </c>
      <c r="AH52" s="2"/>
      <c r="AI52" s="2"/>
      <c r="AJ52" s="2"/>
      <c r="AK52" s="2"/>
      <c r="AL52" s="2"/>
      <c r="AM52" s="2"/>
      <c r="AN52" s="2"/>
      <c r="AO52" s="2"/>
      <c r="AP52" s="2"/>
      <c r="AQ52" s="2"/>
    </row>
    <row r="53" spans="1:43" x14ac:dyDescent="0.35">
      <c r="A53" s="2">
        <v>550</v>
      </c>
      <c r="D53" s="24">
        <f t="shared" si="1"/>
        <v>0</v>
      </c>
      <c r="E53" s="24">
        <f t="shared" ca="1" si="2"/>
        <v>0</v>
      </c>
      <c r="F53" s="14"/>
      <c r="G53" s="22">
        <f t="shared" ca="1" si="3"/>
        <v>0</v>
      </c>
      <c r="H53" s="39">
        <f t="shared" si="0"/>
        <v>0</v>
      </c>
      <c r="I53" s="2">
        <v>101</v>
      </c>
      <c r="J53" s="2">
        <v>101</v>
      </c>
      <c r="K53" s="2">
        <v>101</v>
      </c>
      <c r="L53" s="2">
        <v>101</v>
      </c>
      <c r="M53" s="2">
        <v>101</v>
      </c>
      <c r="N53" s="2">
        <v>101</v>
      </c>
      <c r="O53" s="2">
        <v>101</v>
      </c>
      <c r="P53" s="2">
        <v>101</v>
      </c>
      <c r="Q53" s="2">
        <v>101</v>
      </c>
      <c r="R53" s="2">
        <v>101</v>
      </c>
      <c r="S53" s="2">
        <v>101</v>
      </c>
      <c r="T53" s="2">
        <v>101</v>
      </c>
      <c r="U53" s="2">
        <v>101</v>
      </c>
      <c r="V53" s="2">
        <v>101</v>
      </c>
      <c r="W53" s="2">
        <v>101</v>
      </c>
      <c r="X53" s="2">
        <v>101</v>
      </c>
      <c r="Y53" s="2">
        <v>101</v>
      </c>
      <c r="Z53" s="2">
        <v>101</v>
      </c>
      <c r="AA53" s="2">
        <v>101</v>
      </c>
      <c r="AB53" s="2">
        <v>101</v>
      </c>
      <c r="AC53" s="2">
        <v>101</v>
      </c>
      <c r="AD53" s="2">
        <v>101</v>
      </c>
      <c r="AE53" s="2">
        <v>101</v>
      </c>
      <c r="AF53" s="2">
        <v>101</v>
      </c>
      <c r="AG53" s="2">
        <v>101</v>
      </c>
      <c r="AH53" s="2"/>
      <c r="AI53" s="2"/>
      <c r="AJ53" s="2"/>
      <c r="AK53" s="2"/>
      <c r="AL53" s="2"/>
      <c r="AM53" s="2"/>
      <c r="AN53" s="2"/>
      <c r="AO53" s="2"/>
      <c r="AP53" s="2"/>
      <c r="AQ53" s="2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37"/>
  <sheetViews>
    <sheetView workbookViewId="0">
      <selection activeCell="L15" sqref="L15"/>
    </sheetView>
  </sheetViews>
  <sheetFormatPr baseColWidth="10" defaultRowHeight="14.5" x14ac:dyDescent="0.35"/>
  <cols>
    <col min="2" max="2" width="17.26953125" customWidth="1"/>
    <col min="3" max="3" width="16.7265625" customWidth="1"/>
    <col min="5" max="5" width="11.453125" style="2"/>
    <col min="9" max="9" width="16.81640625" customWidth="1"/>
    <col min="10" max="10" width="16.453125" customWidth="1"/>
    <col min="16" max="16" width="18.54296875" customWidth="1"/>
    <col min="17" max="17" width="17.81640625" customWidth="1"/>
  </cols>
  <sheetData>
    <row r="1" spans="1:19" x14ac:dyDescent="0.35">
      <c r="A1" t="s">
        <v>114</v>
      </c>
    </row>
    <row r="3" spans="1:19" ht="15" thickBot="1" x14ac:dyDescent="0.4">
      <c r="A3" t="s">
        <v>12</v>
      </c>
      <c r="H3" t="s">
        <v>13</v>
      </c>
      <c r="O3" t="s">
        <v>14</v>
      </c>
    </row>
    <row r="4" spans="1:19" ht="29" x14ac:dyDescent="0.35">
      <c r="A4" s="17" t="s">
        <v>109</v>
      </c>
      <c r="B4" s="18" t="s">
        <v>2</v>
      </c>
      <c r="C4" s="18" t="s">
        <v>3</v>
      </c>
      <c r="D4" s="19" t="s">
        <v>40</v>
      </c>
      <c r="E4" s="19" t="s">
        <v>46</v>
      </c>
      <c r="H4" s="17" t="s">
        <v>1</v>
      </c>
      <c r="I4" s="18" t="s">
        <v>2</v>
      </c>
      <c r="J4" s="18" t="s">
        <v>3</v>
      </c>
      <c r="K4" s="19" t="s">
        <v>40</v>
      </c>
      <c r="L4" s="19" t="s">
        <v>6</v>
      </c>
      <c r="O4" s="17" t="s">
        <v>1</v>
      </c>
      <c r="P4" s="18" t="s">
        <v>2</v>
      </c>
      <c r="Q4" s="18" t="s">
        <v>3</v>
      </c>
      <c r="R4" s="19" t="s">
        <v>40</v>
      </c>
      <c r="S4" s="19" t="s">
        <v>6</v>
      </c>
    </row>
    <row r="5" spans="1:19" x14ac:dyDescent="0.35">
      <c r="A5" s="23">
        <f>INDEX('Spenden-Kalkulation-Schwimmer'!$H$4:'Spenden-Kalkulation-Schwimmer'!$H$103,MATCH(LARGE('Spenden-Kalkulation-Schwimmer'!$L$4:'Spenden-Kalkulation-Schwimmer'!$L$103,ROWS('Spenden-Kalkulation-Schwimmer'!$H$4:'Spenden-Kalkulation-Schwimmer'!H4)),'Spenden-Kalkulation-Schwimmer'!$L$4:'Spenden-Kalkulation-Schwimmer'!$L$103,0))</f>
        <v>46</v>
      </c>
      <c r="B5" s="23" t="str">
        <f>INDEX('Spenden-Kalkulation-Schwimmer'!$I$4:'Spenden-Kalkulation-Schwimmer'!$I$103,MATCH(LARGE('Spenden-Kalkulation-Schwimmer'!$L$4:'Spenden-Kalkulation-Schwimmer'!$L$103,ROWS('Spenden-Kalkulation-Schwimmer'!$I$4:'Spenden-Kalkulation-Schwimmer'!I4)),'Spenden-Kalkulation-Schwimmer'!$L$4:'Spenden-Kalkulation-Schwimmer'!$L$103,0))</f>
        <v>Warga</v>
      </c>
      <c r="C5" s="23" t="str">
        <f>INDEX('Spenden-Kalkulation-Schwimmer'!$J$4:'Spenden-Kalkulation-Schwimmer'!$J$103,MATCH(LARGE('Spenden-Kalkulation-Schwimmer'!$L$4:'Spenden-Kalkulation-Schwimmer'!$L$103,ROWS('Spenden-Kalkulation-Schwimmer'!$J$4:'Spenden-Kalkulation-Schwimmer'!J4)),'Spenden-Kalkulation-Schwimmer'!$L$4:'Spenden-Kalkulation-Schwimmer'!$L$103,0))</f>
        <v>Eva</v>
      </c>
      <c r="D5" s="38">
        <f>INDEX('Spenden-Kalkulation-Schwimmer'!$K$4:'Spenden-Kalkulation-Schwimmer'!$K$103,MATCH(LARGE('Spenden-Kalkulation-Schwimmer'!$L$4:'Spenden-Kalkulation-Schwimmer'!$L$103,ROWS('Spenden-Kalkulation-Schwimmer'!$K$4:'Spenden-Kalkulation-Schwimmer'!K4)),'Spenden-Kalkulation-Schwimmer'!$L$4:'Spenden-Kalkulation-Schwimmer'!$L$103,0))</f>
        <v>170</v>
      </c>
      <c r="E5" s="23">
        <f>LARGE('Spenden-Kalkulation-Schwimmer'!$L$4:'Spenden-Kalkulation-Schwimmer'!$L$103,ROWS('Spenden-Kalkulation-Schwimmer'!L$4:'Spenden-Kalkulation-Schwimmer'!L4))</f>
        <v>170</v>
      </c>
      <c r="H5" s="23">
        <f>INDEX('Spenden-Kalkulation-Schwimmer'!$O$4:'Spenden-Kalkulation-Schwimmer'!$O$103,MATCH(LARGE('Spenden-Kalkulation-Schwimmer'!$S$4:'Spenden-Kalkulation-Schwimmer'!$S$103,ROWS('Spenden-Kalkulation-Schwimmer'!$O$4:'Spenden-Kalkulation-Schwimmer'!O4)),'Spenden-Kalkulation-Schwimmer'!$S$4:'Spenden-Kalkulation-Schwimmer'!$S$103,0))</f>
        <v>41</v>
      </c>
      <c r="I5" s="23" t="str">
        <f>INDEX('Spenden-Kalkulation-Schwimmer'!$P$4:'Spenden-Kalkulation-Schwimmer'!$P$103,MATCH(LARGE('Spenden-Kalkulation-Schwimmer'!$S$4:'Spenden-Kalkulation-Schwimmer'!$S$103,ROWS('Spenden-Kalkulation-Schwimmer'!$P$4:'Spenden-Kalkulation-Schwimmer'!P4)),'Spenden-Kalkulation-Schwimmer'!$S$4:'Spenden-Kalkulation-Schwimmer'!$S$103,0))</f>
        <v>Künsemüller</v>
      </c>
      <c r="J5" s="23" t="str">
        <f>INDEX('Spenden-Kalkulation-Schwimmer'!$Q$4:'Spenden-Kalkulation-Schwimmer'!$Q$103,MATCH(LARGE('Spenden-Kalkulation-Schwimmer'!$S$4:'Spenden-Kalkulation-Schwimmer'!$S$103,ROWS('Spenden-Kalkulation-Schwimmer'!$Q$4:'Spenden-Kalkulation-Schwimmer'!Q4)),'Spenden-Kalkulation-Schwimmer'!$S$4:'Spenden-Kalkulation-Schwimmer'!$S$103,0))</f>
        <v>Viktoria</v>
      </c>
      <c r="K5" s="38">
        <f>INDEX('Spenden-Kalkulation-Schwimmer'!$R$4:'Spenden-Kalkulation-Schwimmer'!$R$103,MATCH(LARGE('Spenden-Kalkulation-Schwimmer'!$S$4:'Spenden-Kalkulation-Schwimmer'!$S$103,ROWS('Spenden-Kalkulation-Schwimmer'!$R$4:'Spenden-Kalkulation-Schwimmer'!R4)),'Spenden-Kalkulation-Schwimmer'!$S$4:'Spenden-Kalkulation-Schwimmer'!$S$103,0))</f>
        <v>56</v>
      </c>
      <c r="L5" s="23">
        <f>LARGE('Spenden-Kalkulation-Schwimmer'!$S$4:'Spenden-Kalkulation-Schwimmer'!$S$103,ROWS('Spenden-Kalkulation-Schwimmer'!S$4:'Spenden-Kalkulation-Schwimmer'!S4))</f>
        <v>112</v>
      </c>
      <c r="O5" s="23">
        <f>INDEX('Spenden-Kalkulation-Schwimmer'!$V$4:'Spenden-Kalkulation-Schwimmer'!$V$103,MATCH(LARGE('Spenden-Kalkulation-Schwimmer'!$Z$4:'Spenden-Kalkulation-Schwimmer'!$Z$103,ROWS('Spenden-Kalkulation-Schwimmer'!$V$4:'Spenden-Kalkulation-Schwimmer'!V4)),'Spenden-Kalkulation-Schwimmer'!$Z$4:'Spenden-Kalkulation-Schwimmer'!$Z$103,0))</f>
        <v>43</v>
      </c>
      <c r="P5" s="23" t="str">
        <f>INDEX('Spenden-Kalkulation-Schwimmer'!$W$4:'Spenden-Kalkulation-Schwimmer'!$W$103,MATCH(LARGE('Spenden-Kalkulation-Schwimmer'!$Z$4:'Spenden-Kalkulation-Schwimmer'!$Z$103,ROWS('Spenden-Kalkulation-Schwimmer'!$W$4:'Spenden-Kalkulation-Schwimmer'!W4)),'Spenden-Kalkulation-Schwimmer'!$Z$4:'Spenden-Kalkulation-Schwimmer'!$Z$103,0))</f>
        <v>Bachmann</v>
      </c>
      <c r="Q5" s="23" t="str">
        <f>INDEX('Spenden-Kalkulation-Schwimmer'!$X$4:'Spenden-Kalkulation-Schwimmer'!$X$103,MATCH(LARGE('Spenden-Kalkulation-Schwimmer'!$Z$4:'Spenden-Kalkulation-Schwimmer'!$Z$103,ROWS('Spenden-Kalkulation-Schwimmer'!$X$4:'Spenden-Kalkulation-Schwimmer'!X4)),'Spenden-Kalkulation-Schwimmer'!$Z$4:'Spenden-Kalkulation-Schwimmer'!$Z$103,0))</f>
        <v>Annabelle</v>
      </c>
      <c r="R5" s="38">
        <f>INDEX('Spenden-Kalkulation-Schwimmer'!$Y$4:'Spenden-Kalkulation-Schwimmer'!$Y$103,MATCH(LARGE('Spenden-Kalkulation-Schwimmer'!$Z$4:'Spenden-Kalkulation-Schwimmer'!$Z$103,ROWS('Spenden-Kalkulation-Schwimmer'!$Y$4:'Spenden-Kalkulation-Schwimmer'!Y4)),'Spenden-Kalkulation-Schwimmer'!$Z$4:'Spenden-Kalkulation-Schwimmer'!$Z$103,0))</f>
        <v>53</v>
      </c>
      <c r="S5" s="23">
        <f>LARGE('Spenden-Kalkulation-Schwimmer'!$Z$4:'Spenden-Kalkulation-Schwimmer'!$Z$103,ROWS('Spenden-Kalkulation-Schwimmer'!Z$4:'Spenden-Kalkulation-Schwimmer'!Z4))</f>
        <v>106</v>
      </c>
    </row>
    <row r="6" spans="1:19" x14ac:dyDescent="0.35">
      <c r="A6" s="23">
        <f>INDEX('Spenden-Kalkulation-Schwimmer'!$H$4:'Spenden-Kalkulation-Schwimmer'!$H$103,MATCH(LARGE('Spenden-Kalkulation-Schwimmer'!$L$4:'Spenden-Kalkulation-Schwimmer'!$L$103,ROWS('Spenden-Kalkulation-Schwimmer'!$H$4:'Spenden-Kalkulation-Schwimmer'!H5)),'Spenden-Kalkulation-Schwimmer'!$L$4:'Spenden-Kalkulation-Schwimmer'!$L$103,0))</f>
        <v>51</v>
      </c>
      <c r="B6" s="23" t="str">
        <f>INDEX('Spenden-Kalkulation-Schwimmer'!$I$4:'Spenden-Kalkulation-Schwimmer'!$I$103,MATCH(LARGE('Spenden-Kalkulation-Schwimmer'!$L$4:'Spenden-Kalkulation-Schwimmer'!$L$103,ROWS('Spenden-Kalkulation-Schwimmer'!$I$4:'Spenden-Kalkulation-Schwimmer'!I5)),'Spenden-Kalkulation-Schwimmer'!$L$4:'Spenden-Kalkulation-Schwimmer'!$L$103,0))</f>
        <v>Baier</v>
      </c>
      <c r="C6" s="23" t="str">
        <f>INDEX('Spenden-Kalkulation-Schwimmer'!$J$4:'Spenden-Kalkulation-Schwimmer'!$J$103,MATCH(LARGE('Spenden-Kalkulation-Schwimmer'!$L$4:'Spenden-Kalkulation-Schwimmer'!$L$103,ROWS('Spenden-Kalkulation-Schwimmer'!$J$4:'Spenden-Kalkulation-Schwimmer'!J5)),'Spenden-Kalkulation-Schwimmer'!$L$4:'Spenden-Kalkulation-Schwimmer'!$L$103,0))</f>
        <v>Louis</v>
      </c>
      <c r="D6" s="38">
        <f>INDEX('Spenden-Kalkulation-Schwimmer'!$K$4:'Spenden-Kalkulation-Schwimmer'!$K$103,MATCH(LARGE('Spenden-Kalkulation-Schwimmer'!$L$4:'Spenden-Kalkulation-Schwimmer'!$L$103,ROWS('Spenden-Kalkulation-Schwimmer'!$K$4:'Spenden-Kalkulation-Schwimmer'!K5)),'Spenden-Kalkulation-Schwimmer'!$L$4:'Spenden-Kalkulation-Schwimmer'!$L$103,0))</f>
        <v>126</v>
      </c>
      <c r="E6" s="23">
        <f>LARGE('Spenden-Kalkulation-Schwimmer'!$L$4:'Spenden-Kalkulation-Schwimmer'!$L$103,ROWS('Spenden-Kalkulation-Schwimmer'!L$4:'Spenden-Kalkulation-Schwimmer'!L5))</f>
        <v>126</v>
      </c>
      <c r="H6" s="23">
        <f>INDEX('Spenden-Kalkulation-Schwimmer'!$O$4:'Spenden-Kalkulation-Schwimmer'!$O$103,MATCH(LARGE('Spenden-Kalkulation-Schwimmer'!$S$4:'Spenden-Kalkulation-Schwimmer'!$S$103,ROWS('Spenden-Kalkulation-Schwimmer'!$O$4:'Spenden-Kalkulation-Schwimmer'!O5)),'Spenden-Kalkulation-Schwimmer'!$S$4:'Spenden-Kalkulation-Schwimmer'!$S$103,0))</f>
        <v>6</v>
      </c>
      <c r="I6" s="23" t="str">
        <f>INDEX('Spenden-Kalkulation-Schwimmer'!$P$4:'Spenden-Kalkulation-Schwimmer'!$P$103,MATCH(LARGE('Spenden-Kalkulation-Schwimmer'!$S$4:'Spenden-Kalkulation-Schwimmer'!$S$103,ROWS('Spenden-Kalkulation-Schwimmer'!$P$4:'Spenden-Kalkulation-Schwimmer'!P5)),'Spenden-Kalkulation-Schwimmer'!$S$4:'Spenden-Kalkulation-Schwimmer'!$S$103,0))</f>
        <v>Ludwig</v>
      </c>
      <c r="J6" s="23" t="str">
        <f>INDEX('Spenden-Kalkulation-Schwimmer'!$Q$4:'Spenden-Kalkulation-Schwimmer'!$Q$103,MATCH(LARGE('Spenden-Kalkulation-Schwimmer'!$S$4:'Spenden-Kalkulation-Schwimmer'!$S$103,ROWS('Spenden-Kalkulation-Schwimmer'!$Q$4:'Spenden-Kalkulation-Schwimmer'!Q5)),'Spenden-Kalkulation-Schwimmer'!$S$4:'Spenden-Kalkulation-Schwimmer'!$S$103,0))</f>
        <v>Mariya</v>
      </c>
      <c r="K6" s="38">
        <f>INDEX('Spenden-Kalkulation-Schwimmer'!$R$4:'Spenden-Kalkulation-Schwimmer'!$R$103,MATCH(LARGE('Spenden-Kalkulation-Schwimmer'!$S$4:'Spenden-Kalkulation-Schwimmer'!$S$103,ROWS('Spenden-Kalkulation-Schwimmer'!$R$4:'Spenden-Kalkulation-Schwimmer'!R5)),'Spenden-Kalkulation-Schwimmer'!$S$4:'Spenden-Kalkulation-Schwimmer'!$S$103,0))</f>
        <v>52</v>
      </c>
      <c r="L6" s="23">
        <f>LARGE('Spenden-Kalkulation-Schwimmer'!$S$4:'Spenden-Kalkulation-Schwimmer'!$S$103,ROWS('Spenden-Kalkulation-Schwimmer'!S$4:'Spenden-Kalkulation-Schwimmer'!S5))</f>
        <v>104</v>
      </c>
      <c r="O6" s="23">
        <f>INDEX('Spenden-Kalkulation-Schwimmer'!$V$4:'Spenden-Kalkulation-Schwimmer'!$V$103,MATCH(LARGE('Spenden-Kalkulation-Schwimmer'!$Z$4:'Spenden-Kalkulation-Schwimmer'!$Z$103,ROWS('Spenden-Kalkulation-Schwimmer'!$V$4:'Spenden-Kalkulation-Schwimmer'!V5)),'Spenden-Kalkulation-Schwimmer'!$Z$4:'Spenden-Kalkulation-Schwimmer'!$Z$103,0))</f>
        <v>44</v>
      </c>
      <c r="P6" s="23" t="str">
        <f>INDEX('Spenden-Kalkulation-Schwimmer'!$W$4:'Spenden-Kalkulation-Schwimmer'!$W$103,MATCH(LARGE('Spenden-Kalkulation-Schwimmer'!$Z$4:'Spenden-Kalkulation-Schwimmer'!$Z$103,ROWS('Spenden-Kalkulation-Schwimmer'!$W$4:'Spenden-Kalkulation-Schwimmer'!W5)),'Spenden-Kalkulation-Schwimmer'!$Z$4:'Spenden-Kalkulation-Schwimmer'!$Z$103,0))</f>
        <v>Bauer</v>
      </c>
      <c r="Q6" s="23" t="str">
        <f>INDEX('Spenden-Kalkulation-Schwimmer'!$X$4:'Spenden-Kalkulation-Schwimmer'!$X$103,MATCH(LARGE('Spenden-Kalkulation-Schwimmer'!$Z$4:'Spenden-Kalkulation-Schwimmer'!$Z$103,ROWS('Spenden-Kalkulation-Schwimmer'!$X$4:'Spenden-Kalkulation-Schwimmer'!X5)),'Spenden-Kalkulation-Schwimmer'!$Z$4:'Spenden-Kalkulation-Schwimmer'!$Z$103,0))</f>
        <v>Tim</v>
      </c>
      <c r="R6" s="38">
        <f>INDEX('Spenden-Kalkulation-Schwimmer'!$Y$4:'Spenden-Kalkulation-Schwimmer'!$Y$103,MATCH(LARGE('Spenden-Kalkulation-Schwimmer'!$Z$4:'Spenden-Kalkulation-Schwimmer'!$Z$103,ROWS('Spenden-Kalkulation-Schwimmer'!$Y$4:'Spenden-Kalkulation-Schwimmer'!Y5)),'Spenden-Kalkulation-Schwimmer'!$Z$4:'Spenden-Kalkulation-Schwimmer'!$Z$103,0))</f>
        <v>51</v>
      </c>
      <c r="S6" s="23">
        <f>LARGE('Spenden-Kalkulation-Schwimmer'!$Z$4:'Spenden-Kalkulation-Schwimmer'!$Z$103,ROWS('Spenden-Kalkulation-Schwimmer'!Z$4:'Spenden-Kalkulation-Schwimmer'!Z5))</f>
        <v>102</v>
      </c>
    </row>
    <row r="7" spans="1:19" x14ac:dyDescent="0.35">
      <c r="A7" s="23">
        <f>INDEX('Spenden-Kalkulation-Schwimmer'!$H$4:'Spenden-Kalkulation-Schwimmer'!$H$103,MATCH(LARGE('Spenden-Kalkulation-Schwimmer'!$L$4:'Spenden-Kalkulation-Schwimmer'!$L$103,ROWS('Spenden-Kalkulation-Schwimmer'!$H$4:'Spenden-Kalkulation-Schwimmer'!H6)),'Spenden-Kalkulation-Schwimmer'!$L$4:'Spenden-Kalkulation-Schwimmer'!$L$103,0))</f>
        <v>50</v>
      </c>
      <c r="B7" s="23" t="str">
        <f>INDEX('Spenden-Kalkulation-Schwimmer'!$I$4:'Spenden-Kalkulation-Schwimmer'!$I$103,MATCH(LARGE('Spenden-Kalkulation-Schwimmer'!$L$4:'Spenden-Kalkulation-Schwimmer'!$L$103,ROWS('Spenden-Kalkulation-Schwimmer'!$I$4:'Spenden-Kalkulation-Schwimmer'!I6)),'Spenden-Kalkulation-Schwimmer'!$L$4:'Spenden-Kalkulation-Schwimmer'!$L$103,0))</f>
        <v>Baier</v>
      </c>
      <c r="C7" s="23" t="str">
        <f>INDEX('Spenden-Kalkulation-Schwimmer'!$J$4:'Spenden-Kalkulation-Schwimmer'!$J$103,MATCH(LARGE('Spenden-Kalkulation-Schwimmer'!$L$4:'Spenden-Kalkulation-Schwimmer'!$L$103,ROWS('Spenden-Kalkulation-Schwimmer'!$J$4:'Spenden-Kalkulation-Schwimmer'!J6)),'Spenden-Kalkulation-Schwimmer'!$L$4:'Spenden-Kalkulation-Schwimmer'!$L$103,0))</f>
        <v>Emily</v>
      </c>
      <c r="D7" s="38">
        <f>INDEX('Spenden-Kalkulation-Schwimmer'!$K$4:'Spenden-Kalkulation-Schwimmer'!$K$103,MATCH(LARGE('Spenden-Kalkulation-Schwimmer'!$L$4:'Spenden-Kalkulation-Schwimmer'!$L$103,ROWS('Spenden-Kalkulation-Schwimmer'!$K$4:'Spenden-Kalkulation-Schwimmer'!K6)),'Spenden-Kalkulation-Schwimmer'!$L$4:'Spenden-Kalkulation-Schwimmer'!$L$103,0))</f>
        <v>116</v>
      </c>
      <c r="E7" s="23">
        <f>LARGE('Spenden-Kalkulation-Schwimmer'!$L$4:'Spenden-Kalkulation-Schwimmer'!$L$103,ROWS('Spenden-Kalkulation-Schwimmer'!L$4:'Spenden-Kalkulation-Schwimmer'!L6))</f>
        <v>116</v>
      </c>
      <c r="H7" s="23">
        <f>INDEX('Spenden-Kalkulation-Schwimmer'!$O$4:'Spenden-Kalkulation-Schwimmer'!$O$103,MATCH(LARGE('Spenden-Kalkulation-Schwimmer'!$S$4:'Spenden-Kalkulation-Schwimmer'!$S$103,ROWS('Spenden-Kalkulation-Schwimmer'!$O$4:'Spenden-Kalkulation-Schwimmer'!O6)),'Spenden-Kalkulation-Schwimmer'!$S$4:'Spenden-Kalkulation-Schwimmer'!$S$103,0))</f>
        <v>49</v>
      </c>
      <c r="I7" s="23" t="str">
        <f>INDEX('Spenden-Kalkulation-Schwimmer'!$P$4:'Spenden-Kalkulation-Schwimmer'!$P$103,MATCH(LARGE('Spenden-Kalkulation-Schwimmer'!$S$4:'Spenden-Kalkulation-Schwimmer'!$S$103,ROWS('Spenden-Kalkulation-Schwimmer'!$P$4:'Spenden-Kalkulation-Schwimmer'!P6)),'Spenden-Kalkulation-Schwimmer'!$S$4:'Spenden-Kalkulation-Schwimmer'!$S$103,0))</f>
        <v>Döber</v>
      </c>
      <c r="J7" s="23" t="str">
        <f>INDEX('Spenden-Kalkulation-Schwimmer'!$Q$4:'Spenden-Kalkulation-Schwimmer'!$Q$103,MATCH(LARGE('Spenden-Kalkulation-Schwimmer'!$S$4:'Spenden-Kalkulation-Schwimmer'!$S$103,ROWS('Spenden-Kalkulation-Schwimmer'!$Q$4:'Spenden-Kalkulation-Schwimmer'!Q6)),'Spenden-Kalkulation-Schwimmer'!$S$4:'Spenden-Kalkulation-Schwimmer'!$S$103,0))</f>
        <v>Sophie</v>
      </c>
      <c r="K7" s="38">
        <f>INDEX('Spenden-Kalkulation-Schwimmer'!$R$4:'Spenden-Kalkulation-Schwimmer'!$R$103,MATCH(LARGE('Spenden-Kalkulation-Schwimmer'!$S$4:'Spenden-Kalkulation-Schwimmer'!$S$103,ROWS('Spenden-Kalkulation-Schwimmer'!$R$4:'Spenden-Kalkulation-Schwimmer'!R6)),'Spenden-Kalkulation-Schwimmer'!$S$4:'Spenden-Kalkulation-Schwimmer'!$S$103,0))</f>
        <v>138</v>
      </c>
      <c r="L7" s="23">
        <f>LARGE('Spenden-Kalkulation-Schwimmer'!$S$4:'Spenden-Kalkulation-Schwimmer'!$S$103,ROWS('Spenden-Kalkulation-Schwimmer'!S$4:'Spenden-Kalkulation-Schwimmer'!S6))</f>
        <v>92</v>
      </c>
      <c r="O7" s="23">
        <f>INDEX('Spenden-Kalkulation-Schwimmer'!$V$4:'Spenden-Kalkulation-Schwimmer'!$V$103,MATCH(LARGE('Spenden-Kalkulation-Schwimmer'!$Z$4:'Spenden-Kalkulation-Schwimmer'!$Z$103,ROWS('Spenden-Kalkulation-Schwimmer'!$V$4:'Spenden-Kalkulation-Schwimmer'!V6)),'Spenden-Kalkulation-Schwimmer'!$Z$4:'Spenden-Kalkulation-Schwimmer'!$Z$103,0))</f>
        <v>42</v>
      </c>
      <c r="P7" s="23" t="str">
        <f>INDEX('Spenden-Kalkulation-Schwimmer'!$W$4:'Spenden-Kalkulation-Schwimmer'!$W$103,MATCH(LARGE('Spenden-Kalkulation-Schwimmer'!$Z$4:'Spenden-Kalkulation-Schwimmer'!$Z$103,ROWS('Spenden-Kalkulation-Schwimmer'!$W$4:'Spenden-Kalkulation-Schwimmer'!W6)),'Spenden-Kalkulation-Schwimmer'!$Z$4:'Spenden-Kalkulation-Schwimmer'!$Z$103,0))</f>
        <v>König</v>
      </c>
      <c r="Q7" s="23" t="str">
        <f>INDEX('Spenden-Kalkulation-Schwimmer'!$X$4:'Spenden-Kalkulation-Schwimmer'!$X$103,MATCH(LARGE('Spenden-Kalkulation-Schwimmer'!$Z$4:'Spenden-Kalkulation-Schwimmer'!$Z$103,ROWS('Spenden-Kalkulation-Schwimmer'!$X$4:'Spenden-Kalkulation-Schwimmer'!X6)),'Spenden-Kalkulation-Schwimmer'!$Z$4:'Spenden-Kalkulation-Schwimmer'!$Z$103,0))</f>
        <v>Viola</v>
      </c>
      <c r="R7" s="38">
        <f>INDEX('Spenden-Kalkulation-Schwimmer'!$Y$4:'Spenden-Kalkulation-Schwimmer'!$Y$103,MATCH(LARGE('Spenden-Kalkulation-Schwimmer'!$Z$4:'Spenden-Kalkulation-Schwimmer'!$Z$103,ROWS('Spenden-Kalkulation-Schwimmer'!$Y$4:'Spenden-Kalkulation-Schwimmer'!Y6)),'Spenden-Kalkulation-Schwimmer'!$Z$4:'Spenden-Kalkulation-Schwimmer'!$Z$103,0))</f>
        <v>49</v>
      </c>
      <c r="S7" s="23">
        <f>LARGE('Spenden-Kalkulation-Schwimmer'!$Z$4:'Spenden-Kalkulation-Schwimmer'!$Z$103,ROWS('Spenden-Kalkulation-Schwimmer'!Z$4:'Spenden-Kalkulation-Schwimmer'!Z6))</f>
        <v>98</v>
      </c>
    </row>
    <row r="8" spans="1:19" x14ac:dyDescent="0.35">
      <c r="A8" s="23">
        <f>INDEX('Spenden-Kalkulation-Schwimmer'!$H$4:'Spenden-Kalkulation-Schwimmer'!$H$103,MATCH(LARGE('Spenden-Kalkulation-Schwimmer'!$L$4:'Spenden-Kalkulation-Schwimmer'!$L$103,ROWS('Spenden-Kalkulation-Schwimmer'!$H$4:'Spenden-Kalkulation-Schwimmer'!H7)),'Spenden-Kalkulation-Schwimmer'!$L$4:'Spenden-Kalkulation-Schwimmer'!$L$103,0))</f>
        <v>30</v>
      </c>
      <c r="B8" s="23" t="str">
        <f>INDEX('Spenden-Kalkulation-Schwimmer'!$I$4:'Spenden-Kalkulation-Schwimmer'!$I$103,MATCH(LARGE('Spenden-Kalkulation-Schwimmer'!$L$4:'Spenden-Kalkulation-Schwimmer'!$L$103,ROWS('Spenden-Kalkulation-Schwimmer'!$I$4:'Spenden-Kalkulation-Schwimmer'!I7)),'Spenden-Kalkulation-Schwimmer'!$L$4:'Spenden-Kalkulation-Schwimmer'!$L$103,0))</f>
        <v>Kesten</v>
      </c>
      <c r="C8" s="23" t="str">
        <f>INDEX('Spenden-Kalkulation-Schwimmer'!$J$4:'Spenden-Kalkulation-Schwimmer'!$J$103,MATCH(LARGE('Spenden-Kalkulation-Schwimmer'!$L$4:'Spenden-Kalkulation-Schwimmer'!$L$103,ROWS('Spenden-Kalkulation-Schwimmer'!$J$4:'Spenden-Kalkulation-Schwimmer'!J7)),'Spenden-Kalkulation-Schwimmer'!$L$4:'Spenden-Kalkulation-Schwimmer'!$L$103,0))</f>
        <v>Annabelle</v>
      </c>
      <c r="D8" s="38">
        <f>INDEX('Spenden-Kalkulation-Schwimmer'!$K$4:'Spenden-Kalkulation-Schwimmer'!$K$103,MATCH(LARGE('Spenden-Kalkulation-Schwimmer'!$L$4:'Spenden-Kalkulation-Schwimmer'!$L$103,ROWS('Spenden-Kalkulation-Schwimmer'!$K$4:'Spenden-Kalkulation-Schwimmer'!K7)),'Spenden-Kalkulation-Schwimmer'!$L$4:'Spenden-Kalkulation-Schwimmer'!$L$103,0))</f>
        <v>109</v>
      </c>
      <c r="E8" s="23">
        <f>LARGE('Spenden-Kalkulation-Schwimmer'!$L$4:'Spenden-Kalkulation-Schwimmer'!$L$103,ROWS('Spenden-Kalkulation-Schwimmer'!L$4:'Spenden-Kalkulation-Schwimmer'!L7))</f>
        <v>98</v>
      </c>
      <c r="H8" s="23">
        <f>INDEX('Spenden-Kalkulation-Schwimmer'!$O$4:'Spenden-Kalkulation-Schwimmer'!$O$103,MATCH(LARGE('Spenden-Kalkulation-Schwimmer'!$S$4:'Spenden-Kalkulation-Schwimmer'!$S$103,ROWS('Spenden-Kalkulation-Schwimmer'!$O$4:'Spenden-Kalkulation-Schwimmer'!O7)),'Spenden-Kalkulation-Schwimmer'!$S$4:'Spenden-Kalkulation-Schwimmer'!$S$103,0))</f>
        <v>61</v>
      </c>
      <c r="I8" s="23" t="str">
        <f>INDEX('Spenden-Kalkulation-Schwimmer'!$P$4:'Spenden-Kalkulation-Schwimmer'!$P$103,MATCH(LARGE('Spenden-Kalkulation-Schwimmer'!$S$4:'Spenden-Kalkulation-Schwimmer'!$S$103,ROWS('Spenden-Kalkulation-Schwimmer'!$P$4:'Spenden-Kalkulation-Schwimmer'!P7)),'Spenden-Kalkulation-Schwimmer'!$S$4:'Spenden-Kalkulation-Schwimmer'!$S$103,0))</f>
        <v>Vorreiter</v>
      </c>
      <c r="J8" s="23" t="str">
        <f>INDEX('Spenden-Kalkulation-Schwimmer'!$Q$4:'Spenden-Kalkulation-Schwimmer'!$Q$103,MATCH(LARGE('Spenden-Kalkulation-Schwimmer'!$S$4:'Spenden-Kalkulation-Schwimmer'!$S$103,ROWS('Spenden-Kalkulation-Schwimmer'!$Q$4:'Spenden-Kalkulation-Schwimmer'!Q7)),'Spenden-Kalkulation-Schwimmer'!$S$4:'Spenden-Kalkulation-Schwimmer'!$S$103,0))</f>
        <v>Lene</v>
      </c>
      <c r="K8" s="38">
        <f>INDEX('Spenden-Kalkulation-Schwimmer'!$R$4:'Spenden-Kalkulation-Schwimmer'!$R$103,MATCH(LARGE('Spenden-Kalkulation-Schwimmer'!$S$4:'Spenden-Kalkulation-Schwimmer'!$S$103,ROWS('Spenden-Kalkulation-Schwimmer'!$R$4:'Spenden-Kalkulation-Schwimmer'!R7)),'Spenden-Kalkulation-Schwimmer'!$S$4:'Spenden-Kalkulation-Schwimmer'!$S$103,0))</f>
        <v>34</v>
      </c>
      <c r="L8" s="23">
        <f>LARGE('Spenden-Kalkulation-Schwimmer'!$S$4:'Spenden-Kalkulation-Schwimmer'!$S$103,ROWS('Spenden-Kalkulation-Schwimmer'!S$4:'Spenden-Kalkulation-Schwimmer'!S7))</f>
        <v>68</v>
      </c>
      <c r="O8" s="23">
        <f>INDEX('Spenden-Kalkulation-Schwimmer'!$V$4:'Spenden-Kalkulation-Schwimmer'!$V$103,MATCH(LARGE('Spenden-Kalkulation-Schwimmer'!$Z$4:'Spenden-Kalkulation-Schwimmer'!$Z$103,ROWS('Spenden-Kalkulation-Schwimmer'!$V$4:'Spenden-Kalkulation-Schwimmer'!V7)),'Spenden-Kalkulation-Schwimmer'!$Z$4:'Spenden-Kalkulation-Schwimmer'!$Z$103,0))</f>
        <v>45</v>
      </c>
      <c r="P8" s="23" t="str">
        <f>INDEX('Spenden-Kalkulation-Schwimmer'!$W$4:'Spenden-Kalkulation-Schwimmer'!$W$103,MATCH(LARGE('Spenden-Kalkulation-Schwimmer'!$Z$4:'Spenden-Kalkulation-Schwimmer'!$Z$103,ROWS('Spenden-Kalkulation-Schwimmer'!$W$4:'Spenden-Kalkulation-Schwimmer'!W7)),'Spenden-Kalkulation-Schwimmer'!$Z$4:'Spenden-Kalkulation-Schwimmer'!$Z$103,0))</f>
        <v>Sehrt</v>
      </c>
      <c r="Q8" s="23" t="str">
        <f>INDEX('Spenden-Kalkulation-Schwimmer'!$X$4:'Spenden-Kalkulation-Schwimmer'!$X$103,MATCH(LARGE('Spenden-Kalkulation-Schwimmer'!$Z$4:'Spenden-Kalkulation-Schwimmer'!$Z$103,ROWS('Spenden-Kalkulation-Schwimmer'!$X$4:'Spenden-Kalkulation-Schwimmer'!X7)),'Spenden-Kalkulation-Schwimmer'!$Z$4:'Spenden-Kalkulation-Schwimmer'!$Z$103,0))</f>
        <v>Fransiska</v>
      </c>
      <c r="R8" s="38">
        <f>INDEX('Spenden-Kalkulation-Schwimmer'!$Y$4:'Spenden-Kalkulation-Schwimmer'!$Y$103,MATCH(LARGE('Spenden-Kalkulation-Schwimmer'!$Z$4:'Spenden-Kalkulation-Schwimmer'!$Z$103,ROWS('Spenden-Kalkulation-Schwimmer'!$Y$4:'Spenden-Kalkulation-Schwimmer'!Y7)),'Spenden-Kalkulation-Schwimmer'!$Z$4:'Spenden-Kalkulation-Schwimmer'!$Z$103,0))</f>
        <v>40</v>
      </c>
      <c r="S8" s="23">
        <f>LARGE('Spenden-Kalkulation-Schwimmer'!$Z$4:'Spenden-Kalkulation-Schwimmer'!$Z$103,ROWS('Spenden-Kalkulation-Schwimmer'!Z$4:'Spenden-Kalkulation-Schwimmer'!Z7))</f>
        <v>80</v>
      </c>
    </row>
    <row r="9" spans="1:19" x14ac:dyDescent="0.35">
      <c r="A9" s="23">
        <f>INDEX('Spenden-Kalkulation-Schwimmer'!$H$4:'Spenden-Kalkulation-Schwimmer'!$H$103,MATCH(LARGE('Spenden-Kalkulation-Schwimmer'!$L$4:'Spenden-Kalkulation-Schwimmer'!$L$103,ROWS('Spenden-Kalkulation-Schwimmer'!$H$4:'Spenden-Kalkulation-Schwimmer'!H8)),'Spenden-Kalkulation-Schwimmer'!$L$4:'Spenden-Kalkulation-Schwimmer'!$L$103,0))</f>
        <v>60</v>
      </c>
      <c r="B9" s="23" t="str">
        <f>INDEX('Spenden-Kalkulation-Schwimmer'!$I$4:'Spenden-Kalkulation-Schwimmer'!$I$103,MATCH(LARGE('Spenden-Kalkulation-Schwimmer'!$L$4:'Spenden-Kalkulation-Schwimmer'!$L$103,ROWS('Spenden-Kalkulation-Schwimmer'!$I$4:'Spenden-Kalkulation-Schwimmer'!I8)),'Spenden-Kalkulation-Schwimmer'!$L$4:'Spenden-Kalkulation-Schwimmer'!$L$103,0))</f>
        <v>Vorreiter</v>
      </c>
      <c r="C9" s="23" t="str">
        <f>INDEX('Spenden-Kalkulation-Schwimmer'!$J$4:'Spenden-Kalkulation-Schwimmer'!$J$103,MATCH(LARGE('Spenden-Kalkulation-Schwimmer'!$L$4:'Spenden-Kalkulation-Schwimmer'!$L$103,ROWS('Spenden-Kalkulation-Schwimmer'!$J$4:'Spenden-Kalkulation-Schwimmer'!J8)),'Spenden-Kalkulation-Schwimmer'!$L$4:'Spenden-Kalkulation-Schwimmer'!$L$103,0))</f>
        <v>Pia</v>
      </c>
      <c r="D9" s="38">
        <f>INDEX('Spenden-Kalkulation-Schwimmer'!$K$4:'Spenden-Kalkulation-Schwimmer'!$K$103,MATCH(LARGE('Spenden-Kalkulation-Schwimmer'!$L$4:'Spenden-Kalkulation-Schwimmer'!$L$103,ROWS('Spenden-Kalkulation-Schwimmer'!$K$4:'Spenden-Kalkulation-Schwimmer'!K8)),'Spenden-Kalkulation-Schwimmer'!$L$4:'Spenden-Kalkulation-Schwimmer'!$L$103,0))</f>
        <v>48</v>
      </c>
      <c r="E9" s="23">
        <f>LARGE('Spenden-Kalkulation-Schwimmer'!$L$4:'Spenden-Kalkulation-Schwimmer'!$L$103,ROWS('Spenden-Kalkulation-Schwimmer'!L$4:'Spenden-Kalkulation-Schwimmer'!L8))</f>
        <v>96</v>
      </c>
      <c r="H9" s="23">
        <f>INDEX('Spenden-Kalkulation-Schwimmer'!$O$4:'Spenden-Kalkulation-Schwimmer'!$O$103,MATCH(LARGE('Spenden-Kalkulation-Schwimmer'!$S$4:'Spenden-Kalkulation-Schwimmer'!$S$103,ROWS('Spenden-Kalkulation-Schwimmer'!$O$4:'Spenden-Kalkulation-Schwimmer'!O8)),'Spenden-Kalkulation-Schwimmer'!$S$4:'Spenden-Kalkulation-Schwimmer'!$S$103,0))</f>
        <v>70</v>
      </c>
      <c r="I9" s="23" t="str">
        <f>INDEX('Spenden-Kalkulation-Schwimmer'!$P$4:'Spenden-Kalkulation-Schwimmer'!$P$103,MATCH(LARGE('Spenden-Kalkulation-Schwimmer'!$S$4:'Spenden-Kalkulation-Schwimmer'!$S$103,ROWS('Spenden-Kalkulation-Schwimmer'!$P$4:'Spenden-Kalkulation-Schwimmer'!P8)),'Spenden-Kalkulation-Schwimmer'!$S$4:'Spenden-Kalkulation-Schwimmer'!$S$103,0))</f>
        <v>Bronner</v>
      </c>
      <c r="J9" s="23" t="str">
        <f>INDEX('Spenden-Kalkulation-Schwimmer'!$Q$4:'Spenden-Kalkulation-Schwimmer'!$Q$103,MATCH(LARGE('Spenden-Kalkulation-Schwimmer'!$S$4:'Spenden-Kalkulation-Schwimmer'!$S$103,ROWS('Spenden-Kalkulation-Schwimmer'!$Q$4:'Spenden-Kalkulation-Schwimmer'!Q8)),'Spenden-Kalkulation-Schwimmer'!$S$4:'Spenden-Kalkulation-Schwimmer'!$S$103,0))</f>
        <v>Camie</v>
      </c>
      <c r="K9" s="38">
        <f>INDEX('Spenden-Kalkulation-Schwimmer'!$R$4:'Spenden-Kalkulation-Schwimmer'!$R$103,MATCH(LARGE('Spenden-Kalkulation-Schwimmer'!$S$4:'Spenden-Kalkulation-Schwimmer'!$S$103,ROWS('Spenden-Kalkulation-Schwimmer'!$R$4:'Spenden-Kalkulation-Schwimmer'!R8)),'Spenden-Kalkulation-Schwimmer'!$S$4:'Spenden-Kalkulation-Schwimmer'!$S$103,0))</f>
        <v>30</v>
      </c>
      <c r="L9" s="23">
        <f>LARGE('Spenden-Kalkulation-Schwimmer'!$S$4:'Spenden-Kalkulation-Schwimmer'!$S$103,ROWS('Spenden-Kalkulation-Schwimmer'!S$4:'Spenden-Kalkulation-Schwimmer'!S8))</f>
        <v>60</v>
      </c>
      <c r="O9" s="23">
        <f>INDEX('Spenden-Kalkulation-Schwimmer'!$V$4:'Spenden-Kalkulation-Schwimmer'!$V$103,MATCH(LARGE('Spenden-Kalkulation-Schwimmer'!$Z$4:'Spenden-Kalkulation-Schwimmer'!$Z$103,ROWS('Spenden-Kalkulation-Schwimmer'!$V$4:'Spenden-Kalkulation-Schwimmer'!V8)),'Spenden-Kalkulation-Schwimmer'!$Z$4:'Spenden-Kalkulation-Schwimmer'!$Z$103,0))</f>
        <v>63</v>
      </c>
      <c r="P9" s="23" t="str">
        <f>INDEX('Spenden-Kalkulation-Schwimmer'!$W$4:'Spenden-Kalkulation-Schwimmer'!$W$103,MATCH(LARGE('Spenden-Kalkulation-Schwimmer'!$Z$4:'Spenden-Kalkulation-Schwimmer'!$Z$103,ROWS('Spenden-Kalkulation-Schwimmer'!$W$4:'Spenden-Kalkulation-Schwimmer'!W8)),'Spenden-Kalkulation-Schwimmer'!$Z$4:'Spenden-Kalkulation-Schwimmer'!$Z$103,0))</f>
        <v>Rink</v>
      </c>
      <c r="Q9" s="23" t="str">
        <f>INDEX('Spenden-Kalkulation-Schwimmer'!$X$4:'Spenden-Kalkulation-Schwimmer'!$X$103,MATCH(LARGE('Spenden-Kalkulation-Schwimmer'!$Z$4:'Spenden-Kalkulation-Schwimmer'!$Z$103,ROWS('Spenden-Kalkulation-Schwimmer'!$X$4:'Spenden-Kalkulation-Schwimmer'!X8)),'Spenden-Kalkulation-Schwimmer'!$Z$4:'Spenden-Kalkulation-Schwimmer'!$Z$103,0))</f>
        <v>Wiebke</v>
      </c>
      <c r="R9" s="38">
        <f>INDEX('Spenden-Kalkulation-Schwimmer'!$Y$4:'Spenden-Kalkulation-Schwimmer'!$Y$103,MATCH(LARGE('Spenden-Kalkulation-Schwimmer'!$Z$4:'Spenden-Kalkulation-Schwimmer'!$Z$103,ROWS('Spenden-Kalkulation-Schwimmer'!$Y$4:'Spenden-Kalkulation-Schwimmer'!Y8)),'Spenden-Kalkulation-Schwimmer'!$Z$4:'Spenden-Kalkulation-Schwimmer'!$Z$103,0))</f>
        <v>95</v>
      </c>
      <c r="S9" s="23">
        <f>LARGE('Spenden-Kalkulation-Schwimmer'!$Z$4:'Spenden-Kalkulation-Schwimmer'!$Z$103,ROWS('Spenden-Kalkulation-Schwimmer'!Z$4:'Spenden-Kalkulation-Schwimmer'!Z8))</f>
        <v>76</v>
      </c>
    </row>
    <row r="18" spans="1:20" ht="15" thickBot="1" x14ac:dyDescent="0.4">
      <c r="A18" t="s">
        <v>15</v>
      </c>
      <c r="H18" t="s">
        <v>16</v>
      </c>
    </row>
    <row r="19" spans="1:20" ht="43.5" x14ac:dyDescent="0.35">
      <c r="A19" s="17" t="s">
        <v>1</v>
      </c>
      <c r="B19" s="18" t="s">
        <v>2</v>
      </c>
      <c r="C19" s="18" t="s">
        <v>3</v>
      </c>
      <c r="D19" s="19" t="s">
        <v>111</v>
      </c>
      <c r="E19" s="19" t="s">
        <v>6</v>
      </c>
      <c r="F19" s="19" t="s">
        <v>40</v>
      </c>
      <c r="H19" s="17" t="s">
        <v>1</v>
      </c>
      <c r="I19" s="18" t="s">
        <v>2</v>
      </c>
      <c r="J19" s="18" t="s">
        <v>3</v>
      </c>
      <c r="K19" s="19" t="s">
        <v>111</v>
      </c>
      <c r="L19" s="19" t="s">
        <v>110</v>
      </c>
      <c r="M19" s="19" t="s">
        <v>40</v>
      </c>
    </row>
    <row r="20" spans="1:20" x14ac:dyDescent="0.35">
      <c r="A20" s="23">
        <f ca="1">INDEX('Stammdaten Teams'!$A$4:'Stammdaten Teams'!$A$103,MATCH(LARGE('Stammdaten Teams'!$E$4:'Stammdaten Teams'!$E$103,ROWS('Stammdaten Teams'!$A$4:'Stammdaten Teams'!A4)),'Stammdaten Teams'!$E$4:'Stammdaten Teams'!$E$103,0))</f>
        <v>503</v>
      </c>
      <c r="B20" s="23" t="str">
        <f ca="1">INDEX('Stammdaten Teams'!$B$4:'Stammdaten Teams'!$B$103,MATCH(LARGE('Stammdaten Teams'!$E$4:'Stammdaten Teams'!$E$103,ROWS('Stammdaten Teams'!$B$4:'Stammdaten Teams'!B4)),'Stammdaten Teams'!$E$4:'Stammdaten Teams'!$E$103,0))</f>
        <v>TVV Schwimm</v>
      </c>
      <c r="C20" s="23" t="str">
        <f ca="1">INDEX('Stammdaten Teams'!$C$4:'Stammdaten Teams'!$C$103,MATCH(LARGE('Stammdaten Teams'!$E$4:'Stammdaten Teams'!$E$103,ROWS('Stammdaten Teams'!$C$4:'Stammdaten Teams'!C4)),'Stammdaten Teams'!$E$4:'Stammdaten Teams'!$E$103,0))</f>
        <v>Tim Bauer</v>
      </c>
      <c r="D20" s="23">
        <f ca="1">INDEX('Stammdaten Teams'!$D$4:'Stammdaten Teams'!$D$103,MATCH(LARGE('Stammdaten Teams'!$E$4:'Stammdaten Teams'!$E$103,ROWS('Stammdaten Teams'!$D$4:'Stammdaten Teams'!D4)),'Stammdaten Teams'!$E$4:'Stammdaten Teams'!$E$103,0))</f>
        <v>31</v>
      </c>
      <c r="E20" s="24">
        <f ca="1">LARGE('Stammdaten Teams'!$E$4:'Stammdaten Teams'!$E$103,ROWS('Stammdaten Teams'!E$4:'Stammdaten Teams'!E4))</f>
        <v>1636</v>
      </c>
      <c r="F20" s="38">
        <f ca="1">INDEX('Stammdaten Teams'!$G$4:'Stammdaten Teams'!$G$103,MATCH(LARGE('Stammdaten Teams'!$E$4:'Stammdaten Teams'!$E$103,ROWS('Stammdaten Teams'!$G$4:'Stammdaten Teams'!G4)),'Stammdaten Teams'!$E$4:'Stammdaten Teams'!$E$103,0))</f>
        <v>818</v>
      </c>
      <c r="H20" s="23">
        <f ca="1">INDEX('Stammdaten Teams'!$A$4:'Stammdaten Teams'!$A$103,MATCH(LARGE('Stammdaten Teams'!$H$4:'Stammdaten Teams'!$H$103,ROWS('Stammdaten Teams'!$A$4:'Stammdaten Teams'!A4)),'Stammdaten Teams'!$H$4:'Stammdaten Teams'!$H$103,0))</f>
        <v>505</v>
      </c>
      <c r="I20" s="23" t="str">
        <f ca="1">INDEX('Stammdaten Teams'!$B$4:'Stammdaten Teams'!$B$103,MATCH(LARGE('Stammdaten Teams'!$H$4:'Stammdaten Teams'!$H$103,ROWS('Stammdaten Teams'!$B$4:'Stammdaten Teams'!B4)),'Stammdaten Teams'!$H$4:'Stammdaten Teams'!$H$103,0))</f>
        <v>Kanu Klub</v>
      </c>
      <c r="J20" s="23" t="str">
        <f ca="1">INDEX('Stammdaten Teams'!$C$4:'Stammdaten Teams'!$C$103,MATCH(LARGE('Stammdaten Teams'!$H$4:'Stammdaten Teams'!$H$103,ROWS('Stammdaten Teams'!$C$4:'Stammdaten Teams'!C4)),'Stammdaten Teams'!$H$4:'Stammdaten Teams'!$H$103,0))</f>
        <v>Michael Fischer</v>
      </c>
      <c r="K20" s="23">
        <f ca="1">INDEX('Stammdaten Teams'!$D$4:'Stammdaten Teams'!$D$103,MATCH(LARGE('Stammdaten Teams'!$H$4:'Stammdaten Teams'!$H$103,ROWS('Stammdaten Teams'!$D$4:'Stammdaten Teams'!D4)),'Stammdaten Teams'!$H$4:'Stammdaten Teams'!$H$103,0))</f>
        <v>15</v>
      </c>
      <c r="L20" s="41">
        <f ca="1">LARGE('Stammdaten Teams'!$H$4:'Stammdaten Teams'!$H$103,ROWS('Stammdaten Teams'!H$4:'Stammdaten Teams'!H4))</f>
        <v>63.733333333333334</v>
      </c>
      <c r="M20" s="38">
        <f ca="1">INDEX('Stammdaten Teams'!$G$4:'Stammdaten Teams'!$G$103,MATCH(LARGE('Stammdaten Teams'!$H$4:'Stammdaten Teams'!$H$103,ROWS('Stammdaten Teams'!$G$4:'Stammdaten Teams'!G4)),'Stammdaten Teams'!$H$4:'Stammdaten Teams'!$H$103,0))</f>
        <v>478</v>
      </c>
    </row>
    <row r="21" spans="1:20" x14ac:dyDescent="0.35">
      <c r="A21" s="23">
        <f ca="1">INDEX('Stammdaten Teams'!$A$4:'Stammdaten Teams'!$A$103,MATCH(LARGE('Stammdaten Teams'!$E$4:'Stammdaten Teams'!$E$103,ROWS('Stammdaten Teams'!$A$4:'Stammdaten Teams'!A5)),'Stammdaten Teams'!$E$4:'Stammdaten Teams'!$E$103,0))</f>
        <v>502</v>
      </c>
      <c r="B21" s="23" t="str">
        <f ca="1">INDEX('Stammdaten Teams'!$B$4:'Stammdaten Teams'!$B$103,MATCH(LARGE('Stammdaten Teams'!$E$4:'Stammdaten Teams'!$E$103,ROWS('Stammdaten Teams'!$B$4:'Stammdaten Teams'!B5)),'Stammdaten Teams'!$E$4:'Stammdaten Teams'!$E$103,0))</f>
        <v>DLRG</v>
      </c>
      <c r="C21" s="23" t="str">
        <f ca="1">INDEX('Stammdaten Teams'!$C$4:'Stammdaten Teams'!$C$103,MATCH(LARGE('Stammdaten Teams'!$E$4:'Stammdaten Teams'!$E$103,ROWS('Stammdaten Teams'!$C$4:'Stammdaten Teams'!C5)),'Stammdaten Teams'!$E$4:'Stammdaten Teams'!$E$103,0))</f>
        <v>Thomas Schmid</v>
      </c>
      <c r="D21" s="23">
        <f ca="1">INDEX('Stammdaten Teams'!$D$4:'Stammdaten Teams'!$D$103,MATCH(LARGE('Stammdaten Teams'!$E$4:'Stammdaten Teams'!$E$103,ROWS('Stammdaten Teams'!$D$4:'Stammdaten Teams'!D5)),'Stammdaten Teams'!$E$4:'Stammdaten Teams'!$E$103,0))</f>
        <v>25</v>
      </c>
      <c r="E21" s="24">
        <f ca="1">LARGE('Stammdaten Teams'!$E$4:'Stammdaten Teams'!$E$103,ROWS('Stammdaten Teams'!E$4:'Stammdaten Teams'!E5))</f>
        <v>1345</v>
      </c>
      <c r="F21" s="38">
        <f ca="1">INDEX('Stammdaten Teams'!$G$4:'Stammdaten Teams'!$G$103,MATCH(LARGE('Stammdaten Teams'!$E$4:'Stammdaten Teams'!$E$103,ROWS('Stammdaten Teams'!$G$4:'Stammdaten Teams'!G5)),'Stammdaten Teams'!$E$4:'Stammdaten Teams'!$E$103,0))</f>
        <v>672.5</v>
      </c>
      <c r="H21" s="23">
        <f ca="1">INDEX('Stammdaten Teams'!$A$4:'Stammdaten Teams'!$A$103,MATCH(LARGE('Stammdaten Teams'!$H$4:'Stammdaten Teams'!$H$103,ROWS('Stammdaten Teams'!$A$4:'Stammdaten Teams'!A5)),'Stammdaten Teams'!$H$4:'Stammdaten Teams'!$H$103,0))</f>
        <v>502</v>
      </c>
      <c r="I21" s="23" t="str">
        <f ca="1">INDEX('Stammdaten Teams'!$B$4:'Stammdaten Teams'!$B$103,MATCH(LARGE('Stammdaten Teams'!$H$4:'Stammdaten Teams'!$H$103,ROWS('Stammdaten Teams'!$B$4:'Stammdaten Teams'!B5)),'Stammdaten Teams'!$H$4:'Stammdaten Teams'!$H$103,0))</f>
        <v>DLRG</v>
      </c>
      <c r="J21" s="23" t="str">
        <f ca="1">INDEX('Stammdaten Teams'!$C$4:'Stammdaten Teams'!$C$103,MATCH(LARGE('Stammdaten Teams'!$H$4:'Stammdaten Teams'!$H$103,ROWS('Stammdaten Teams'!$C$4:'Stammdaten Teams'!C5)),'Stammdaten Teams'!$H$4:'Stammdaten Teams'!$H$103,0))</f>
        <v>Thomas Schmid</v>
      </c>
      <c r="K21" s="23">
        <f ca="1">INDEX('Stammdaten Teams'!$D$4:'Stammdaten Teams'!$D$103,MATCH(LARGE('Stammdaten Teams'!$H$4:'Stammdaten Teams'!$H$103,ROWS('Stammdaten Teams'!$D$4:'Stammdaten Teams'!D5)),'Stammdaten Teams'!$H$4:'Stammdaten Teams'!$H$103,0))</f>
        <v>25</v>
      </c>
      <c r="L21" s="41">
        <f ca="1">LARGE('Stammdaten Teams'!$H$4:'Stammdaten Teams'!$H$103,ROWS('Stammdaten Teams'!H$4:'Stammdaten Teams'!H5))</f>
        <v>53.8</v>
      </c>
      <c r="M21" s="38">
        <f ca="1">INDEX('Stammdaten Teams'!$G$4:'Stammdaten Teams'!$G$103,MATCH(LARGE('Stammdaten Teams'!$H$4:'Stammdaten Teams'!$H$103,ROWS('Stammdaten Teams'!$G$4:'Stammdaten Teams'!G5)),'Stammdaten Teams'!$H$4:'Stammdaten Teams'!$H$103,0))</f>
        <v>672.5</v>
      </c>
    </row>
    <row r="22" spans="1:20" x14ac:dyDescent="0.35">
      <c r="A22" s="23">
        <f ca="1">INDEX('Stammdaten Teams'!$A$4:'Stammdaten Teams'!$A$103,MATCH(LARGE('Stammdaten Teams'!$E$4:'Stammdaten Teams'!$E$103,ROWS('Stammdaten Teams'!$A$4:'Stammdaten Teams'!A6)),'Stammdaten Teams'!$E$4:'Stammdaten Teams'!$E$103,0))</f>
        <v>505</v>
      </c>
      <c r="B22" s="23" t="str">
        <f ca="1">INDEX('Stammdaten Teams'!$B$4:'Stammdaten Teams'!$B$103,MATCH(LARGE('Stammdaten Teams'!$E$4:'Stammdaten Teams'!$E$103,ROWS('Stammdaten Teams'!$B$4:'Stammdaten Teams'!B6)),'Stammdaten Teams'!$E$4:'Stammdaten Teams'!$E$103,0))</f>
        <v>Kanu Klub</v>
      </c>
      <c r="C22" s="23" t="str">
        <f ca="1">INDEX('Stammdaten Teams'!$C$4:'Stammdaten Teams'!$C$103,MATCH(LARGE('Stammdaten Teams'!$E$4:'Stammdaten Teams'!$E$103,ROWS('Stammdaten Teams'!$C$4:'Stammdaten Teams'!C6)),'Stammdaten Teams'!$E$4:'Stammdaten Teams'!$E$103,0))</f>
        <v>Michael Fischer</v>
      </c>
      <c r="D22" s="23">
        <f ca="1">INDEX('Stammdaten Teams'!$D$4:'Stammdaten Teams'!$D$103,MATCH(LARGE('Stammdaten Teams'!$E$4:'Stammdaten Teams'!$E$103,ROWS('Stammdaten Teams'!$D$4:'Stammdaten Teams'!D6)),'Stammdaten Teams'!$E$4:'Stammdaten Teams'!$E$103,0))</f>
        <v>15</v>
      </c>
      <c r="E22" s="24">
        <f ca="1">LARGE('Stammdaten Teams'!$E$4:'Stammdaten Teams'!$E$103,ROWS('Stammdaten Teams'!E$4:'Stammdaten Teams'!E6))</f>
        <v>956</v>
      </c>
      <c r="F22" s="38">
        <f ca="1">INDEX('Stammdaten Teams'!$G$4:'Stammdaten Teams'!$G$103,MATCH(LARGE('Stammdaten Teams'!$E$4:'Stammdaten Teams'!$E$103,ROWS('Stammdaten Teams'!$G$4:'Stammdaten Teams'!G6)),'Stammdaten Teams'!$E$4:'Stammdaten Teams'!$E$103,0))</f>
        <v>478</v>
      </c>
      <c r="H22" s="23">
        <f ca="1">INDEX('Stammdaten Teams'!$A$4:'Stammdaten Teams'!$A$103,MATCH(LARGE('Stammdaten Teams'!$H$4:'Stammdaten Teams'!$H$103,ROWS('Stammdaten Teams'!$A$4:'Stammdaten Teams'!A6)),'Stammdaten Teams'!$H$4:'Stammdaten Teams'!$H$103,0))</f>
        <v>503</v>
      </c>
      <c r="I22" s="23" t="str">
        <f ca="1">INDEX('Stammdaten Teams'!$B$4:'Stammdaten Teams'!$B$103,MATCH(LARGE('Stammdaten Teams'!$H$4:'Stammdaten Teams'!$H$103,ROWS('Stammdaten Teams'!$B$4:'Stammdaten Teams'!B6)),'Stammdaten Teams'!$H$4:'Stammdaten Teams'!$H$103,0))</f>
        <v>TVV Schwimm</v>
      </c>
      <c r="J22" s="23" t="str">
        <f ca="1">INDEX('Stammdaten Teams'!$C$4:'Stammdaten Teams'!$C$103,MATCH(LARGE('Stammdaten Teams'!$H$4:'Stammdaten Teams'!$H$103,ROWS('Stammdaten Teams'!$C$4:'Stammdaten Teams'!C6)),'Stammdaten Teams'!$H$4:'Stammdaten Teams'!$H$103,0))</f>
        <v>Tim Bauer</v>
      </c>
      <c r="K22" s="23">
        <f ca="1">INDEX('Stammdaten Teams'!$D$4:'Stammdaten Teams'!$D$103,MATCH(LARGE('Stammdaten Teams'!$H$4:'Stammdaten Teams'!$H$103,ROWS('Stammdaten Teams'!$D$4:'Stammdaten Teams'!D6)),'Stammdaten Teams'!$H$4:'Stammdaten Teams'!$H$103,0))</f>
        <v>31</v>
      </c>
      <c r="L22" s="41">
        <f ca="1">LARGE('Stammdaten Teams'!$H$4:'Stammdaten Teams'!$H$103,ROWS('Stammdaten Teams'!H$4:'Stammdaten Teams'!H6))</f>
        <v>52.774193548387096</v>
      </c>
      <c r="M22" s="38">
        <f ca="1">INDEX('Stammdaten Teams'!$G$4:'Stammdaten Teams'!$G$103,MATCH(LARGE('Stammdaten Teams'!$H$4:'Stammdaten Teams'!$H$103,ROWS('Stammdaten Teams'!$G$4:'Stammdaten Teams'!G6)),'Stammdaten Teams'!$H$4:'Stammdaten Teams'!$H$103,0))</f>
        <v>818</v>
      </c>
    </row>
    <row r="23" spans="1:20" x14ac:dyDescent="0.35">
      <c r="A23" s="23">
        <f ca="1">INDEX('Stammdaten Teams'!$A$4:'Stammdaten Teams'!$A$103,MATCH(LARGE('Stammdaten Teams'!$E$4:'Stammdaten Teams'!$E$103,ROWS('Stammdaten Teams'!$A$4:'Stammdaten Teams'!A7)),'Stammdaten Teams'!$E$4:'Stammdaten Teams'!$E$103,0))</f>
        <v>504</v>
      </c>
      <c r="B23" s="23" t="str">
        <f ca="1">INDEX('Stammdaten Teams'!$B$4:'Stammdaten Teams'!$B$103,MATCH(LARGE('Stammdaten Teams'!$E$4:'Stammdaten Teams'!$E$103,ROWS('Stammdaten Teams'!$B$4:'Stammdaten Teams'!B7)),'Stammdaten Teams'!$E$4:'Stammdaten Teams'!$E$103,0))</f>
        <v>Schildkröten</v>
      </c>
      <c r="C23" s="23" t="str">
        <f ca="1">INDEX('Stammdaten Teams'!$C$4:'Stammdaten Teams'!$C$103,MATCH(LARGE('Stammdaten Teams'!$E$4:'Stammdaten Teams'!$E$103,ROWS('Stammdaten Teams'!$C$4:'Stammdaten Teams'!C7)),'Stammdaten Teams'!$E$4:'Stammdaten Teams'!$E$103,0))</f>
        <v>Symmetree GmbH</v>
      </c>
      <c r="D23" s="23">
        <f ca="1">INDEX('Stammdaten Teams'!$D$4:'Stammdaten Teams'!$D$103,MATCH(LARGE('Stammdaten Teams'!$E$4:'Stammdaten Teams'!$E$103,ROWS('Stammdaten Teams'!$D$4:'Stammdaten Teams'!D7)),'Stammdaten Teams'!$E$4:'Stammdaten Teams'!$E$103,0))</f>
        <v>4</v>
      </c>
      <c r="E23" s="24">
        <f ca="1">LARGE('Stammdaten Teams'!$E$4:'Stammdaten Teams'!$E$103,ROWS('Stammdaten Teams'!E$4:'Stammdaten Teams'!E7))</f>
        <v>182</v>
      </c>
      <c r="F23" s="38">
        <f ca="1">INDEX('Stammdaten Teams'!$G$4:'Stammdaten Teams'!$G$103,MATCH(LARGE('Stammdaten Teams'!$E$4:'Stammdaten Teams'!$E$103,ROWS('Stammdaten Teams'!$G$4:'Stammdaten Teams'!G7)),'Stammdaten Teams'!$E$4:'Stammdaten Teams'!$E$103,0))</f>
        <v>91</v>
      </c>
      <c r="H23" s="23">
        <f ca="1">INDEX('Stammdaten Teams'!$A$4:'Stammdaten Teams'!$A$103,MATCH(LARGE('Stammdaten Teams'!$H$4:'Stammdaten Teams'!$H$103,ROWS('Stammdaten Teams'!$A$4:'Stammdaten Teams'!A7)),'Stammdaten Teams'!$H$4:'Stammdaten Teams'!$H$103,0))</f>
        <v>504</v>
      </c>
      <c r="I23" s="23" t="str">
        <f ca="1">INDEX('Stammdaten Teams'!$B$4:'Stammdaten Teams'!$B$103,MATCH(LARGE('Stammdaten Teams'!$H$4:'Stammdaten Teams'!$H$103,ROWS('Stammdaten Teams'!$B$4:'Stammdaten Teams'!B7)),'Stammdaten Teams'!$H$4:'Stammdaten Teams'!$H$103,0))</f>
        <v>Schildkröten</v>
      </c>
      <c r="J23" s="23" t="str">
        <f ca="1">INDEX('Stammdaten Teams'!$C$4:'Stammdaten Teams'!$C$103,MATCH(LARGE('Stammdaten Teams'!$H$4:'Stammdaten Teams'!$H$103,ROWS('Stammdaten Teams'!$C$4:'Stammdaten Teams'!C7)),'Stammdaten Teams'!$H$4:'Stammdaten Teams'!$H$103,0))</f>
        <v>Symmetree GmbH</v>
      </c>
      <c r="K23" s="23">
        <f ca="1">INDEX('Stammdaten Teams'!$D$4:'Stammdaten Teams'!$D$103,MATCH(LARGE('Stammdaten Teams'!$H$4:'Stammdaten Teams'!$H$103,ROWS('Stammdaten Teams'!$D$4:'Stammdaten Teams'!D7)),'Stammdaten Teams'!$H$4:'Stammdaten Teams'!$H$103,0))</f>
        <v>4</v>
      </c>
      <c r="L23" s="41">
        <f ca="1">LARGE('Stammdaten Teams'!$H$4:'Stammdaten Teams'!$H$103,ROWS('Stammdaten Teams'!H$4:'Stammdaten Teams'!H7))</f>
        <v>45.5</v>
      </c>
      <c r="M23" s="38">
        <f ca="1">INDEX('Stammdaten Teams'!$G$4:'Stammdaten Teams'!$G$103,MATCH(LARGE('Stammdaten Teams'!$H$4:'Stammdaten Teams'!$H$103,ROWS('Stammdaten Teams'!$G$4:'Stammdaten Teams'!G7)),'Stammdaten Teams'!$H$4:'Stammdaten Teams'!$H$103,0))</f>
        <v>91</v>
      </c>
    </row>
    <row r="24" spans="1:20" x14ac:dyDescent="0.35">
      <c r="A24" s="23">
        <f ca="1">INDEX('Stammdaten Teams'!$A$4:'Stammdaten Teams'!$A$103,MATCH(LARGE('Stammdaten Teams'!$E$4:'Stammdaten Teams'!$E$103,ROWS('Stammdaten Teams'!$A$4:'Stammdaten Teams'!A8)),'Stammdaten Teams'!$E$4:'Stammdaten Teams'!$E$103,0))</f>
        <v>506</v>
      </c>
      <c r="B24" s="23">
        <f ca="1">INDEX('Stammdaten Teams'!$B$4:'Stammdaten Teams'!$B$103,MATCH(LARGE('Stammdaten Teams'!$E$4:'Stammdaten Teams'!$E$103,ROWS('Stammdaten Teams'!$B$4:'Stammdaten Teams'!B8)),'Stammdaten Teams'!$E$4:'Stammdaten Teams'!$E$103,0))</f>
        <v>0</v>
      </c>
      <c r="C24" s="23">
        <f ca="1">INDEX('Stammdaten Teams'!$C$4:'Stammdaten Teams'!$C$103,MATCH(LARGE('Stammdaten Teams'!$E$4:'Stammdaten Teams'!$E$103,ROWS('Stammdaten Teams'!$C$4:'Stammdaten Teams'!C8)),'Stammdaten Teams'!$E$4:'Stammdaten Teams'!$E$103,0))</f>
        <v>0</v>
      </c>
      <c r="D24" s="23">
        <f ca="1">INDEX('Stammdaten Teams'!$D$4:'Stammdaten Teams'!$D$103,MATCH(LARGE('Stammdaten Teams'!$E$4:'Stammdaten Teams'!$E$103,ROWS('Stammdaten Teams'!$D$4:'Stammdaten Teams'!D8)),'Stammdaten Teams'!$E$4:'Stammdaten Teams'!$E$103,0))</f>
        <v>0</v>
      </c>
      <c r="E24" s="24">
        <f ca="1">LARGE('Stammdaten Teams'!$E$4:'Stammdaten Teams'!$E$103,ROWS('Stammdaten Teams'!E$4:'Stammdaten Teams'!E8))</f>
        <v>0</v>
      </c>
      <c r="F24" s="38">
        <f ca="1">INDEX('Stammdaten Teams'!$G$4:'Stammdaten Teams'!$G$103,MATCH(LARGE('Stammdaten Teams'!$E$4:'Stammdaten Teams'!$E$103,ROWS('Stammdaten Teams'!$G$4:'Stammdaten Teams'!G8)),'Stammdaten Teams'!$E$4:'Stammdaten Teams'!$E$103,0))</f>
        <v>0</v>
      </c>
      <c r="H24" s="23">
        <f ca="1">INDEX('Stammdaten Teams'!$A$4:'Stammdaten Teams'!$A$103,MATCH(LARGE('Stammdaten Teams'!$H$4:'Stammdaten Teams'!$H$103,ROWS('Stammdaten Teams'!$A$4:'Stammdaten Teams'!A8)),'Stammdaten Teams'!$H$4:'Stammdaten Teams'!$H$103,0))</f>
        <v>501</v>
      </c>
      <c r="I24" s="23" t="str">
        <f ca="1">INDEX('Stammdaten Teams'!$B$4:'Stammdaten Teams'!$B$103,MATCH(LARGE('Stammdaten Teams'!$H$4:'Stammdaten Teams'!$H$103,ROWS('Stammdaten Teams'!$B$4:'Stammdaten Teams'!B8)),'Stammdaten Teams'!$H$4:'Stammdaten Teams'!$H$103,0))</f>
        <v>FV ETB</v>
      </c>
      <c r="J24" s="23">
        <f ca="1">INDEX('Stammdaten Teams'!$C$4:'Stammdaten Teams'!$C$103,MATCH(LARGE('Stammdaten Teams'!$H$4:'Stammdaten Teams'!$H$103,ROWS('Stammdaten Teams'!$C$4:'Stammdaten Teams'!C8)),'Stammdaten Teams'!$H$4:'Stammdaten Teams'!$H$103,0))</f>
        <v>0</v>
      </c>
      <c r="K24" s="23">
        <f ca="1">INDEX('Stammdaten Teams'!$D$4:'Stammdaten Teams'!$D$103,MATCH(LARGE('Stammdaten Teams'!$H$4:'Stammdaten Teams'!$H$103,ROWS('Stammdaten Teams'!$D$4:'Stammdaten Teams'!D8)),'Stammdaten Teams'!$H$4:'Stammdaten Teams'!$H$103,0))</f>
        <v>0</v>
      </c>
      <c r="L24" s="41">
        <f ca="1">LARGE('Stammdaten Teams'!$H$4:'Stammdaten Teams'!$H$103,ROWS('Stammdaten Teams'!H$4:'Stammdaten Teams'!H8))</f>
        <v>0</v>
      </c>
      <c r="M24" s="38">
        <f ca="1">INDEX('Stammdaten Teams'!$G$4:'Stammdaten Teams'!$G$103,MATCH(LARGE('Stammdaten Teams'!$H$4:'Stammdaten Teams'!$H$103,ROWS('Stammdaten Teams'!$G$4:'Stammdaten Teams'!G8)),'Stammdaten Teams'!$H$4:'Stammdaten Teams'!$H$103,0))</f>
        <v>0</v>
      </c>
    </row>
    <row r="29" spans="1:20" x14ac:dyDescent="0.35">
      <c r="T29">
        <f>'Stammdaten - Schwimmer'!A4</f>
        <v>1</v>
      </c>
    </row>
    <row r="30" spans="1:20" x14ac:dyDescent="0.35">
      <c r="T30" s="42">
        <f>'Spenden-Kalkulation-Schwimmer'!D8</f>
        <v>160</v>
      </c>
    </row>
    <row r="31" spans="1:20" ht="15" thickBot="1" x14ac:dyDescent="0.4">
      <c r="A31" t="s">
        <v>112</v>
      </c>
      <c r="H31" t="s">
        <v>113</v>
      </c>
    </row>
    <row r="32" spans="1:20" ht="29" x14ac:dyDescent="0.35">
      <c r="A32" s="17" t="s">
        <v>109</v>
      </c>
      <c r="B32" s="18" t="s">
        <v>2</v>
      </c>
      <c r="C32" s="18" t="s">
        <v>3</v>
      </c>
      <c r="D32" s="19" t="s">
        <v>4</v>
      </c>
      <c r="E32" s="19" t="s">
        <v>40</v>
      </c>
      <c r="F32" s="19" t="s">
        <v>46</v>
      </c>
      <c r="H32" s="17" t="s">
        <v>1</v>
      </c>
      <c r="I32" s="18" t="s">
        <v>2</v>
      </c>
      <c r="J32" s="18" t="s">
        <v>3</v>
      </c>
      <c r="K32" s="19" t="s">
        <v>4</v>
      </c>
      <c r="L32" s="19" t="s">
        <v>40</v>
      </c>
      <c r="M32" s="19" t="s">
        <v>6</v>
      </c>
    </row>
    <row r="33" spans="1:13" x14ac:dyDescent="0.35">
      <c r="A33" s="23">
        <f>INDEX('Stammdaten - Schwimmer'!$A$4:'Stammdaten - Schwimmer'!$A$103,MATCH(LARGE('Stammdaten - Schwimmer'!$D$4:'Stammdaten - Schwimmer'!$D$103,ROWS('Stammdaten - Schwimmer'!$A$4:'Stammdaten - Schwimmer'!A4)),'Stammdaten - Schwimmer'!$D$4:'Stammdaten - Schwimmer'!$D$103,0))</f>
        <v>35</v>
      </c>
      <c r="B33" s="23" t="str">
        <f>INDEX('Stammdaten - Schwimmer'!$B$4:'Stammdaten - Schwimmer'!$B$103,MATCH(LARGE('Stammdaten - Schwimmer'!$D$4:'Stammdaten - Schwimmer'!$D$103,ROWS('Stammdaten - Schwimmer'!$B$4:'Stammdaten - Schwimmer'!B4)),'Stammdaten - Schwimmer'!$D$4:'Stammdaten - Schwimmer'!$D$103,0))</f>
        <v>Düsterloh</v>
      </c>
      <c r="C33" s="23" t="str">
        <f>INDEX('Stammdaten - Schwimmer'!$C$4:'Stammdaten - Schwimmer'!$C$103,MATCH(LARGE('Stammdaten - Schwimmer'!$D$4:'Stammdaten - Schwimmer'!$D$103,ROWS('Stammdaten - Schwimmer'!$C$4:'Stammdaten - Schwimmer'!C4)),'Stammdaten - Schwimmer'!$D$4:'Stammdaten - Schwimmer'!$D$103,0))</f>
        <v>Kinga</v>
      </c>
      <c r="D33" s="43">
        <f>LARGE('Stammdaten - Schwimmer'!$D$4:'Stammdaten - Schwimmer'!$D$103,ROWS('Stammdaten - Schwimmer'!D$4:'Stammdaten - Schwimmer'!D4))</f>
        <v>43887</v>
      </c>
      <c r="E33" s="22">
        <f>INDEX('Spenden-Kalkulation-Schwimmer'!$D$4:'Spenden-Kalkulation-Schwimmer'!$D$103,MATCH(LARGE('Stammdaten - Schwimmer'!$D$4:'Stammdaten - Schwimmer'!$D$103,ROWS('Spenden-Kalkulation-Schwimmer'!$D$4:'Spenden-Kalkulation-Schwimmer'!D4)),'Stammdaten - Schwimmer'!$D$4:'Stammdaten - Schwimmer'!$D$103,0))</f>
        <v>40</v>
      </c>
      <c r="F33" s="23">
        <f>INDEX('Stammdaten - Schwimmer'!$F$4:'Stammdaten - Schwimmer'!$F$103,MATCH(LARGE('Stammdaten - Schwimmer'!$D$4:'Stammdaten - Schwimmer'!$D$103,ROWS('Stammdaten - Schwimmer'!$F$4:'Stammdaten - Schwimmer'!F4)),'Stammdaten - Schwimmer'!$D$4:'Stammdaten - Schwimmer'!$D$103,0))</f>
        <v>4</v>
      </c>
      <c r="H33" s="23">
        <f>INDEX('Stammdaten - Schwimmer'!$A$4:'Stammdaten - Schwimmer'!$A$103,MATCH(SMALL('Stammdaten - Schwimmer'!$D$4:'Stammdaten - Schwimmer'!$D$103,ROWS('Stammdaten - Schwimmer'!$A$4:'Stammdaten - Schwimmer'!A4)),'Stammdaten - Schwimmer'!$D$4:'Stammdaten - Schwimmer'!$D$103,0))</f>
        <v>39</v>
      </c>
      <c r="I33" s="23" t="str">
        <f>INDEX('Stammdaten - Schwimmer'!$B$4:'Stammdaten - Schwimmer'!$B$103,MATCH(SMALL('Stammdaten - Schwimmer'!$D$4:'Stammdaten - Schwimmer'!$D$103,ROWS('Stammdaten - Schwimmer'!$B$4:'Stammdaten - Schwimmer'!B4)),'Stammdaten - Schwimmer'!$D$4:'Stammdaten - Schwimmer'!$D$103,0))</f>
        <v>Gerngroß</v>
      </c>
      <c r="J33" s="23" t="str">
        <f>INDEX('Stammdaten - Schwimmer'!$C$4:'Stammdaten - Schwimmer'!$C$103,MATCH(SMALL('Stammdaten - Schwimmer'!$D$4:'Stammdaten - Schwimmer'!$D$103,ROWS('Stammdaten - Schwimmer'!$C$4:'Stammdaten - Schwimmer'!C4)),'Stammdaten - Schwimmer'!$D$4:'Stammdaten - Schwimmer'!$D$103,0))</f>
        <v>Heinz</v>
      </c>
      <c r="K33" s="43">
        <f>SMALL('Stammdaten - Schwimmer'!$D$4:'Stammdaten - Schwimmer'!$D$103,ROWS('Stammdaten - Schwimmer'!D$4:'Stammdaten - Schwimmer'!D4))</f>
        <v>17842</v>
      </c>
      <c r="L33" s="38">
        <f>INDEX('Spenden-Kalkulation-Schwimmer'!$D$4:'Spenden-Kalkulation-Schwimmer'!$D$103,MATCH(SMALL('Stammdaten - Schwimmer'!$D$4:'Stammdaten - Schwimmer'!$D$103,ROWS('Spenden-Kalkulation-Schwimmer'!$D$4:'Spenden-Kalkulation-Schwimmer'!D4)),'Stammdaten - Schwimmer'!$D$4:'Stammdaten - Schwimmer'!$D$103,0))</f>
        <v>100</v>
      </c>
      <c r="M33" s="23">
        <f>INDEX('Stammdaten - Schwimmer'!$F$4:'Stammdaten - Schwimmer'!$F$103,MATCH(SMALL('Stammdaten - Schwimmer'!$D$4:'Stammdaten - Schwimmer'!$D$103,ROWS('Stammdaten - Schwimmer'!$F$4:'Stammdaten - Schwimmer'!F4)),'Stammdaten - Schwimmer'!$D$4:'Stammdaten - Schwimmer'!$D$103,0))</f>
        <v>38</v>
      </c>
    </row>
    <row r="34" spans="1:13" x14ac:dyDescent="0.35">
      <c r="A34" s="23">
        <f>INDEX('Stammdaten - Schwimmer'!$A$4:'Stammdaten - Schwimmer'!$A$103,MATCH(LARGE('Stammdaten - Schwimmer'!$D$4:'Stammdaten - Schwimmer'!$D$103,ROWS('Stammdaten - Schwimmer'!$A$4:'Stammdaten - Schwimmer'!A5)),'Stammdaten - Schwimmer'!$D$4:'Stammdaten - Schwimmer'!$D$103,0))</f>
        <v>89</v>
      </c>
      <c r="B34" s="23" t="str">
        <f>INDEX('Stammdaten - Schwimmer'!$B$4:'Stammdaten - Schwimmer'!$B$103,MATCH(LARGE('Stammdaten - Schwimmer'!$D$4:'Stammdaten - Schwimmer'!$D$103,ROWS('Stammdaten - Schwimmer'!$B$4:'Stammdaten - Schwimmer'!B5)),'Stammdaten - Schwimmer'!$D$4:'Stammdaten - Schwimmer'!$D$103,0))</f>
        <v>Montessoro</v>
      </c>
      <c r="C34" s="23" t="str">
        <f>INDEX('Stammdaten - Schwimmer'!$C$4:'Stammdaten - Schwimmer'!$C$103,MATCH(LARGE('Stammdaten - Schwimmer'!$D$4:'Stammdaten - Schwimmer'!$D$103,ROWS('Stammdaten - Schwimmer'!$C$4:'Stammdaten - Schwimmer'!C5)),'Stammdaten - Schwimmer'!$D$4:'Stammdaten - Schwimmer'!$D$103,0))</f>
        <v>Angel</v>
      </c>
      <c r="D34" s="43">
        <f>LARGE('Stammdaten - Schwimmer'!$D$4:'Stammdaten - Schwimmer'!$D$103,ROWS('Stammdaten - Schwimmer'!D$4:'Stammdaten - Schwimmer'!D5))</f>
        <v>43531</v>
      </c>
      <c r="E34" s="22">
        <f>INDEX('Spenden-Kalkulation-Schwimmer'!$D$4:'Spenden-Kalkulation-Schwimmer'!$D$103,MATCH(LARGE('Stammdaten - Schwimmer'!$D$4:'Stammdaten - Schwimmer'!$D$103,ROWS('Spenden-Kalkulation-Schwimmer'!$D$4:'Spenden-Kalkulation-Schwimmer'!D5)),'Stammdaten - Schwimmer'!$D$4:'Stammdaten - Schwimmer'!$D$103,0))</f>
        <v>42</v>
      </c>
      <c r="F34" s="23">
        <f>INDEX('Stammdaten - Schwimmer'!$F$4:'Stammdaten - Schwimmer'!$F$103,MATCH(LARGE('Stammdaten - Schwimmer'!$D$4:'Stammdaten - Schwimmer'!$D$103,ROWS('Stammdaten - Schwimmer'!$F$4:'Stammdaten - Schwimmer'!F5)),'Stammdaten - Schwimmer'!$D$4:'Stammdaten - Schwimmer'!$D$103,0))</f>
        <v>22</v>
      </c>
      <c r="H34" s="23">
        <f>INDEX('Stammdaten - Schwimmer'!$A$4:'Stammdaten - Schwimmer'!$A$103,MATCH(SMALL('Stammdaten - Schwimmer'!$D$4:'Stammdaten - Schwimmer'!$D$103,ROWS('Stammdaten - Schwimmer'!$A$4:'Stammdaten - Schwimmer'!A5)),'Stammdaten - Schwimmer'!$D$4:'Stammdaten - Schwimmer'!$D$103,0))</f>
        <v>86</v>
      </c>
      <c r="I34" s="23" t="str">
        <f>INDEX('Stammdaten - Schwimmer'!$B$4:'Stammdaten - Schwimmer'!$B$103,MATCH(SMALL('Stammdaten - Schwimmer'!$D$4:'Stammdaten - Schwimmer'!$D$103,ROWS('Stammdaten - Schwimmer'!$B$4:'Stammdaten - Schwimmer'!B5)),'Stammdaten - Schwimmer'!$D$4:'Stammdaten - Schwimmer'!$D$103,0))</f>
        <v>Rossner</v>
      </c>
      <c r="J34" s="23" t="str">
        <f>INDEX('Stammdaten - Schwimmer'!$C$4:'Stammdaten - Schwimmer'!$C$103,MATCH(SMALL('Stammdaten - Schwimmer'!$D$4:'Stammdaten - Schwimmer'!$D$103,ROWS('Stammdaten - Schwimmer'!$C$4:'Stammdaten - Schwimmer'!C5)),'Stammdaten - Schwimmer'!$D$4:'Stammdaten - Schwimmer'!$D$103,0))</f>
        <v>Hans-Joachim</v>
      </c>
      <c r="K34" s="43">
        <f>SMALL('Stammdaten - Schwimmer'!$D$4:'Stammdaten - Schwimmer'!$D$103,ROWS('Stammdaten - Schwimmer'!D$4:'Stammdaten - Schwimmer'!D5))</f>
        <v>17924</v>
      </c>
      <c r="L34" s="38">
        <f>INDEX('Spenden-Kalkulation-Schwimmer'!$D$4:'Spenden-Kalkulation-Schwimmer'!$D$103,MATCH(SMALL('Stammdaten - Schwimmer'!$D$4:'Stammdaten - Schwimmer'!$D$103,ROWS('Spenden-Kalkulation-Schwimmer'!$D$4:'Spenden-Kalkulation-Schwimmer'!D5)),'Stammdaten - Schwimmer'!$D$4:'Stammdaten - Schwimmer'!$D$103,0))</f>
        <v>76</v>
      </c>
      <c r="M34" s="23">
        <f>INDEX('Stammdaten - Schwimmer'!$F$4:'Stammdaten - Schwimmer'!$F$103,MATCH(SMALL('Stammdaten - Schwimmer'!$D$4:'Stammdaten - Schwimmer'!$D$103,ROWS('Stammdaten - Schwimmer'!$F$4:'Stammdaten - Schwimmer'!F5)),'Stammdaten - Schwimmer'!$D$4:'Stammdaten - Schwimmer'!$D$103,0))</f>
        <v>38</v>
      </c>
    </row>
    <row r="35" spans="1:13" x14ac:dyDescent="0.35">
      <c r="A35" s="23">
        <f>INDEX('Stammdaten - Schwimmer'!$A$4:'Stammdaten - Schwimmer'!$A$103,MATCH(LARGE('Stammdaten - Schwimmer'!$D$4:'Stammdaten - Schwimmer'!$D$103,ROWS('Stammdaten - Schwimmer'!$A$4:'Stammdaten - Schwimmer'!A6)),'Stammdaten - Schwimmer'!$D$4:'Stammdaten - Schwimmer'!$D$103,0))</f>
        <v>64</v>
      </c>
      <c r="B35" s="23" t="str">
        <f>INDEX('Stammdaten - Schwimmer'!$B$4:'Stammdaten - Schwimmer'!$B$103,MATCH(LARGE('Stammdaten - Schwimmer'!$D$4:'Stammdaten - Schwimmer'!$D$103,ROWS('Stammdaten - Schwimmer'!$B$4:'Stammdaten - Schwimmer'!B6)),'Stammdaten - Schwimmer'!$D$4:'Stammdaten - Schwimmer'!$D$103,0))</f>
        <v>Rink</v>
      </c>
      <c r="C35" s="23" t="str">
        <f>INDEX('Stammdaten - Schwimmer'!$C$4:'Stammdaten - Schwimmer'!$C$103,MATCH(LARGE('Stammdaten - Schwimmer'!$D$4:'Stammdaten - Schwimmer'!$D$103,ROWS('Stammdaten - Schwimmer'!$C$4:'Stammdaten - Schwimmer'!C6)),'Stammdaten - Schwimmer'!$D$4:'Stammdaten - Schwimmer'!$D$103,0))</f>
        <v>Henrik</v>
      </c>
      <c r="D35" s="43">
        <f>LARGE('Stammdaten - Schwimmer'!$D$4:'Stammdaten - Schwimmer'!$D$103,ROWS('Stammdaten - Schwimmer'!D$4:'Stammdaten - Schwimmer'!D6))</f>
        <v>43474</v>
      </c>
      <c r="E35" s="22">
        <f>INDEX('Spenden-Kalkulation-Schwimmer'!$D$4:'Spenden-Kalkulation-Schwimmer'!$D$103,MATCH(LARGE('Stammdaten - Schwimmer'!$D$4:'Stammdaten - Schwimmer'!$D$103,ROWS('Spenden-Kalkulation-Schwimmer'!$D$4:'Spenden-Kalkulation-Schwimmer'!D6)),'Stammdaten - Schwimmer'!$D$4:'Stammdaten - Schwimmer'!$D$103,0))</f>
        <v>17.5</v>
      </c>
      <c r="F35" s="23">
        <f>INDEX('Stammdaten - Schwimmer'!$F$4:'Stammdaten - Schwimmer'!$F$103,MATCH(LARGE('Stammdaten - Schwimmer'!$D$4:'Stammdaten - Schwimmer'!$D$103,ROWS('Stammdaten - Schwimmer'!$F$4:'Stammdaten - Schwimmer'!F6)),'Stammdaten - Schwimmer'!$D$4:'Stammdaten - Schwimmer'!$D$103,0))</f>
        <v>14</v>
      </c>
      <c r="H35" s="23">
        <f>INDEX('Stammdaten - Schwimmer'!$A$4:'Stammdaten - Schwimmer'!$A$103,MATCH(SMALL('Stammdaten - Schwimmer'!$D$4:'Stammdaten - Schwimmer'!$D$103,ROWS('Stammdaten - Schwimmer'!$A$4:'Stammdaten - Schwimmer'!A6)),'Stammdaten - Schwimmer'!$D$4:'Stammdaten - Schwimmer'!$D$103,0))</f>
        <v>40</v>
      </c>
      <c r="I35" s="23" t="str">
        <f>INDEX('Stammdaten - Schwimmer'!$B$4:'Stammdaten - Schwimmer'!$B$103,MATCH(SMALL('Stammdaten - Schwimmer'!$D$4:'Stammdaten - Schwimmer'!$D$103,ROWS('Stammdaten - Schwimmer'!$B$4:'Stammdaten - Schwimmer'!B6)),'Stammdaten - Schwimmer'!$D$4:'Stammdaten - Schwimmer'!$D$103,0))</f>
        <v>Gerloch</v>
      </c>
      <c r="J35" s="23" t="str">
        <f>INDEX('Stammdaten - Schwimmer'!$C$4:'Stammdaten - Schwimmer'!$C$103,MATCH(SMALL('Stammdaten - Schwimmer'!$D$4:'Stammdaten - Schwimmer'!$D$103,ROWS('Stammdaten - Schwimmer'!$C$4:'Stammdaten - Schwimmer'!C6)),'Stammdaten - Schwimmer'!$D$4:'Stammdaten - Schwimmer'!$D$103,0))</f>
        <v>Christine</v>
      </c>
      <c r="K35" s="43">
        <f>SMALL('Stammdaten - Schwimmer'!$D$4:'Stammdaten - Schwimmer'!$D$103,ROWS('Stammdaten - Schwimmer'!D$4:'Stammdaten - Schwimmer'!D6))</f>
        <v>18584</v>
      </c>
      <c r="L35" s="38">
        <f>INDEX('Spenden-Kalkulation-Schwimmer'!$D$4:'Spenden-Kalkulation-Schwimmer'!$D$103,MATCH(SMALL('Stammdaten - Schwimmer'!$D$4:'Stammdaten - Schwimmer'!$D$103,ROWS('Spenden-Kalkulation-Schwimmer'!$D$4:'Spenden-Kalkulation-Schwimmer'!D6)),'Stammdaten - Schwimmer'!$D$4:'Stammdaten - Schwimmer'!$D$103,0))</f>
        <v>100</v>
      </c>
      <c r="M35" s="23">
        <f>INDEX('Stammdaten - Schwimmer'!$F$4:'Stammdaten - Schwimmer'!$F$103,MATCH(SMALL('Stammdaten - Schwimmer'!$D$4:'Stammdaten - Schwimmer'!$D$103,ROWS('Stammdaten - Schwimmer'!$F$4:'Stammdaten - Schwimmer'!F6)),'Stammdaten - Schwimmer'!$D$4:'Stammdaten - Schwimmer'!$D$103,0))</f>
        <v>40</v>
      </c>
    </row>
    <row r="36" spans="1:13" x14ac:dyDescent="0.35">
      <c r="A36" s="23">
        <f>INDEX('Stammdaten - Schwimmer'!$A$4:'Stammdaten - Schwimmer'!$A$103,MATCH(LARGE('Stammdaten - Schwimmer'!$D$4:'Stammdaten - Schwimmer'!$D$103,ROWS('Stammdaten - Schwimmer'!$A$4:'Stammdaten - Schwimmer'!A7)),'Stammdaten - Schwimmer'!$D$4:'Stammdaten - Schwimmer'!$D$103,0))</f>
        <v>80</v>
      </c>
      <c r="B36" s="23" t="str">
        <f>INDEX('Stammdaten - Schwimmer'!$B$4:'Stammdaten - Schwimmer'!$B$103,MATCH(LARGE('Stammdaten - Schwimmer'!$D$4:'Stammdaten - Schwimmer'!$D$103,ROWS('Stammdaten - Schwimmer'!$B$4:'Stammdaten - Schwimmer'!B7)),'Stammdaten - Schwimmer'!$D$4:'Stammdaten - Schwimmer'!$D$103,0))</f>
        <v>Zhou</v>
      </c>
      <c r="C36" s="23" t="str">
        <f>INDEX('Stammdaten - Schwimmer'!$C$4:'Stammdaten - Schwimmer'!$C$103,MATCH(LARGE('Stammdaten - Schwimmer'!$D$4:'Stammdaten - Schwimmer'!$D$103,ROWS('Stammdaten - Schwimmer'!$C$4:'Stammdaten - Schwimmer'!C7)),'Stammdaten - Schwimmer'!$D$4:'Stammdaten - Schwimmer'!$D$103,0))</f>
        <v>Fiona</v>
      </c>
      <c r="D36" s="43">
        <f>LARGE('Stammdaten - Schwimmer'!$D$4:'Stammdaten - Schwimmer'!$D$103,ROWS('Stammdaten - Schwimmer'!D$4:'Stammdaten - Schwimmer'!D7))</f>
        <v>43407</v>
      </c>
      <c r="E36" s="22">
        <f>INDEX('Spenden-Kalkulation-Schwimmer'!$D$4:'Spenden-Kalkulation-Schwimmer'!$D$103,MATCH(LARGE('Stammdaten - Schwimmer'!$D$4:'Stammdaten - Schwimmer'!$D$103,ROWS('Spenden-Kalkulation-Schwimmer'!$D$4:'Spenden-Kalkulation-Schwimmer'!D7)),'Stammdaten - Schwimmer'!$D$4:'Stammdaten - Schwimmer'!$D$103,0))</f>
        <v>24</v>
      </c>
      <c r="F36" s="23">
        <f>INDEX('Stammdaten - Schwimmer'!$F$4:'Stammdaten - Schwimmer'!$F$103,MATCH(LARGE('Stammdaten - Schwimmer'!$D$4:'Stammdaten - Schwimmer'!$D$103,ROWS('Stammdaten - Schwimmer'!$F$4:'Stammdaten - Schwimmer'!F7)),'Stammdaten - Schwimmer'!$D$4:'Stammdaten - Schwimmer'!$D$103,0))</f>
        <v>16</v>
      </c>
      <c r="H36" s="23">
        <f>INDEX('Stammdaten - Schwimmer'!$A$4:'Stammdaten - Schwimmer'!$A$103,MATCH(SMALL('Stammdaten - Schwimmer'!$D$4:'Stammdaten - Schwimmer'!$D$103,ROWS('Stammdaten - Schwimmer'!$A$4:'Stammdaten - Schwimmer'!A7)),'Stammdaten - Schwimmer'!$D$4:'Stammdaten - Schwimmer'!$D$103,0))</f>
        <v>88</v>
      </c>
      <c r="I36" s="23" t="str">
        <f>INDEX('Stammdaten - Schwimmer'!$B$4:'Stammdaten - Schwimmer'!$B$103,MATCH(SMALL('Stammdaten - Schwimmer'!$D$4:'Stammdaten - Schwimmer'!$D$103,ROWS('Stammdaten - Schwimmer'!$B$4:'Stammdaten - Schwimmer'!B7)),'Stammdaten - Schwimmer'!$D$4:'Stammdaten - Schwimmer'!$D$103,0))</f>
        <v>von Dyken</v>
      </c>
      <c r="J36" s="23" t="str">
        <f>INDEX('Stammdaten - Schwimmer'!$C$4:'Stammdaten - Schwimmer'!$C$103,MATCH(SMALL('Stammdaten - Schwimmer'!$D$4:'Stammdaten - Schwimmer'!$D$103,ROWS('Stammdaten - Schwimmer'!$C$4:'Stammdaten - Schwimmer'!C7)),'Stammdaten - Schwimmer'!$D$4:'Stammdaten - Schwimmer'!$D$103,0))</f>
        <v>Waltrud</v>
      </c>
      <c r="K36" s="43">
        <f>SMALL('Stammdaten - Schwimmer'!$D$4:'Stammdaten - Schwimmer'!$D$103,ROWS('Stammdaten - Schwimmer'!D$4:'Stammdaten - Schwimmer'!D7))</f>
        <v>20591</v>
      </c>
      <c r="L36" s="38">
        <f>INDEX('Spenden-Kalkulation-Schwimmer'!$D$4:'Spenden-Kalkulation-Schwimmer'!$D$103,MATCH(SMALL('Stammdaten - Schwimmer'!$D$4:'Stammdaten - Schwimmer'!$D$103,ROWS('Spenden-Kalkulation-Schwimmer'!$D$4:'Spenden-Kalkulation-Schwimmer'!D7)),'Stammdaten - Schwimmer'!$D$4:'Stammdaten - Schwimmer'!$D$103,0))</f>
        <v>40</v>
      </c>
      <c r="M36" s="23">
        <f>INDEX('Stammdaten - Schwimmer'!$F$4:'Stammdaten - Schwimmer'!$F$103,MATCH(SMALL('Stammdaten - Schwimmer'!$D$4:'Stammdaten - Schwimmer'!$D$103,ROWS('Stammdaten - Schwimmer'!$F$4:'Stammdaten - Schwimmer'!F7)),'Stammdaten - Schwimmer'!$D$4:'Stammdaten - Schwimmer'!$D$103,0))</f>
        <v>40</v>
      </c>
    </row>
    <row r="37" spans="1:13" x14ac:dyDescent="0.35">
      <c r="A37" s="23">
        <f>INDEX('Stammdaten - Schwimmer'!$A$4:'Stammdaten - Schwimmer'!$A$103,MATCH(LARGE('Stammdaten - Schwimmer'!$D$4:'Stammdaten - Schwimmer'!$D$103,ROWS('Stammdaten - Schwimmer'!$A$4:'Stammdaten - Schwimmer'!A8)),'Stammdaten - Schwimmer'!$D$4:'Stammdaten - Schwimmer'!$D$103,0))</f>
        <v>34</v>
      </c>
      <c r="B37" s="23" t="str">
        <f>INDEX('Stammdaten - Schwimmer'!$B$4:'Stammdaten - Schwimmer'!$B$103,MATCH(LARGE('Stammdaten - Schwimmer'!$D$4:'Stammdaten - Schwimmer'!$D$103,ROWS('Stammdaten - Schwimmer'!$B$4:'Stammdaten - Schwimmer'!B8)),'Stammdaten - Schwimmer'!$D$4:'Stammdaten - Schwimmer'!$D$103,0))</f>
        <v>Düsterloh</v>
      </c>
      <c r="C37" s="23" t="str">
        <f>INDEX('Stammdaten - Schwimmer'!$C$4:'Stammdaten - Schwimmer'!$C$103,MATCH(LARGE('Stammdaten - Schwimmer'!$D$4:'Stammdaten - Schwimmer'!$D$103,ROWS('Stammdaten - Schwimmer'!$C$4:'Stammdaten - Schwimmer'!C8)),'Stammdaten - Schwimmer'!$D$4:'Stammdaten - Schwimmer'!$D$103,0))</f>
        <v>Casper</v>
      </c>
      <c r="D37" s="43">
        <f>LARGE('Stammdaten - Schwimmer'!$D$4:'Stammdaten - Schwimmer'!$D$103,ROWS('Stammdaten - Schwimmer'!D$4:'Stammdaten - Schwimmer'!D8))</f>
        <v>43311</v>
      </c>
      <c r="E37" s="22">
        <f>INDEX('Spenden-Kalkulation-Schwimmer'!$D$4:'Spenden-Kalkulation-Schwimmer'!$D$103,MATCH(LARGE('Stammdaten - Schwimmer'!$D$4:'Stammdaten - Schwimmer'!$D$103,ROWS('Spenden-Kalkulation-Schwimmer'!$D$4:'Spenden-Kalkulation-Schwimmer'!D8)),'Stammdaten - Schwimmer'!$D$4:'Stammdaten - Schwimmer'!$D$103,0))</f>
        <v>42</v>
      </c>
      <c r="F37" s="23">
        <f>INDEX('Stammdaten - Schwimmer'!$F$4:'Stammdaten - Schwimmer'!$F$103,MATCH(LARGE('Stammdaten - Schwimmer'!$D$4:'Stammdaten - Schwimmer'!$D$103,ROWS('Stammdaten - Schwimmer'!$F$4:'Stammdaten - Schwimmer'!F8)),'Stammdaten - Schwimmer'!$D$4:'Stammdaten - Schwimmer'!$D$103,0))</f>
        <v>4</v>
      </c>
      <c r="H37" s="23">
        <f>INDEX('Stammdaten - Schwimmer'!$A$4:'Stammdaten - Schwimmer'!$A$103,MATCH(SMALL('Stammdaten - Schwimmer'!$D$4:'Stammdaten - Schwimmer'!$D$103,ROWS('Stammdaten - Schwimmer'!$A$4:'Stammdaten - Schwimmer'!A8)),'Stammdaten - Schwimmer'!$D$4:'Stammdaten - Schwimmer'!$D$103,0))</f>
        <v>24</v>
      </c>
      <c r="I37" s="23" t="str">
        <f>INDEX('Stammdaten - Schwimmer'!$B$4:'Stammdaten - Schwimmer'!$B$103,MATCH(SMALL('Stammdaten - Schwimmer'!$D$4:'Stammdaten - Schwimmer'!$D$103,ROWS('Stammdaten - Schwimmer'!$B$4:'Stammdaten - Schwimmer'!B8)),'Stammdaten - Schwimmer'!$D$4:'Stammdaten - Schwimmer'!$D$103,0))</f>
        <v>Schwenk-Fischer</v>
      </c>
      <c r="J37" s="23" t="str">
        <f>INDEX('Stammdaten - Schwimmer'!$C$4:'Stammdaten - Schwimmer'!$C$103,MATCH(SMALL('Stammdaten - Schwimmer'!$D$4:'Stammdaten - Schwimmer'!$D$103,ROWS('Stammdaten - Schwimmer'!$C$4:'Stammdaten - Schwimmer'!C8)),'Stammdaten - Schwimmer'!$D$4:'Stammdaten - Schwimmer'!$D$103,0))</f>
        <v>Eva</v>
      </c>
      <c r="K37" s="43">
        <f>SMALL('Stammdaten - Schwimmer'!$D$4:'Stammdaten - Schwimmer'!$D$103,ROWS('Stammdaten - Schwimmer'!D$4:'Stammdaten - Schwimmer'!D8))</f>
        <v>20973</v>
      </c>
      <c r="L37" s="38">
        <f>INDEX('Spenden-Kalkulation-Schwimmer'!$D$4:'Spenden-Kalkulation-Schwimmer'!$D$103,MATCH(SMALL('Stammdaten - Schwimmer'!$D$4:'Stammdaten - Schwimmer'!$D$103,ROWS('Spenden-Kalkulation-Schwimmer'!$D$4:'Spenden-Kalkulation-Schwimmer'!D8)),'Stammdaten - Schwimmer'!$D$4:'Stammdaten - Schwimmer'!$D$103,0))</f>
        <v>15</v>
      </c>
      <c r="M37" s="23">
        <f>INDEX('Stammdaten - Schwimmer'!$F$4:'Stammdaten - Schwimmer'!$F$103,MATCH(SMALL('Stammdaten - Schwimmer'!$D$4:'Stammdaten - Schwimmer'!$D$103,ROWS('Stammdaten - Schwimmer'!$F$4:'Stammdaten - Schwimmer'!F8)),'Stammdaten - Schwimmer'!$D$4:'Stammdaten - Schwimmer'!$D$103,0))</f>
        <v>30</v>
      </c>
    </row>
  </sheetData>
  <sortState ref="H41:L50">
    <sortCondition descending="1" ref="L39"/>
  </sortState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A104"/>
  <sheetViews>
    <sheetView tabSelected="1" workbookViewId="0">
      <selection activeCell="E4" sqref="E4:E103"/>
    </sheetView>
  </sheetViews>
  <sheetFormatPr baseColWidth="10" defaultRowHeight="14.5" x14ac:dyDescent="0.35"/>
  <cols>
    <col min="2" max="2" width="23" customWidth="1"/>
    <col min="3" max="3" width="23.54296875" customWidth="1"/>
    <col min="4" max="5" width="11.453125" style="14"/>
    <col min="6" max="6" width="6" style="2" customWidth="1"/>
    <col min="7" max="7" width="6" customWidth="1"/>
    <col min="9" max="9" width="21.453125" customWidth="1"/>
    <col min="10" max="10" width="19.54296875" customWidth="1"/>
    <col min="13" max="13" width="5.453125" customWidth="1"/>
    <col min="14" max="14" width="6.26953125" customWidth="1"/>
    <col min="16" max="16" width="23.453125" customWidth="1"/>
    <col min="17" max="17" width="22" customWidth="1"/>
    <col min="18" max="18" width="11.453125" style="2"/>
    <col min="20" max="20" width="5.453125" customWidth="1"/>
    <col min="21" max="21" width="6.54296875" customWidth="1"/>
    <col min="23" max="23" width="19" customWidth="1"/>
    <col min="24" max="24" width="18.7265625" customWidth="1"/>
    <col min="27" max="27" width="7.26953125" customWidth="1"/>
  </cols>
  <sheetData>
    <row r="1" spans="1:27" x14ac:dyDescent="0.35">
      <c r="A1" t="s">
        <v>43</v>
      </c>
      <c r="R1"/>
    </row>
    <row r="2" spans="1:27" ht="15" thickBot="1" x14ac:dyDescent="0.4">
      <c r="H2" t="s">
        <v>44</v>
      </c>
      <c r="K2" s="14"/>
      <c r="L2" s="2"/>
      <c r="O2" t="s">
        <v>75</v>
      </c>
      <c r="R2" s="14"/>
      <c r="S2" s="2"/>
      <c r="V2" t="s">
        <v>45</v>
      </c>
      <c r="Y2" s="14"/>
      <c r="Z2" s="2"/>
    </row>
    <row r="3" spans="1:27" ht="29" x14ac:dyDescent="0.35">
      <c r="A3" s="17" t="s">
        <v>1</v>
      </c>
      <c r="B3" s="18" t="s">
        <v>2</v>
      </c>
      <c r="C3" s="18" t="s">
        <v>3</v>
      </c>
      <c r="D3" s="19" t="s">
        <v>40</v>
      </c>
      <c r="E3" s="19" t="s">
        <v>6</v>
      </c>
      <c r="H3" s="17" t="s">
        <v>1</v>
      </c>
      <c r="I3" s="18" t="s">
        <v>2</v>
      </c>
      <c r="J3" s="18" t="s">
        <v>3</v>
      </c>
      <c r="K3" s="19" t="s">
        <v>40</v>
      </c>
      <c r="L3" s="19" t="s">
        <v>6</v>
      </c>
      <c r="O3" s="17" t="s">
        <v>1</v>
      </c>
      <c r="P3" s="18" t="s">
        <v>2</v>
      </c>
      <c r="Q3" s="18" t="s">
        <v>3</v>
      </c>
      <c r="R3" s="19" t="s">
        <v>40</v>
      </c>
      <c r="S3" s="19" t="s">
        <v>6</v>
      </c>
      <c r="T3" t="s">
        <v>76</v>
      </c>
      <c r="V3" s="17" t="s">
        <v>1</v>
      </c>
      <c r="W3" s="18" t="s">
        <v>2</v>
      </c>
      <c r="X3" s="18" t="s">
        <v>3</v>
      </c>
      <c r="Y3" s="19" t="s">
        <v>40</v>
      </c>
      <c r="Z3" s="19" t="s">
        <v>6</v>
      </c>
    </row>
    <row r="4" spans="1:27" x14ac:dyDescent="0.35">
      <c r="A4" s="20">
        <f>'Stammdaten - Schwimmer'!A4</f>
        <v>1</v>
      </c>
      <c r="B4" s="21" t="str">
        <f>'Stammdaten - Schwimmer'!B4</f>
        <v>Schüler</v>
      </c>
      <c r="C4" s="21" t="str">
        <f>'Stammdaten - Schwimmer'!C4</f>
        <v>Muster</v>
      </c>
      <c r="D4" s="22">
        <f>'Stammdaten - Schwimmer'!J4+'Stammdaten - Schwimmer'!N4+'Stammdaten - Schwimmer'!R4+'Stammdaten - Schwimmer'!V4+'Stammdaten - Schwimmer'!Z5</f>
        <v>0.5</v>
      </c>
      <c r="E4" s="25">
        <f>'Stammdaten - Schwimmer'!F4</f>
        <v>1</v>
      </c>
      <c r="H4" s="24">
        <f>IF('Stammdaten - Schwimmer'!$D4&gt;DATE(2011,7,20),A4,)</f>
        <v>0</v>
      </c>
      <c r="I4" s="24">
        <f>IF('Stammdaten - Schwimmer'!$D4&gt;DATE(2011,7,20),B4,)</f>
        <v>0</v>
      </c>
      <c r="J4" s="24">
        <f>IF('Stammdaten - Schwimmer'!$D4&gt;DATE(2011,7,20),C4,)</f>
        <v>0</v>
      </c>
      <c r="K4" s="22">
        <f>IF('Stammdaten - Schwimmer'!$D4&gt;DATE(2011,7,20),D4,)</f>
        <v>0</v>
      </c>
      <c r="L4" s="24">
        <f>IF('Stammdaten - Schwimmer'!$D4&gt;DATE(2011,7,20),'Stammdaten - Schwimmer'!F4,)</f>
        <v>0</v>
      </c>
      <c r="M4">
        <f>_xlfn.RANK.EQ(L4,L$4:L$103,0)</f>
        <v>34</v>
      </c>
      <c r="O4" s="24">
        <f>IF(AND('Stammdaten - Schwimmer'!$D4&lt;DATE(2011,7,20),'Stammdaten - Schwimmer'!$D4&gt;DATE(2007,7,19)),A4,)</f>
        <v>1</v>
      </c>
      <c r="P4" s="24" t="str">
        <f>IF(AND('Stammdaten - Schwimmer'!$D4&lt;DATE(2011,7,20),'Stammdaten - Schwimmer'!$D4&gt;DATE(2007,7,19)),B4,)</f>
        <v>Schüler</v>
      </c>
      <c r="Q4" s="24" t="str">
        <f>IF(AND('Stammdaten - Schwimmer'!$D4&lt;DATE(2011,7,20),'Stammdaten - Schwimmer'!$D4&gt;DATE(2007,7,19)),C4,)</f>
        <v>Muster</v>
      </c>
      <c r="R4" s="22">
        <f>IF(AND('Stammdaten - Schwimmer'!$D4&lt;DATE(2011,7,20),'Stammdaten - Schwimmer'!$D4&gt;DATE(2007,7,19)),D4,)</f>
        <v>0.5</v>
      </c>
      <c r="S4" s="25">
        <f>IF(AND('Stammdaten - Schwimmer'!$D4&lt;DATE(2011,7,20),'Stammdaten - Schwimmer'!$D4&gt;DATE(2007,7,19)),'Stammdaten - Schwimmer'!F4,)</f>
        <v>1</v>
      </c>
      <c r="T4">
        <f>_xlfn.RANK.EQ(S4,S$4:S$103,0)</f>
        <v>10</v>
      </c>
      <c r="V4" s="24">
        <f>IF('Stammdaten - Schwimmer'!$D4&lt;DATE(2007,7,20),A4,)</f>
        <v>0</v>
      </c>
      <c r="W4" s="24">
        <f>IF('Stammdaten - Schwimmer'!$D4&lt;DATE(2007,7,20),B4,)</f>
        <v>0</v>
      </c>
      <c r="X4" s="24">
        <f>IF('Stammdaten - Schwimmer'!$D4&lt;DATE(2007,7,20),C4,)</f>
        <v>0</v>
      </c>
      <c r="Y4" s="22">
        <f>IF('Stammdaten - Schwimmer'!$D4&lt;DATE(2007,7,20),D4,)</f>
        <v>0</v>
      </c>
      <c r="Z4" s="25">
        <f>IF('Stammdaten - Schwimmer'!$D4&lt;DATE(2007,7,20),'Stammdaten - Schwimmer'!F4,)</f>
        <v>0</v>
      </c>
      <c r="AA4">
        <f>_xlfn.RANK.EQ(Z4,Z$4:Z$103,0)</f>
        <v>46</v>
      </c>
    </row>
    <row r="5" spans="1:27" x14ac:dyDescent="0.35">
      <c r="A5" s="20">
        <f>'Stammdaten - Schwimmer'!A5</f>
        <v>2</v>
      </c>
      <c r="B5" s="21" t="str">
        <f>'Stammdaten - Schwimmer'!B5</f>
        <v>Montessoro</v>
      </c>
      <c r="C5" s="21" t="str">
        <f>'Stammdaten - Schwimmer'!C5</f>
        <v>Samantha</v>
      </c>
      <c r="D5" s="22">
        <f>'Stammdaten - Schwimmer'!J5+'Stammdaten - Schwimmer'!N5+'Stammdaten - Schwimmer'!R5+'Stammdaten - Schwimmer'!V5+'Stammdaten - Schwimmer'!Z6</f>
        <v>273</v>
      </c>
      <c r="E5" s="25">
        <f>'Stammdaten - Schwimmer'!F5</f>
        <v>78</v>
      </c>
      <c r="H5" s="24">
        <f>IF('Stammdaten - Schwimmer'!D5&gt;DATE(2011,7,20),A5,)</f>
        <v>2</v>
      </c>
      <c r="I5" s="24" t="str">
        <f>IF('Stammdaten - Schwimmer'!$D5&gt;DATE(2011,7,20),B5,)</f>
        <v>Montessoro</v>
      </c>
      <c r="J5" s="24" t="str">
        <f>IF('Stammdaten - Schwimmer'!$D5&gt;DATE(2011,7,20),C5,)</f>
        <v>Samantha</v>
      </c>
      <c r="K5" s="22">
        <f>IF('Stammdaten - Schwimmer'!$D5&gt;DATE(2011,7,20),D5,)</f>
        <v>273</v>
      </c>
      <c r="L5" s="24">
        <f>IF('Stammdaten - Schwimmer'!$D5&gt;DATE(2011,7,20),'Stammdaten - Schwimmer'!F5,)</f>
        <v>78</v>
      </c>
      <c r="M5">
        <f t="shared" ref="M5:M68" si="0">_xlfn.RANK.EQ(L5,L$4:L$103,0)</f>
        <v>14</v>
      </c>
      <c r="O5" s="24">
        <f>IF(AND('Stammdaten - Schwimmer'!$D5&lt;DATE(2011,7,20),'Stammdaten - Schwimmer'!$D5&gt;DATE(2007,7,19)),A5,)</f>
        <v>0</v>
      </c>
      <c r="P5" s="24">
        <f>IF(AND('Stammdaten - Schwimmer'!$D5&lt;DATE(2011,7,20),'Stammdaten - Schwimmer'!$D5&gt;DATE(2007,7,19)),B5,)</f>
        <v>0</v>
      </c>
      <c r="Q5" s="24">
        <f>IF(AND('Stammdaten - Schwimmer'!$D5&lt;DATE(2011,7,20),'Stammdaten - Schwimmer'!$D5&gt;DATE(2007,7,19)),C5,)</f>
        <v>0</v>
      </c>
      <c r="R5" s="22">
        <f>IF(AND('Stammdaten - Schwimmer'!$D5&lt;DATE(2011,7,20),'Stammdaten - Schwimmer'!$D5&gt;DATE(2007,7,19)),D5,)</f>
        <v>0</v>
      </c>
      <c r="S5" s="25">
        <f>IF(AND('Stammdaten - Schwimmer'!$D5&lt;DATE(2011,7,20),'Stammdaten - Schwimmer'!$D5&gt;DATE(2007,7,19)),'Stammdaten - Schwimmer'!F5,)</f>
        <v>0</v>
      </c>
      <c r="T5">
        <f t="shared" ref="T5:T68" si="1">_xlfn.RANK.EQ(S5,S$4:S$103,0)</f>
        <v>11</v>
      </c>
      <c r="V5" s="24">
        <f>IF('Stammdaten - Schwimmer'!$D5&lt;DATE(2007,7,20),A5,)</f>
        <v>0</v>
      </c>
      <c r="W5" s="24">
        <f>IF('Stammdaten - Schwimmer'!$D5&lt;DATE(2007,7,20),B5,)</f>
        <v>0</v>
      </c>
      <c r="X5" s="24">
        <f>IF('Stammdaten - Schwimmer'!$D5&lt;DATE(2007,7,20),C5,)</f>
        <v>0</v>
      </c>
      <c r="Y5" s="22">
        <f>IF('Stammdaten - Schwimmer'!$D5&lt;DATE(2007,7,20),D5,)</f>
        <v>0</v>
      </c>
      <c r="Z5" s="25">
        <f>IF('Stammdaten - Schwimmer'!$D5&lt;DATE(2007,7,20),'Stammdaten - Schwimmer'!F5,)</f>
        <v>0</v>
      </c>
      <c r="AA5">
        <f t="shared" ref="AA5:AA68" si="2">_xlfn.RANK.EQ(Z5,Z$4:Z$103,0)</f>
        <v>46</v>
      </c>
    </row>
    <row r="6" spans="1:27" x14ac:dyDescent="0.35">
      <c r="A6" s="20">
        <f>'Stammdaten - Schwimmer'!A6</f>
        <v>3</v>
      </c>
      <c r="B6" s="21" t="str">
        <f>'Stammdaten - Schwimmer'!B6</f>
        <v>Hueber</v>
      </c>
      <c r="C6" s="21" t="str">
        <f>'Stammdaten - Schwimmer'!C6</f>
        <v>Elyana</v>
      </c>
      <c r="D6" s="22">
        <f>'Stammdaten - Schwimmer'!J6+'Stammdaten - Schwimmer'!N6+'Stammdaten - Schwimmer'!R6+'Stammdaten - Schwimmer'!V6+'Stammdaten - Schwimmer'!Z7</f>
        <v>210</v>
      </c>
      <c r="E6" s="25">
        <f>'Stammdaten - Schwimmer'!F6</f>
        <v>70</v>
      </c>
      <c r="H6" s="24">
        <f>IF('Stammdaten - Schwimmer'!D6&gt;DATE(2011,7,20),A6,)</f>
        <v>3</v>
      </c>
      <c r="I6" s="24" t="str">
        <f>IF('Stammdaten - Schwimmer'!$D6&gt;DATE(2011,7,20),B6,)</f>
        <v>Hueber</v>
      </c>
      <c r="J6" s="24" t="str">
        <f>IF('Stammdaten - Schwimmer'!$D6&gt;DATE(2011,7,20),C6,)</f>
        <v>Elyana</v>
      </c>
      <c r="K6" s="22">
        <f>IF('Stammdaten - Schwimmer'!$D6&gt;DATE(2011,7,20),D6,)</f>
        <v>210</v>
      </c>
      <c r="L6" s="24">
        <f>IF('Stammdaten - Schwimmer'!$D6&gt;DATE(2011,7,20),'Stammdaten - Schwimmer'!F6,)</f>
        <v>70</v>
      </c>
      <c r="M6">
        <f t="shared" si="0"/>
        <v>15</v>
      </c>
      <c r="O6" s="24">
        <f>IF(AND('Stammdaten - Schwimmer'!$D6&lt;DATE(2011,7,20),'Stammdaten - Schwimmer'!$D6&gt;DATE(2007,7,19)),A6,)</f>
        <v>0</v>
      </c>
      <c r="P6" s="24">
        <f>IF(AND('Stammdaten - Schwimmer'!$D6&lt;DATE(2011,7,20),'Stammdaten - Schwimmer'!$D6&gt;DATE(2007,7,19)),B6,)</f>
        <v>0</v>
      </c>
      <c r="Q6" s="24">
        <f>IF(AND('Stammdaten - Schwimmer'!$D6&lt;DATE(2011,7,20),'Stammdaten - Schwimmer'!$D6&gt;DATE(2007,7,19)),C6,)</f>
        <v>0</v>
      </c>
      <c r="R6" s="22">
        <f>IF(AND('Stammdaten - Schwimmer'!$D6&lt;DATE(2011,7,20),'Stammdaten - Schwimmer'!$D6&gt;DATE(2007,7,19)),D6,)</f>
        <v>0</v>
      </c>
      <c r="S6" s="25">
        <f>IF(AND('Stammdaten - Schwimmer'!$D6&lt;DATE(2011,7,20),'Stammdaten - Schwimmer'!$D6&gt;DATE(2007,7,19)),'Stammdaten - Schwimmer'!F6,)</f>
        <v>0</v>
      </c>
      <c r="T6">
        <f t="shared" si="1"/>
        <v>11</v>
      </c>
      <c r="V6" s="24">
        <f>IF('Stammdaten - Schwimmer'!$D6&lt;DATE(2007,7,20),A6,)</f>
        <v>0</v>
      </c>
      <c r="W6" s="24">
        <f>IF('Stammdaten - Schwimmer'!$D6&lt;DATE(2007,7,20),B6,)</f>
        <v>0</v>
      </c>
      <c r="X6" s="24">
        <f>IF('Stammdaten - Schwimmer'!$D6&lt;DATE(2007,7,20),C6,)</f>
        <v>0</v>
      </c>
      <c r="Y6" s="22">
        <f>IF('Stammdaten - Schwimmer'!$D6&lt;DATE(2007,7,20),D6,)</f>
        <v>0</v>
      </c>
      <c r="Z6" s="25">
        <f>IF('Stammdaten - Schwimmer'!$D6&lt;DATE(2007,7,20),'Stammdaten - Schwimmer'!F6,)</f>
        <v>0</v>
      </c>
      <c r="AA6">
        <f t="shared" si="2"/>
        <v>46</v>
      </c>
    </row>
    <row r="7" spans="1:27" x14ac:dyDescent="0.35">
      <c r="A7" s="20">
        <f>'Stammdaten - Schwimmer'!A7</f>
        <v>4</v>
      </c>
      <c r="B7" s="21" t="str">
        <f>'Stammdaten - Schwimmer'!B7</f>
        <v>Kombächer</v>
      </c>
      <c r="C7" s="21" t="str">
        <f>'Stammdaten - Schwimmer'!C7</f>
        <v>Anja</v>
      </c>
      <c r="D7" s="22">
        <f>'Stammdaten - Schwimmer'!J7+'Stammdaten - Schwimmer'!N7+'Stammdaten - Schwimmer'!R7+'Stammdaten - Schwimmer'!V7+'Stammdaten - Schwimmer'!Z8</f>
        <v>62</v>
      </c>
      <c r="E7" s="25">
        <f>'Stammdaten - Schwimmer'!F7</f>
        <v>44</v>
      </c>
      <c r="H7" s="24">
        <f>IF('Stammdaten - Schwimmer'!D7&gt;DATE(2011,7,20),A7,)</f>
        <v>0</v>
      </c>
      <c r="I7" s="24">
        <f>IF('Stammdaten - Schwimmer'!$D7&gt;DATE(2011,7,20),B7,)</f>
        <v>0</v>
      </c>
      <c r="J7" s="24">
        <f>IF('Stammdaten - Schwimmer'!$D7&gt;DATE(2011,7,20),C7,)</f>
        <v>0</v>
      </c>
      <c r="K7" s="22">
        <f>IF('Stammdaten - Schwimmer'!$D7&gt;DATE(2011,7,20),D7,)</f>
        <v>0</v>
      </c>
      <c r="L7" s="24">
        <f>IF('Stammdaten - Schwimmer'!$D7&gt;DATE(2011,7,20),'Stammdaten - Schwimmer'!F7,)</f>
        <v>0</v>
      </c>
      <c r="M7">
        <f t="shared" si="0"/>
        <v>34</v>
      </c>
      <c r="O7" s="24">
        <f>IF(AND('Stammdaten - Schwimmer'!$D7&lt;DATE(2011,7,20),'Stammdaten - Schwimmer'!$D7&gt;DATE(2007,7,19)),A7,)</f>
        <v>0</v>
      </c>
      <c r="P7" s="24">
        <f>IF(AND('Stammdaten - Schwimmer'!$D7&lt;DATE(2011,7,20),'Stammdaten - Schwimmer'!$D7&gt;DATE(2007,7,19)),B7,)</f>
        <v>0</v>
      </c>
      <c r="Q7" s="24">
        <f>IF(AND('Stammdaten - Schwimmer'!$D7&lt;DATE(2011,7,20),'Stammdaten - Schwimmer'!$D7&gt;DATE(2007,7,19)),C7,)</f>
        <v>0</v>
      </c>
      <c r="R7" s="22">
        <f>IF(AND('Stammdaten - Schwimmer'!$D7&lt;DATE(2011,7,20),'Stammdaten - Schwimmer'!$D7&gt;DATE(2007,7,19)),D7,)</f>
        <v>0</v>
      </c>
      <c r="S7" s="25">
        <f>IF(AND('Stammdaten - Schwimmer'!$D7&lt;DATE(2011,7,20),'Stammdaten - Schwimmer'!$D7&gt;DATE(2007,7,19)),'Stammdaten - Schwimmer'!F7,)</f>
        <v>0</v>
      </c>
      <c r="T7">
        <f t="shared" si="1"/>
        <v>11</v>
      </c>
      <c r="V7" s="24">
        <f>IF('Stammdaten - Schwimmer'!$D7&lt;DATE(2007,7,20),A7,)</f>
        <v>4</v>
      </c>
      <c r="W7" s="24" t="str">
        <f>IF('Stammdaten - Schwimmer'!$D7&lt;DATE(2007,7,20),B7,)</f>
        <v>Kombächer</v>
      </c>
      <c r="X7" s="24" t="str">
        <f>IF('Stammdaten - Schwimmer'!$D7&lt;DATE(2007,7,20),C7,)</f>
        <v>Anja</v>
      </c>
      <c r="Y7" s="22">
        <f>IF('Stammdaten - Schwimmer'!$D7&lt;DATE(2007,7,20),D7,)</f>
        <v>62</v>
      </c>
      <c r="Z7" s="25">
        <f>IF('Stammdaten - Schwimmer'!$D7&lt;DATE(2007,7,20),'Stammdaten - Schwimmer'!F7,)</f>
        <v>44</v>
      </c>
      <c r="AA7">
        <f t="shared" si="2"/>
        <v>23</v>
      </c>
    </row>
    <row r="8" spans="1:27" x14ac:dyDescent="0.35">
      <c r="A8" s="20">
        <f>'Stammdaten - Schwimmer'!A8</f>
        <v>5</v>
      </c>
      <c r="B8" s="21" t="str">
        <f>'Stammdaten - Schwimmer'!B8</f>
        <v>Kombächer</v>
      </c>
      <c r="C8" s="21" t="str">
        <f>'Stammdaten - Schwimmer'!C8</f>
        <v>Lea</v>
      </c>
      <c r="D8" s="22">
        <f>'Stammdaten - Schwimmer'!J8+'Stammdaten - Schwimmer'!N8+'Stammdaten - Schwimmer'!R8+'Stammdaten - Schwimmer'!V8+'Stammdaten - Schwimmer'!Z9</f>
        <v>160</v>
      </c>
      <c r="E8" s="25">
        <f>'Stammdaten - Schwimmer'!F8</f>
        <v>80</v>
      </c>
      <c r="H8" s="24">
        <f>IF('Stammdaten - Schwimmer'!D8&gt;DATE(2011,7,20),A8,)</f>
        <v>5</v>
      </c>
      <c r="I8" s="24" t="str">
        <f>IF('Stammdaten - Schwimmer'!$D8&gt;DATE(2011,7,20),B8,)</f>
        <v>Kombächer</v>
      </c>
      <c r="J8" s="24" t="str">
        <f>IF('Stammdaten - Schwimmer'!$D8&gt;DATE(2011,7,20),C8,)</f>
        <v>Lea</v>
      </c>
      <c r="K8" s="22">
        <f>IF('Stammdaten - Schwimmer'!$D8&gt;DATE(2011,7,20),D8,)</f>
        <v>160</v>
      </c>
      <c r="L8" s="24">
        <f>IF('Stammdaten - Schwimmer'!$D8&gt;DATE(2011,7,20),'Stammdaten - Schwimmer'!F8,)</f>
        <v>80</v>
      </c>
      <c r="M8">
        <f t="shared" si="0"/>
        <v>10</v>
      </c>
      <c r="O8" s="24">
        <f>IF(AND('Stammdaten - Schwimmer'!$D8&lt;DATE(2011,7,20),'Stammdaten - Schwimmer'!$D8&gt;DATE(2007,7,19)),A8,)</f>
        <v>0</v>
      </c>
      <c r="P8" s="24">
        <f>IF(AND('Stammdaten - Schwimmer'!$D8&lt;DATE(2011,7,20),'Stammdaten - Schwimmer'!$D8&gt;DATE(2007,7,19)),B8,)</f>
        <v>0</v>
      </c>
      <c r="Q8" s="24">
        <f>IF(AND('Stammdaten - Schwimmer'!$D8&lt;DATE(2011,7,20),'Stammdaten - Schwimmer'!$D8&gt;DATE(2007,7,19)),C8,)</f>
        <v>0</v>
      </c>
      <c r="R8" s="22">
        <f>IF(AND('Stammdaten - Schwimmer'!$D8&lt;DATE(2011,7,20),'Stammdaten - Schwimmer'!$D8&gt;DATE(2007,7,19)),D8,)</f>
        <v>0</v>
      </c>
      <c r="S8" s="25">
        <f>IF(AND('Stammdaten - Schwimmer'!$D8&lt;DATE(2011,7,20),'Stammdaten - Schwimmer'!$D8&gt;DATE(2007,7,19)),'Stammdaten - Schwimmer'!F8,)</f>
        <v>0</v>
      </c>
      <c r="T8">
        <f t="shared" si="1"/>
        <v>11</v>
      </c>
      <c r="V8" s="24">
        <f>IF('Stammdaten - Schwimmer'!$D8&lt;DATE(2007,7,20),A8,)</f>
        <v>0</v>
      </c>
      <c r="W8" s="24">
        <f>IF('Stammdaten - Schwimmer'!$D8&lt;DATE(2007,7,20),B8,)</f>
        <v>0</v>
      </c>
      <c r="X8" s="24">
        <f>IF('Stammdaten - Schwimmer'!$D8&lt;DATE(2007,7,20),C8,)</f>
        <v>0</v>
      </c>
      <c r="Y8" s="22">
        <f>IF('Stammdaten - Schwimmer'!$D8&lt;DATE(2007,7,20),D8,)</f>
        <v>0</v>
      </c>
      <c r="Z8" s="25">
        <f>IF('Stammdaten - Schwimmer'!$D8&lt;DATE(2007,7,20),'Stammdaten - Schwimmer'!F8,)</f>
        <v>0</v>
      </c>
      <c r="AA8">
        <f t="shared" si="2"/>
        <v>46</v>
      </c>
    </row>
    <row r="9" spans="1:27" x14ac:dyDescent="0.35">
      <c r="A9" s="20">
        <f>'Stammdaten - Schwimmer'!A9</f>
        <v>6</v>
      </c>
      <c r="B9" s="21" t="str">
        <f>'Stammdaten - Schwimmer'!B9</f>
        <v>Ludwig</v>
      </c>
      <c r="C9" s="21" t="str">
        <f>'Stammdaten - Schwimmer'!C9</f>
        <v>Mariya</v>
      </c>
      <c r="D9" s="22">
        <f>'Stammdaten - Schwimmer'!J9+'Stammdaten - Schwimmer'!N9+'Stammdaten - Schwimmer'!R9+'Stammdaten - Schwimmer'!V9+'Stammdaten - Schwimmer'!Z10</f>
        <v>52</v>
      </c>
      <c r="E9" s="25">
        <f>'Stammdaten - Schwimmer'!F9</f>
        <v>104</v>
      </c>
      <c r="H9" s="24">
        <f>IF('Stammdaten - Schwimmer'!D9&gt;DATE(2011,7,20),A9,)</f>
        <v>0</v>
      </c>
      <c r="I9" s="24">
        <f>IF('Stammdaten - Schwimmer'!$D9&gt;DATE(2011,7,20),B9,)</f>
        <v>0</v>
      </c>
      <c r="J9" s="24">
        <f>IF('Stammdaten - Schwimmer'!$D9&gt;DATE(2011,7,20),C9,)</f>
        <v>0</v>
      </c>
      <c r="K9" s="22">
        <f>IF('Stammdaten - Schwimmer'!$D9&gt;DATE(2011,7,20),D9,)</f>
        <v>0</v>
      </c>
      <c r="L9" s="24">
        <f>IF('Stammdaten - Schwimmer'!$D9&gt;DATE(2011,7,20),'Stammdaten - Schwimmer'!F9,)</f>
        <v>0</v>
      </c>
      <c r="M9">
        <f t="shared" si="0"/>
        <v>34</v>
      </c>
      <c r="O9" s="24">
        <f>IF(AND('Stammdaten - Schwimmer'!$D9&lt;DATE(2011,7,20),'Stammdaten - Schwimmer'!$D9&gt;DATE(2007,7,19)),A9,)</f>
        <v>6</v>
      </c>
      <c r="P9" s="24" t="str">
        <f>IF(AND('Stammdaten - Schwimmer'!$D9&lt;DATE(2011,7,20),'Stammdaten - Schwimmer'!$D9&gt;DATE(2007,7,19)),B9,)</f>
        <v>Ludwig</v>
      </c>
      <c r="Q9" s="24" t="str">
        <f>IF(AND('Stammdaten - Schwimmer'!$D9&lt;DATE(2011,7,20),'Stammdaten - Schwimmer'!$D9&gt;DATE(2007,7,19)),C9,)</f>
        <v>Mariya</v>
      </c>
      <c r="R9" s="22">
        <f>IF(AND('Stammdaten - Schwimmer'!$D9&lt;DATE(2011,7,20),'Stammdaten - Schwimmer'!$D9&gt;DATE(2007,7,19)),D9,)</f>
        <v>52</v>
      </c>
      <c r="S9" s="25">
        <f>IF(AND('Stammdaten - Schwimmer'!$D9&lt;DATE(2011,7,20),'Stammdaten - Schwimmer'!$D9&gt;DATE(2007,7,19)),'Stammdaten - Schwimmer'!F9,)</f>
        <v>104</v>
      </c>
      <c r="T9">
        <f t="shared" si="1"/>
        <v>2</v>
      </c>
      <c r="V9" s="24">
        <f>IF('Stammdaten - Schwimmer'!$D9&lt;DATE(2007,7,20),A9,)</f>
        <v>0</v>
      </c>
      <c r="W9" s="24">
        <f>IF('Stammdaten - Schwimmer'!$D9&lt;DATE(2007,7,20),B9,)</f>
        <v>0</v>
      </c>
      <c r="X9" s="24">
        <f>IF('Stammdaten - Schwimmer'!$D9&lt;DATE(2007,7,20),C9,)</f>
        <v>0</v>
      </c>
      <c r="Y9" s="22">
        <f>IF('Stammdaten - Schwimmer'!$D9&lt;DATE(2007,7,20),D9,)</f>
        <v>0</v>
      </c>
      <c r="Z9" s="25">
        <f>IF('Stammdaten - Schwimmer'!$D9&lt;DATE(2007,7,20),'Stammdaten - Schwimmer'!F9,)</f>
        <v>0</v>
      </c>
      <c r="AA9">
        <f t="shared" si="2"/>
        <v>46</v>
      </c>
    </row>
    <row r="10" spans="1:27" x14ac:dyDescent="0.35">
      <c r="A10" s="20">
        <f>'Stammdaten - Schwimmer'!A10</f>
        <v>7</v>
      </c>
      <c r="B10" s="21" t="str">
        <f>'Stammdaten - Schwimmer'!B10</f>
        <v>Sure</v>
      </c>
      <c r="C10" s="21" t="str">
        <f>'Stammdaten - Schwimmer'!C10</f>
        <v>Doris</v>
      </c>
      <c r="D10" s="22">
        <f>'Stammdaten - Schwimmer'!J10+'Stammdaten - Schwimmer'!N10+'Stammdaten - Schwimmer'!R10+'Stammdaten - Schwimmer'!V10+'Stammdaten - Schwimmer'!Z11</f>
        <v>20</v>
      </c>
      <c r="E10" s="25">
        <f>'Stammdaten - Schwimmer'!F10</f>
        <v>40</v>
      </c>
      <c r="H10" s="24">
        <f>IF('Stammdaten - Schwimmer'!D10&gt;DATE(2011,7,20),A10,)</f>
        <v>0</v>
      </c>
      <c r="I10" s="24">
        <f>IF('Stammdaten - Schwimmer'!$D10&gt;DATE(2011,7,20),B10,)</f>
        <v>0</v>
      </c>
      <c r="J10" s="24">
        <f>IF('Stammdaten - Schwimmer'!$D10&gt;DATE(2011,7,20),C10,)</f>
        <v>0</v>
      </c>
      <c r="K10" s="22">
        <f>IF('Stammdaten - Schwimmer'!$D10&gt;DATE(2011,7,20),D10,)</f>
        <v>0</v>
      </c>
      <c r="L10" s="24">
        <f>IF('Stammdaten - Schwimmer'!$D10&gt;DATE(2011,7,20),'Stammdaten - Schwimmer'!F10,)</f>
        <v>0</v>
      </c>
      <c r="M10">
        <f t="shared" si="0"/>
        <v>34</v>
      </c>
      <c r="O10" s="24">
        <f>IF(AND('Stammdaten - Schwimmer'!$D10&lt;DATE(2011,7,20),'Stammdaten - Schwimmer'!$D10&gt;DATE(2007,7,19)),A10,)</f>
        <v>0</v>
      </c>
      <c r="P10" s="24">
        <f>IF(AND('Stammdaten - Schwimmer'!$D10&lt;DATE(2011,7,20),'Stammdaten - Schwimmer'!$D10&gt;DATE(2007,7,19)),B10,)</f>
        <v>0</v>
      </c>
      <c r="Q10" s="24">
        <f>IF(AND('Stammdaten - Schwimmer'!$D10&lt;DATE(2011,7,20),'Stammdaten - Schwimmer'!$D10&gt;DATE(2007,7,19)),C10,)</f>
        <v>0</v>
      </c>
      <c r="R10" s="22">
        <f>IF(AND('Stammdaten - Schwimmer'!$D10&lt;DATE(2011,7,20),'Stammdaten - Schwimmer'!$D10&gt;DATE(2007,7,19)),D10,)</f>
        <v>0</v>
      </c>
      <c r="S10" s="25">
        <f>IF(AND('Stammdaten - Schwimmer'!$D10&lt;DATE(2011,7,20),'Stammdaten - Schwimmer'!$D10&gt;DATE(2007,7,19)),'Stammdaten - Schwimmer'!F10,)</f>
        <v>0</v>
      </c>
      <c r="T10">
        <f t="shared" si="1"/>
        <v>11</v>
      </c>
      <c r="V10" s="24">
        <f>IF('Stammdaten - Schwimmer'!$D10&lt;DATE(2007,7,20),A10,)</f>
        <v>7</v>
      </c>
      <c r="W10" s="24" t="str">
        <f>IF('Stammdaten - Schwimmer'!$D10&lt;DATE(2007,7,20),B10,)</f>
        <v>Sure</v>
      </c>
      <c r="X10" s="24" t="str">
        <f>IF('Stammdaten - Schwimmer'!$D10&lt;DATE(2007,7,20),C10,)</f>
        <v>Doris</v>
      </c>
      <c r="Y10" s="22">
        <f>IF('Stammdaten - Schwimmer'!$D10&lt;DATE(2007,7,20),D10,)</f>
        <v>20</v>
      </c>
      <c r="Z10" s="25">
        <f>IF('Stammdaten - Schwimmer'!$D10&lt;DATE(2007,7,20),'Stammdaten - Schwimmer'!F10,)</f>
        <v>40</v>
      </c>
      <c r="AA10">
        <f t="shared" si="2"/>
        <v>27</v>
      </c>
    </row>
    <row r="11" spans="1:27" x14ac:dyDescent="0.35">
      <c r="A11" s="20">
        <f>'Stammdaten - Schwimmer'!A11</f>
        <v>8</v>
      </c>
      <c r="B11" s="21" t="str">
        <f>'Stammdaten - Schwimmer'!B11</f>
        <v>Hartman</v>
      </c>
      <c r="C11" s="21" t="str">
        <f>'Stammdaten - Schwimmer'!C11</f>
        <v>Eleanor</v>
      </c>
      <c r="D11" s="22">
        <f>'Stammdaten - Schwimmer'!J11+'Stammdaten - Schwimmer'!N11+'Stammdaten - Schwimmer'!R11+'Stammdaten - Schwimmer'!V11+'Stammdaten - Schwimmer'!Z12</f>
        <v>200</v>
      </c>
      <c r="E11" s="25">
        <f>'Stammdaten - Schwimmer'!F11</f>
        <v>20</v>
      </c>
      <c r="H11" s="24">
        <f>IF('Stammdaten - Schwimmer'!D11&gt;DATE(2011,7,20),A11,)</f>
        <v>0</v>
      </c>
      <c r="I11" s="24">
        <f>IF('Stammdaten - Schwimmer'!$D11&gt;DATE(2011,7,20),B11,)</f>
        <v>0</v>
      </c>
      <c r="J11" s="24">
        <f>IF('Stammdaten - Schwimmer'!$D11&gt;DATE(2011,7,20),C11,)</f>
        <v>0</v>
      </c>
      <c r="K11" s="22">
        <f>IF('Stammdaten - Schwimmer'!$D11&gt;DATE(2011,7,20),D11,)</f>
        <v>0</v>
      </c>
      <c r="L11" s="24">
        <f>IF('Stammdaten - Schwimmer'!$D11&gt;DATE(2011,7,20),'Stammdaten - Schwimmer'!F11,)</f>
        <v>0</v>
      </c>
      <c r="M11">
        <f t="shared" si="0"/>
        <v>34</v>
      </c>
      <c r="O11" s="24">
        <f>IF(AND('Stammdaten - Schwimmer'!$D11&lt;DATE(2011,7,20),'Stammdaten - Schwimmer'!$D11&gt;DATE(2007,7,19)),A11,)</f>
        <v>0</v>
      </c>
      <c r="P11" s="24">
        <f>IF(AND('Stammdaten - Schwimmer'!$D11&lt;DATE(2011,7,20),'Stammdaten - Schwimmer'!$D11&gt;DATE(2007,7,19)),B11,)</f>
        <v>0</v>
      </c>
      <c r="Q11" s="24">
        <f>IF(AND('Stammdaten - Schwimmer'!$D11&lt;DATE(2011,7,20),'Stammdaten - Schwimmer'!$D11&gt;DATE(2007,7,19)),C11,)</f>
        <v>0</v>
      </c>
      <c r="R11" s="22">
        <f>IF(AND('Stammdaten - Schwimmer'!$D11&lt;DATE(2011,7,20),'Stammdaten - Schwimmer'!$D11&gt;DATE(2007,7,19)),D11,)</f>
        <v>0</v>
      </c>
      <c r="S11" s="25">
        <f>IF(AND('Stammdaten - Schwimmer'!$D11&lt;DATE(2011,7,20),'Stammdaten - Schwimmer'!$D11&gt;DATE(2007,7,19)),'Stammdaten - Schwimmer'!F11,)</f>
        <v>0</v>
      </c>
      <c r="T11">
        <f t="shared" si="1"/>
        <v>11</v>
      </c>
      <c r="V11" s="24">
        <f>IF('Stammdaten - Schwimmer'!$D11&lt;DATE(2007,7,20),A11,)</f>
        <v>8</v>
      </c>
      <c r="W11" s="24" t="str">
        <f>IF('Stammdaten - Schwimmer'!$D11&lt;DATE(2007,7,20),B11,)</f>
        <v>Hartman</v>
      </c>
      <c r="X11" s="24" t="str">
        <f>IF('Stammdaten - Schwimmer'!$D11&lt;DATE(2007,7,20),C11,)</f>
        <v>Eleanor</v>
      </c>
      <c r="Y11" s="22">
        <f>IF('Stammdaten - Schwimmer'!$D11&lt;DATE(2007,7,20),D11,)</f>
        <v>200</v>
      </c>
      <c r="Z11" s="25">
        <f>IF('Stammdaten - Schwimmer'!$D11&lt;DATE(2007,7,20),'Stammdaten - Schwimmer'!F11,)</f>
        <v>20</v>
      </c>
      <c r="AA11">
        <f t="shared" si="2"/>
        <v>41</v>
      </c>
    </row>
    <row r="12" spans="1:27" x14ac:dyDescent="0.35">
      <c r="A12" s="20">
        <f>'Stammdaten - Schwimmer'!A12</f>
        <v>9</v>
      </c>
      <c r="B12" s="21" t="str">
        <f>'Stammdaten - Schwimmer'!B12</f>
        <v>Grambow</v>
      </c>
      <c r="C12" s="21" t="str">
        <f>'Stammdaten - Schwimmer'!C12</f>
        <v>Kerstin</v>
      </c>
      <c r="D12" s="22">
        <f>'Stammdaten - Schwimmer'!J12+'Stammdaten - Schwimmer'!N12+'Stammdaten - Schwimmer'!R12+'Stammdaten - Schwimmer'!V12+'Stammdaten - Schwimmer'!Z13</f>
        <v>70</v>
      </c>
      <c r="E12" s="25">
        <f>'Stammdaten - Schwimmer'!F12</f>
        <v>70</v>
      </c>
      <c r="H12" s="24">
        <f>IF('Stammdaten - Schwimmer'!D12&gt;DATE(2011,7,20),A12,)</f>
        <v>0</v>
      </c>
      <c r="I12" s="24">
        <f>IF('Stammdaten - Schwimmer'!$D12&gt;DATE(2011,7,20),B12,)</f>
        <v>0</v>
      </c>
      <c r="J12" s="24">
        <f>IF('Stammdaten - Schwimmer'!$D12&gt;DATE(2011,7,20),C12,)</f>
        <v>0</v>
      </c>
      <c r="K12" s="22">
        <f>IF('Stammdaten - Schwimmer'!$D12&gt;DATE(2011,7,20),D12,)</f>
        <v>0</v>
      </c>
      <c r="L12" s="24">
        <f>IF('Stammdaten - Schwimmer'!$D12&gt;DATE(2011,7,20),'Stammdaten - Schwimmer'!F12,)</f>
        <v>0</v>
      </c>
      <c r="M12">
        <f t="shared" si="0"/>
        <v>34</v>
      </c>
      <c r="O12" s="24">
        <f>IF(AND('Stammdaten - Schwimmer'!$D12&lt;DATE(2011,7,20),'Stammdaten - Schwimmer'!$D12&gt;DATE(2007,7,19)),A12,)</f>
        <v>0</v>
      </c>
      <c r="P12" s="24">
        <f>IF(AND('Stammdaten - Schwimmer'!$D12&lt;DATE(2011,7,20),'Stammdaten - Schwimmer'!$D12&gt;DATE(2007,7,19)),B12,)</f>
        <v>0</v>
      </c>
      <c r="Q12" s="24">
        <f>IF(AND('Stammdaten - Schwimmer'!$D12&lt;DATE(2011,7,20),'Stammdaten - Schwimmer'!$D12&gt;DATE(2007,7,19)),C12,)</f>
        <v>0</v>
      </c>
      <c r="R12" s="22">
        <f>IF(AND('Stammdaten - Schwimmer'!$D12&lt;DATE(2011,7,20),'Stammdaten - Schwimmer'!$D12&gt;DATE(2007,7,19)),D12,)</f>
        <v>0</v>
      </c>
      <c r="S12" s="25">
        <f>IF(AND('Stammdaten - Schwimmer'!$D12&lt;DATE(2011,7,20),'Stammdaten - Schwimmer'!$D12&gt;DATE(2007,7,19)),'Stammdaten - Schwimmer'!F12,)</f>
        <v>0</v>
      </c>
      <c r="T12">
        <f t="shared" si="1"/>
        <v>11</v>
      </c>
      <c r="V12" s="24">
        <f>IF('Stammdaten - Schwimmer'!$D12&lt;DATE(2007,7,20),A12,)</f>
        <v>9</v>
      </c>
      <c r="W12" s="24" t="str">
        <f>IF('Stammdaten - Schwimmer'!$D12&lt;DATE(2007,7,20),B12,)</f>
        <v>Grambow</v>
      </c>
      <c r="X12" s="24" t="str">
        <f>IF('Stammdaten - Schwimmer'!$D12&lt;DATE(2007,7,20),C12,)</f>
        <v>Kerstin</v>
      </c>
      <c r="Y12" s="22">
        <f>IF('Stammdaten - Schwimmer'!$D12&lt;DATE(2007,7,20),D12,)</f>
        <v>70</v>
      </c>
      <c r="Z12" s="25">
        <f>IF('Stammdaten - Schwimmer'!$D12&lt;DATE(2007,7,20),'Stammdaten - Schwimmer'!F12,)</f>
        <v>70</v>
      </c>
      <c r="AA12">
        <f t="shared" si="2"/>
        <v>6</v>
      </c>
    </row>
    <row r="13" spans="1:27" x14ac:dyDescent="0.35">
      <c r="A13" s="20">
        <f>'Stammdaten - Schwimmer'!A13</f>
        <v>10</v>
      </c>
      <c r="B13" s="21" t="str">
        <f>'Stammdaten - Schwimmer'!B13</f>
        <v>Frost</v>
      </c>
      <c r="C13" s="21" t="str">
        <f>'Stammdaten - Schwimmer'!C13</f>
        <v>Ellen</v>
      </c>
      <c r="D13" s="22">
        <f>'Stammdaten - Schwimmer'!J13+'Stammdaten - Schwimmer'!N13+'Stammdaten - Schwimmer'!R13+'Stammdaten - Schwimmer'!V13+'Stammdaten - Schwimmer'!Z14</f>
        <v>46</v>
      </c>
      <c r="E13" s="25">
        <f>'Stammdaten - Schwimmer'!F13</f>
        <v>46</v>
      </c>
      <c r="H13" s="24">
        <f>IF('Stammdaten - Schwimmer'!D13&gt;DATE(2011,7,20),A13,)</f>
        <v>0</v>
      </c>
      <c r="I13" s="24">
        <f>IF('Stammdaten - Schwimmer'!$D13&gt;DATE(2011,7,20),B13,)</f>
        <v>0</v>
      </c>
      <c r="J13" s="24">
        <f>IF('Stammdaten - Schwimmer'!$D13&gt;DATE(2011,7,20),C13,)</f>
        <v>0</v>
      </c>
      <c r="K13" s="22">
        <f>IF('Stammdaten - Schwimmer'!$D13&gt;DATE(2011,7,20),D13,)</f>
        <v>0</v>
      </c>
      <c r="L13" s="24">
        <f>IF('Stammdaten - Schwimmer'!$D13&gt;DATE(2011,7,20),'Stammdaten - Schwimmer'!F13,)</f>
        <v>0</v>
      </c>
      <c r="M13">
        <f t="shared" si="0"/>
        <v>34</v>
      </c>
      <c r="O13" s="24">
        <f>IF(AND('Stammdaten - Schwimmer'!$D13&lt;DATE(2011,7,20),'Stammdaten - Schwimmer'!$D13&gt;DATE(2007,7,19)),A13,)</f>
        <v>0</v>
      </c>
      <c r="P13" s="24">
        <f>IF(AND('Stammdaten - Schwimmer'!$D13&lt;DATE(2011,7,20),'Stammdaten - Schwimmer'!$D13&gt;DATE(2007,7,19)),B13,)</f>
        <v>0</v>
      </c>
      <c r="Q13" s="24">
        <f>IF(AND('Stammdaten - Schwimmer'!$D13&lt;DATE(2011,7,20),'Stammdaten - Schwimmer'!$D13&gt;DATE(2007,7,19)),C13,)</f>
        <v>0</v>
      </c>
      <c r="R13" s="22">
        <f>IF(AND('Stammdaten - Schwimmer'!$D13&lt;DATE(2011,7,20),'Stammdaten - Schwimmer'!$D13&gt;DATE(2007,7,19)),D13,)</f>
        <v>0</v>
      </c>
      <c r="S13" s="25">
        <f>IF(AND('Stammdaten - Schwimmer'!$D13&lt;DATE(2011,7,20),'Stammdaten - Schwimmer'!$D13&gt;DATE(2007,7,19)),'Stammdaten - Schwimmer'!F13,)</f>
        <v>0</v>
      </c>
      <c r="T13">
        <f t="shared" si="1"/>
        <v>11</v>
      </c>
      <c r="V13" s="24">
        <f>IF('Stammdaten - Schwimmer'!$D13&lt;DATE(2007,7,20),A13,)</f>
        <v>10</v>
      </c>
      <c r="W13" s="24" t="str">
        <f>IF('Stammdaten - Schwimmer'!$D13&lt;DATE(2007,7,20),B13,)</f>
        <v>Frost</v>
      </c>
      <c r="X13" s="24" t="str">
        <f>IF('Stammdaten - Schwimmer'!$D13&lt;DATE(2007,7,20),C13,)</f>
        <v>Ellen</v>
      </c>
      <c r="Y13" s="22">
        <f>IF('Stammdaten - Schwimmer'!$D13&lt;DATE(2007,7,20),D13,)</f>
        <v>46</v>
      </c>
      <c r="Z13" s="25">
        <f>IF('Stammdaten - Schwimmer'!$D13&lt;DATE(2007,7,20),'Stammdaten - Schwimmer'!F13,)</f>
        <v>46</v>
      </c>
      <c r="AA13">
        <f t="shared" si="2"/>
        <v>20</v>
      </c>
    </row>
    <row r="14" spans="1:27" x14ac:dyDescent="0.35">
      <c r="A14" s="20">
        <f>'Stammdaten - Schwimmer'!A14</f>
        <v>11</v>
      </c>
      <c r="B14" s="21" t="str">
        <f>'Stammdaten - Schwimmer'!B14</f>
        <v>Franz</v>
      </c>
      <c r="C14" s="21" t="str">
        <f>'Stammdaten - Schwimmer'!C14</f>
        <v>Franzi</v>
      </c>
      <c r="D14" s="22">
        <f>'Stammdaten - Schwimmer'!J14+'Stammdaten - Schwimmer'!N14+'Stammdaten - Schwimmer'!R14+'Stammdaten - Schwimmer'!V14+'Stammdaten - Schwimmer'!Z15</f>
        <v>50</v>
      </c>
      <c r="E14" s="25">
        <f>'Stammdaten - Schwimmer'!F14</f>
        <v>50</v>
      </c>
      <c r="H14" s="24">
        <f>IF('Stammdaten - Schwimmer'!D14&gt;DATE(2011,7,20),A14,)</f>
        <v>0</v>
      </c>
      <c r="I14" s="24">
        <f>IF('Stammdaten - Schwimmer'!$D14&gt;DATE(2011,7,20),B14,)</f>
        <v>0</v>
      </c>
      <c r="J14" s="24">
        <f>IF('Stammdaten - Schwimmer'!$D14&gt;DATE(2011,7,20),C14,)</f>
        <v>0</v>
      </c>
      <c r="K14" s="22">
        <f>IF('Stammdaten - Schwimmer'!$D14&gt;DATE(2011,7,20),D14,)</f>
        <v>0</v>
      </c>
      <c r="L14" s="24">
        <f>IF('Stammdaten - Schwimmer'!$D14&gt;DATE(2011,7,20),'Stammdaten - Schwimmer'!F14,)</f>
        <v>0</v>
      </c>
      <c r="M14">
        <f t="shared" si="0"/>
        <v>34</v>
      </c>
      <c r="O14" s="24">
        <f>IF(AND('Stammdaten - Schwimmer'!$D14&lt;DATE(2011,7,20),'Stammdaten - Schwimmer'!$D14&gt;DATE(2007,7,19)),A14,)</f>
        <v>0</v>
      </c>
      <c r="P14" s="24">
        <f>IF(AND('Stammdaten - Schwimmer'!$D14&lt;DATE(2011,7,20),'Stammdaten - Schwimmer'!$D14&gt;DATE(2007,7,19)),B14,)</f>
        <v>0</v>
      </c>
      <c r="Q14" s="24">
        <f>IF(AND('Stammdaten - Schwimmer'!$D14&lt;DATE(2011,7,20),'Stammdaten - Schwimmer'!$D14&gt;DATE(2007,7,19)),C14,)</f>
        <v>0</v>
      </c>
      <c r="R14" s="22">
        <f>IF(AND('Stammdaten - Schwimmer'!$D14&lt;DATE(2011,7,20),'Stammdaten - Schwimmer'!$D14&gt;DATE(2007,7,19)),D14,)</f>
        <v>0</v>
      </c>
      <c r="S14" s="25">
        <f>IF(AND('Stammdaten - Schwimmer'!$D14&lt;DATE(2011,7,20),'Stammdaten - Schwimmer'!$D14&gt;DATE(2007,7,19)),'Stammdaten - Schwimmer'!F14,)</f>
        <v>0</v>
      </c>
      <c r="T14">
        <f t="shared" si="1"/>
        <v>11</v>
      </c>
      <c r="V14" s="24">
        <f>IF('Stammdaten - Schwimmer'!$D14&lt;DATE(2007,7,20),A14,)</f>
        <v>11</v>
      </c>
      <c r="W14" s="24" t="str">
        <f>IF('Stammdaten - Schwimmer'!$D14&lt;DATE(2007,7,20),B14,)</f>
        <v>Franz</v>
      </c>
      <c r="X14" s="24" t="str">
        <f>IF('Stammdaten - Schwimmer'!$D14&lt;DATE(2007,7,20),C14,)</f>
        <v>Franzi</v>
      </c>
      <c r="Y14" s="22">
        <f>IF('Stammdaten - Schwimmer'!$D14&lt;DATE(2007,7,20),D14,)</f>
        <v>50</v>
      </c>
      <c r="Z14" s="25">
        <f>IF('Stammdaten - Schwimmer'!$D14&lt;DATE(2007,7,20),'Stammdaten - Schwimmer'!F14,)</f>
        <v>50</v>
      </c>
      <c r="AA14">
        <f t="shared" si="2"/>
        <v>16</v>
      </c>
    </row>
    <row r="15" spans="1:27" x14ac:dyDescent="0.35">
      <c r="A15" s="20">
        <f>'Stammdaten - Schwimmer'!A15</f>
        <v>12</v>
      </c>
      <c r="B15" s="21" t="str">
        <f>'Stammdaten - Schwimmer'!B15</f>
        <v>Wang</v>
      </c>
      <c r="C15" s="21" t="str">
        <f>'Stammdaten - Schwimmer'!C15</f>
        <v xml:space="preserve">Jiayuan </v>
      </c>
      <c r="D15" s="22">
        <f>'Stammdaten - Schwimmer'!J15+'Stammdaten - Schwimmer'!N15+'Stammdaten - Schwimmer'!R15+'Stammdaten - Schwimmer'!V15+'Stammdaten - Schwimmer'!Z16</f>
        <v>0</v>
      </c>
      <c r="E15" s="25">
        <f>'Stammdaten - Schwimmer'!F15</f>
        <v>0</v>
      </c>
      <c r="H15" s="24">
        <f>IF('Stammdaten - Schwimmer'!D15&gt;DATE(2011,7,20),A15,)</f>
        <v>0</v>
      </c>
      <c r="I15" s="24">
        <f>IF('Stammdaten - Schwimmer'!$D15&gt;DATE(2011,7,20),B15,)</f>
        <v>0</v>
      </c>
      <c r="J15" s="24">
        <f>IF('Stammdaten - Schwimmer'!$D15&gt;DATE(2011,7,20),C15,)</f>
        <v>0</v>
      </c>
      <c r="K15" s="22">
        <f>IF('Stammdaten - Schwimmer'!$D15&gt;DATE(2011,7,20),D15,)</f>
        <v>0</v>
      </c>
      <c r="L15" s="24">
        <f>IF('Stammdaten - Schwimmer'!$D15&gt;DATE(2011,7,20),'Stammdaten - Schwimmer'!F15,)</f>
        <v>0</v>
      </c>
      <c r="M15">
        <f t="shared" si="0"/>
        <v>34</v>
      </c>
      <c r="O15" s="24">
        <f>IF(AND('Stammdaten - Schwimmer'!$D15&lt;DATE(2011,7,20),'Stammdaten - Schwimmer'!$D15&gt;DATE(2007,7,19)),A15,)</f>
        <v>0</v>
      </c>
      <c r="P15" s="24">
        <f>IF(AND('Stammdaten - Schwimmer'!$D15&lt;DATE(2011,7,20),'Stammdaten - Schwimmer'!$D15&gt;DATE(2007,7,19)),B15,)</f>
        <v>0</v>
      </c>
      <c r="Q15" s="24">
        <f>IF(AND('Stammdaten - Schwimmer'!$D15&lt;DATE(2011,7,20),'Stammdaten - Schwimmer'!$D15&gt;DATE(2007,7,19)),C15,)</f>
        <v>0</v>
      </c>
      <c r="R15" s="22">
        <f>IF(AND('Stammdaten - Schwimmer'!$D15&lt;DATE(2011,7,20),'Stammdaten - Schwimmer'!$D15&gt;DATE(2007,7,19)),D15,)</f>
        <v>0</v>
      </c>
      <c r="S15" s="25">
        <f>IF(AND('Stammdaten - Schwimmer'!$D15&lt;DATE(2011,7,20),'Stammdaten - Schwimmer'!$D15&gt;DATE(2007,7,19)),'Stammdaten - Schwimmer'!F15,)</f>
        <v>0</v>
      </c>
      <c r="T15">
        <f t="shared" si="1"/>
        <v>11</v>
      </c>
      <c r="V15" s="24">
        <f>IF('Stammdaten - Schwimmer'!$D15&lt;DATE(2007,7,20),A15,)</f>
        <v>12</v>
      </c>
      <c r="W15" s="24" t="str">
        <f>IF('Stammdaten - Schwimmer'!$D15&lt;DATE(2007,7,20),B15,)</f>
        <v>Wang</v>
      </c>
      <c r="X15" s="24" t="str">
        <f>IF('Stammdaten - Schwimmer'!$D15&lt;DATE(2007,7,20),C15,)</f>
        <v xml:space="preserve">Jiayuan </v>
      </c>
      <c r="Y15" s="22">
        <f>IF('Stammdaten - Schwimmer'!$D15&lt;DATE(2007,7,20),D15,)</f>
        <v>0</v>
      </c>
      <c r="Z15" s="25">
        <f>IF('Stammdaten - Schwimmer'!$D15&lt;DATE(2007,7,20),'Stammdaten - Schwimmer'!F15,)</f>
        <v>0</v>
      </c>
      <c r="AA15">
        <f t="shared" si="2"/>
        <v>46</v>
      </c>
    </row>
    <row r="16" spans="1:27" x14ac:dyDescent="0.35">
      <c r="A16" s="20">
        <f>'Stammdaten - Schwimmer'!A16</f>
        <v>13</v>
      </c>
      <c r="B16" s="21" t="str">
        <f>'Stammdaten - Schwimmer'!B16</f>
        <v>Schwörer</v>
      </c>
      <c r="C16" s="21" t="str">
        <f>'Stammdaten - Schwimmer'!C16</f>
        <v>Noah</v>
      </c>
      <c r="D16" s="22">
        <f>'Stammdaten - Schwimmer'!J16+'Stammdaten - Schwimmer'!N16+'Stammdaten - Schwimmer'!R16+'Stammdaten - Schwimmer'!V16+'Stammdaten - Schwimmer'!Z17</f>
        <v>0</v>
      </c>
      <c r="E16" s="25">
        <f>'Stammdaten - Schwimmer'!F16</f>
        <v>0</v>
      </c>
      <c r="H16" s="24">
        <f>IF('Stammdaten - Schwimmer'!D16&gt;DATE(2011,7,20),A16,)</f>
        <v>0</v>
      </c>
      <c r="I16" s="24">
        <f>IF('Stammdaten - Schwimmer'!$D16&gt;DATE(2011,7,20),B16,)</f>
        <v>0</v>
      </c>
      <c r="J16" s="24">
        <f>IF('Stammdaten - Schwimmer'!$D16&gt;DATE(2011,7,20),C16,)</f>
        <v>0</v>
      </c>
      <c r="K16" s="22">
        <f>IF('Stammdaten - Schwimmer'!$D16&gt;DATE(2011,7,20),D16,)</f>
        <v>0</v>
      </c>
      <c r="L16" s="24">
        <f>IF('Stammdaten - Schwimmer'!$D16&gt;DATE(2011,7,20),'Stammdaten - Schwimmer'!F16,)</f>
        <v>0</v>
      </c>
      <c r="M16">
        <f t="shared" si="0"/>
        <v>34</v>
      </c>
      <c r="O16" s="24">
        <f>IF(AND('Stammdaten - Schwimmer'!$D16&lt;DATE(2011,7,20),'Stammdaten - Schwimmer'!$D16&gt;DATE(2007,7,19)),A16,)</f>
        <v>0</v>
      </c>
      <c r="P16" s="24">
        <f>IF(AND('Stammdaten - Schwimmer'!$D16&lt;DATE(2011,7,20),'Stammdaten - Schwimmer'!$D16&gt;DATE(2007,7,19)),B16,)</f>
        <v>0</v>
      </c>
      <c r="Q16" s="24">
        <f>IF(AND('Stammdaten - Schwimmer'!$D16&lt;DATE(2011,7,20),'Stammdaten - Schwimmer'!$D16&gt;DATE(2007,7,19)),C16,)</f>
        <v>0</v>
      </c>
      <c r="R16" s="22">
        <f>IF(AND('Stammdaten - Schwimmer'!$D16&lt;DATE(2011,7,20),'Stammdaten - Schwimmer'!$D16&gt;DATE(2007,7,19)),D16,)</f>
        <v>0</v>
      </c>
      <c r="S16" s="25">
        <f>IF(AND('Stammdaten - Schwimmer'!$D16&lt;DATE(2011,7,20),'Stammdaten - Schwimmer'!$D16&gt;DATE(2007,7,19)),'Stammdaten - Schwimmer'!F16,)</f>
        <v>0</v>
      </c>
      <c r="T16">
        <f t="shared" si="1"/>
        <v>11</v>
      </c>
      <c r="V16" s="24">
        <f>IF('Stammdaten - Schwimmer'!$D16&lt;DATE(2007,7,20),A16,)</f>
        <v>13</v>
      </c>
      <c r="W16" s="24" t="str">
        <f>IF('Stammdaten - Schwimmer'!$D16&lt;DATE(2007,7,20),B16,)</f>
        <v>Schwörer</v>
      </c>
      <c r="X16" s="24" t="str">
        <f>IF('Stammdaten - Schwimmer'!$D16&lt;DATE(2007,7,20),C16,)</f>
        <v>Noah</v>
      </c>
      <c r="Y16" s="22">
        <f>IF('Stammdaten - Schwimmer'!$D16&lt;DATE(2007,7,20),D16,)</f>
        <v>0</v>
      </c>
      <c r="Z16" s="25">
        <f>IF('Stammdaten - Schwimmer'!$D16&lt;DATE(2007,7,20),'Stammdaten - Schwimmer'!F16,)</f>
        <v>0</v>
      </c>
      <c r="AA16">
        <f t="shared" si="2"/>
        <v>46</v>
      </c>
    </row>
    <row r="17" spans="1:27" x14ac:dyDescent="0.35">
      <c r="A17" s="20">
        <f>'Stammdaten - Schwimmer'!A17</f>
        <v>14</v>
      </c>
      <c r="B17" s="21" t="str">
        <f>'Stammdaten - Schwimmer'!B17</f>
        <v>Test</v>
      </c>
      <c r="C17" s="21" t="str">
        <f>'Stammdaten - Schwimmer'!C17</f>
        <v>12J</v>
      </c>
      <c r="D17" s="22">
        <f>'Stammdaten - Schwimmer'!J17+'Stammdaten - Schwimmer'!N17+'Stammdaten - Schwimmer'!R17+'Stammdaten - Schwimmer'!V17+'Stammdaten - Schwimmer'!Z18</f>
        <v>0</v>
      </c>
      <c r="E17" s="25">
        <f>'Stammdaten - Schwimmer'!F17</f>
        <v>0</v>
      </c>
      <c r="H17" s="24">
        <f>IF('Stammdaten - Schwimmer'!D17&gt;DATE(2011,7,20),A17,)</f>
        <v>14</v>
      </c>
      <c r="I17" s="24" t="str">
        <f>IF('Stammdaten - Schwimmer'!$D17&gt;DATE(2011,7,20),B17,)</f>
        <v>Test</v>
      </c>
      <c r="J17" s="24" t="str">
        <f>IF('Stammdaten - Schwimmer'!$D17&gt;DATE(2011,7,20),C17,)</f>
        <v>12J</v>
      </c>
      <c r="K17" s="22">
        <f>IF('Stammdaten - Schwimmer'!$D17&gt;DATE(2011,7,20),D17,)</f>
        <v>0</v>
      </c>
      <c r="L17" s="24">
        <f>IF('Stammdaten - Schwimmer'!$D17&gt;DATE(2011,7,20),'Stammdaten - Schwimmer'!F17,)</f>
        <v>0</v>
      </c>
      <c r="M17">
        <f t="shared" si="0"/>
        <v>34</v>
      </c>
      <c r="O17" s="24">
        <f>IF(AND('Stammdaten - Schwimmer'!$D17&lt;DATE(2011,7,20),'Stammdaten - Schwimmer'!$D17&gt;DATE(2007,7,19)),A17,)</f>
        <v>0</v>
      </c>
      <c r="P17" s="24">
        <f>IF(AND('Stammdaten - Schwimmer'!$D17&lt;DATE(2011,7,20),'Stammdaten - Schwimmer'!$D17&gt;DATE(2007,7,19)),B17,)</f>
        <v>0</v>
      </c>
      <c r="Q17" s="24">
        <f>IF(AND('Stammdaten - Schwimmer'!$D17&lt;DATE(2011,7,20),'Stammdaten - Schwimmer'!$D17&gt;DATE(2007,7,19)),C17,)</f>
        <v>0</v>
      </c>
      <c r="R17" s="22">
        <f>IF(AND('Stammdaten - Schwimmer'!$D17&lt;DATE(2011,7,20),'Stammdaten - Schwimmer'!$D17&gt;DATE(2007,7,19)),D17,)</f>
        <v>0</v>
      </c>
      <c r="S17" s="25">
        <f>IF(AND('Stammdaten - Schwimmer'!$D17&lt;DATE(2011,7,20),'Stammdaten - Schwimmer'!$D17&gt;DATE(2007,7,19)),'Stammdaten - Schwimmer'!F17,)</f>
        <v>0</v>
      </c>
      <c r="T17">
        <f t="shared" si="1"/>
        <v>11</v>
      </c>
      <c r="V17" s="24">
        <f>IF('Stammdaten - Schwimmer'!$D17&lt;DATE(2007,7,20),A17,)</f>
        <v>0</v>
      </c>
      <c r="W17" s="24">
        <f>IF('Stammdaten - Schwimmer'!$D17&lt;DATE(2007,7,20),B17,)</f>
        <v>0</v>
      </c>
      <c r="X17" s="24">
        <f>IF('Stammdaten - Schwimmer'!$D17&lt;DATE(2007,7,20),C17,)</f>
        <v>0</v>
      </c>
      <c r="Y17" s="22">
        <f>IF('Stammdaten - Schwimmer'!$D17&lt;DATE(2007,7,20),D17,)</f>
        <v>0</v>
      </c>
      <c r="Z17" s="25">
        <f>IF('Stammdaten - Schwimmer'!$D17&lt;DATE(2007,7,20),'Stammdaten - Schwimmer'!F17,)</f>
        <v>0</v>
      </c>
      <c r="AA17">
        <f t="shared" si="2"/>
        <v>46</v>
      </c>
    </row>
    <row r="18" spans="1:27" x14ac:dyDescent="0.35">
      <c r="A18" s="20">
        <f>'Stammdaten - Schwimmer'!A18</f>
        <v>15</v>
      </c>
      <c r="B18" s="21" t="str">
        <f>'Stammdaten - Schwimmer'!B18</f>
        <v xml:space="preserve"> Schmid</v>
      </c>
      <c r="C18" s="21" t="str">
        <f>'Stammdaten - Schwimmer'!C18</f>
        <v>Annette</v>
      </c>
      <c r="D18" s="22">
        <f>'Stammdaten - Schwimmer'!J18+'Stammdaten - Schwimmer'!N18+'Stammdaten - Schwimmer'!R18+'Stammdaten - Schwimmer'!V18+'Stammdaten - Schwimmer'!Z19</f>
        <v>40</v>
      </c>
      <c r="E18" s="25">
        <f>'Stammdaten - Schwimmer'!F18</f>
        <v>40</v>
      </c>
      <c r="H18" s="24">
        <f>IF('Stammdaten - Schwimmer'!D18&gt;DATE(2011,7,20),A18,)</f>
        <v>0</v>
      </c>
      <c r="I18" s="24">
        <f>IF('Stammdaten - Schwimmer'!$D18&gt;DATE(2011,7,20),B18,)</f>
        <v>0</v>
      </c>
      <c r="J18" s="24">
        <f>IF('Stammdaten - Schwimmer'!$D18&gt;DATE(2011,7,20),C18,)</f>
        <v>0</v>
      </c>
      <c r="K18" s="22">
        <f>IF('Stammdaten - Schwimmer'!$D18&gt;DATE(2011,7,20),D18,)</f>
        <v>0</v>
      </c>
      <c r="L18" s="24">
        <f>IF('Stammdaten - Schwimmer'!$D18&gt;DATE(2011,7,20),'Stammdaten - Schwimmer'!F18,)</f>
        <v>0</v>
      </c>
      <c r="M18">
        <f t="shared" si="0"/>
        <v>34</v>
      </c>
      <c r="O18" s="24">
        <f>IF(AND('Stammdaten - Schwimmer'!$D18&lt;DATE(2011,7,20),'Stammdaten - Schwimmer'!$D18&gt;DATE(2007,7,19)),A18,)</f>
        <v>0</v>
      </c>
      <c r="P18" s="24">
        <f>IF(AND('Stammdaten - Schwimmer'!$D18&lt;DATE(2011,7,20),'Stammdaten - Schwimmer'!$D18&gt;DATE(2007,7,19)),B18,)</f>
        <v>0</v>
      </c>
      <c r="Q18" s="24">
        <f>IF(AND('Stammdaten - Schwimmer'!$D18&lt;DATE(2011,7,20),'Stammdaten - Schwimmer'!$D18&gt;DATE(2007,7,19)),C18,)</f>
        <v>0</v>
      </c>
      <c r="R18" s="22">
        <f>IF(AND('Stammdaten - Schwimmer'!$D18&lt;DATE(2011,7,20),'Stammdaten - Schwimmer'!$D18&gt;DATE(2007,7,19)),D18,)</f>
        <v>0</v>
      </c>
      <c r="S18" s="25">
        <f>IF(AND('Stammdaten - Schwimmer'!$D18&lt;DATE(2011,7,20),'Stammdaten - Schwimmer'!$D18&gt;DATE(2007,7,19)),'Stammdaten - Schwimmer'!F18,)</f>
        <v>0</v>
      </c>
      <c r="T18">
        <f t="shared" si="1"/>
        <v>11</v>
      </c>
      <c r="V18" s="24">
        <f>IF('Stammdaten - Schwimmer'!$D18&lt;DATE(2007,7,20),A18,)</f>
        <v>15</v>
      </c>
      <c r="W18" s="24" t="str">
        <f>IF('Stammdaten - Schwimmer'!$D18&lt;DATE(2007,7,20),B18,)</f>
        <v xml:space="preserve"> Schmid</v>
      </c>
      <c r="X18" s="24" t="str">
        <f>IF('Stammdaten - Schwimmer'!$D18&lt;DATE(2007,7,20),C18,)</f>
        <v>Annette</v>
      </c>
      <c r="Y18" s="22">
        <f>IF('Stammdaten - Schwimmer'!$D18&lt;DATE(2007,7,20),D18,)</f>
        <v>40</v>
      </c>
      <c r="Z18" s="25">
        <f>IF('Stammdaten - Schwimmer'!$D18&lt;DATE(2007,7,20),'Stammdaten - Schwimmer'!F18,)</f>
        <v>40</v>
      </c>
      <c r="AA18">
        <f t="shared" si="2"/>
        <v>27</v>
      </c>
    </row>
    <row r="19" spans="1:27" x14ac:dyDescent="0.35">
      <c r="A19" s="20">
        <f>'Stammdaten - Schwimmer'!A19</f>
        <v>16</v>
      </c>
      <c r="B19" s="21" t="str">
        <f>'Stammdaten - Schwimmer'!B19</f>
        <v>Gessler</v>
      </c>
      <c r="C19" s="21" t="str">
        <f>'Stammdaten - Schwimmer'!C19</f>
        <v>Birget</v>
      </c>
      <c r="D19" s="22">
        <f>'Stammdaten - Schwimmer'!J19+'Stammdaten - Schwimmer'!N19+'Stammdaten - Schwimmer'!R19+'Stammdaten - Schwimmer'!V19+'Stammdaten - Schwimmer'!Z20</f>
        <v>40</v>
      </c>
      <c r="E19" s="25">
        <f>'Stammdaten - Schwimmer'!F19</f>
        <v>40</v>
      </c>
      <c r="H19" s="24">
        <f>IF('Stammdaten - Schwimmer'!D19&gt;DATE(2011,7,20),A19,)</f>
        <v>0</v>
      </c>
      <c r="I19" s="24">
        <f>IF('Stammdaten - Schwimmer'!$D19&gt;DATE(2011,7,20),B19,)</f>
        <v>0</v>
      </c>
      <c r="J19" s="24">
        <f>IF('Stammdaten - Schwimmer'!$D19&gt;DATE(2011,7,20),C19,)</f>
        <v>0</v>
      </c>
      <c r="K19" s="22">
        <f>IF('Stammdaten - Schwimmer'!$D19&gt;DATE(2011,7,20),D19,)</f>
        <v>0</v>
      </c>
      <c r="L19" s="24">
        <f>IF('Stammdaten - Schwimmer'!$D19&gt;DATE(2011,7,20),'Stammdaten - Schwimmer'!F19,)</f>
        <v>0</v>
      </c>
      <c r="M19">
        <f t="shared" si="0"/>
        <v>34</v>
      </c>
      <c r="O19" s="24">
        <f>IF(AND('Stammdaten - Schwimmer'!$D19&lt;DATE(2011,7,20),'Stammdaten - Schwimmer'!$D19&gt;DATE(2007,7,19)),A19,)</f>
        <v>0</v>
      </c>
      <c r="P19" s="24">
        <f>IF(AND('Stammdaten - Schwimmer'!$D19&lt;DATE(2011,7,20),'Stammdaten - Schwimmer'!$D19&gt;DATE(2007,7,19)),B19,)</f>
        <v>0</v>
      </c>
      <c r="Q19" s="24">
        <f>IF(AND('Stammdaten - Schwimmer'!$D19&lt;DATE(2011,7,20),'Stammdaten - Schwimmer'!$D19&gt;DATE(2007,7,19)),C19,)</f>
        <v>0</v>
      </c>
      <c r="R19" s="22">
        <f>IF(AND('Stammdaten - Schwimmer'!$D19&lt;DATE(2011,7,20),'Stammdaten - Schwimmer'!$D19&gt;DATE(2007,7,19)),D19,)</f>
        <v>0</v>
      </c>
      <c r="S19" s="25">
        <f>IF(AND('Stammdaten - Schwimmer'!$D19&lt;DATE(2011,7,20),'Stammdaten - Schwimmer'!$D19&gt;DATE(2007,7,19)),'Stammdaten - Schwimmer'!F19,)</f>
        <v>0</v>
      </c>
      <c r="T19">
        <f t="shared" si="1"/>
        <v>11</v>
      </c>
      <c r="V19" s="24">
        <f>IF('Stammdaten - Schwimmer'!$D19&lt;DATE(2007,7,20),A19,)</f>
        <v>16</v>
      </c>
      <c r="W19" s="24" t="str">
        <f>IF('Stammdaten - Schwimmer'!$D19&lt;DATE(2007,7,20),B19,)</f>
        <v>Gessler</v>
      </c>
      <c r="X19" s="24" t="str">
        <f>IF('Stammdaten - Schwimmer'!$D19&lt;DATE(2007,7,20),C19,)</f>
        <v>Birget</v>
      </c>
      <c r="Y19" s="22">
        <f>IF('Stammdaten - Schwimmer'!$D19&lt;DATE(2007,7,20),D19,)</f>
        <v>40</v>
      </c>
      <c r="Z19" s="25">
        <f>IF('Stammdaten - Schwimmer'!$D19&lt;DATE(2007,7,20),'Stammdaten - Schwimmer'!F19,)</f>
        <v>40</v>
      </c>
      <c r="AA19">
        <f t="shared" si="2"/>
        <v>27</v>
      </c>
    </row>
    <row r="20" spans="1:27" x14ac:dyDescent="0.35">
      <c r="A20" s="20">
        <f>'Stammdaten - Schwimmer'!A20</f>
        <v>17</v>
      </c>
      <c r="B20" s="21" t="str">
        <f>'Stammdaten - Schwimmer'!B20</f>
        <v>Gessler</v>
      </c>
      <c r="C20" s="21" t="str">
        <f>'Stammdaten - Schwimmer'!C20</f>
        <v>Tom Michael</v>
      </c>
      <c r="D20" s="22">
        <f>'Stammdaten - Schwimmer'!J20+'Stammdaten - Schwimmer'!N20+'Stammdaten - Schwimmer'!R20+'Stammdaten - Schwimmer'!V20+'Stammdaten - Schwimmer'!Z21</f>
        <v>14</v>
      </c>
      <c r="E20" s="25">
        <f>'Stammdaten - Schwimmer'!F20</f>
        <v>14</v>
      </c>
      <c r="H20" s="24">
        <f>IF('Stammdaten - Schwimmer'!D20&gt;DATE(2011,7,20),A20,)</f>
        <v>17</v>
      </c>
      <c r="I20" s="24" t="str">
        <f>IF('Stammdaten - Schwimmer'!$D20&gt;DATE(2011,7,20),B20,)</f>
        <v>Gessler</v>
      </c>
      <c r="J20" s="24" t="str">
        <f>IF('Stammdaten - Schwimmer'!$D20&gt;DATE(2011,7,20),C20,)</f>
        <v>Tom Michael</v>
      </c>
      <c r="K20" s="22">
        <f>IF('Stammdaten - Schwimmer'!$D20&gt;DATE(2011,7,20),D20,)</f>
        <v>14</v>
      </c>
      <c r="L20" s="24">
        <f>IF('Stammdaten - Schwimmer'!$D20&gt;DATE(2011,7,20),'Stammdaten - Schwimmer'!F20,)</f>
        <v>14</v>
      </c>
      <c r="M20">
        <f t="shared" si="0"/>
        <v>30</v>
      </c>
      <c r="O20" s="24">
        <f>IF(AND('Stammdaten - Schwimmer'!$D20&lt;DATE(2011,7,20),'Stammdaten - Schwimmer'!$D20&gt;DATE(2007,7,19)),A20,)</f>
        <v>0</v>
      </c>
      <c r="P20" s="24">
        <f>IF(AND('Stammdaten - Schwimmer'!$D20&lt;DATE(2011,7,20),'Stammdaten - Schwimmer'!$D20&gt;DATE(2007,7,19)),B20,)</f>
        <v>0</v>
      </c>
      <c r="Q20" s="24">
        <f>IF(AND('Stammdaten - Schwimmer'!$D20&lt;DATE(2011,7,20),'Stammdaten - Schwimmer'!$D20&gt;DATE(2007,7,19)),C20,)</f>
        <v>0</v>
      </c>
      <c r="R20" s="22">
        <f>IF(AND('Stammdaten - Schwimmer'!$D20&lt;DATE(2011,7,20),'Stammdaten - Schwimmer'!$D20&gt;DATE(2007,7,19)),D20,)</f>
        <v>0</v>
      </c>
      <c r="S20" s="25">
        <f>IF(AND('Stammdaten - Schwimmer'!$D20&lt;DATE(2011,7,20),'Stammdaten - Schwimmer'!$D20&gt;DATE(2007,7,19)),'Stammdaten - Schwimmer'!F20,)</f>
        <v>0</v>
      </c>
      <c r="T20">
        <f t="shared" si="1"/>
        <v>11</v>
      </c>
      <c r="V20" s="24">
        <f>IF('Stammdaten - Schwimmer'!$D20&lt;DATE(2007,7,20),A20,)</f>
        <v>0</v>
      </c>
      <c r="W20" s="24">
        <f>IF('Stammdaten - Schwimmer'!$D20&lt;DATE(2007,7,20),B20,)</f>
        <v>0</v>
      </c>
      <c r="X20" s="24">
        <f>IF('Stammdaten - Schwimmer'!$D20&lt;DATE(2007,7,20),C20,)</f>
        <v>0</v>
      </c>
      <c r="Y20" s="22">
        <f>IF('Stammdaten - Schwimmer'!$D20&lt;DATE(2007,7,20),D20,)</f>
        <v>0</v>
      </c>
      <c r="Z20" s="25">
        <f>IF('Stammdaten - Schwimmer'!$D20&lt;DATE(2007,7,20),'Stammdaten - Schwimmer'!F20,)</f>
        <v>0</v>
      </c>
      <c r="AA20">
        <f t="shared" si="2"/>
        <v>46</v>
      </c>
    </row>
    <row r="21" spans="1:27" x14ac:dyDescent="0.35">
      <c r="A21" s="20">
        <f>'Stammdaten - Schwimmer'!A21</f>
        <v>18</v>
      </c>
      <c r="B21" s="21" t="str">
        <f>'Stammdaten - Schwimmer'!B21</f>
        <v>Schmid</v>
      </c>
      <c r="C21" s="21" t="str">
        <f>'Stammdaten - Schwimmer'!C21</f>
        <v>Hannes</v>
      </c>
      <c r="D21" s="22">
        <f>'Stammdaten - Schwimmer'!J21+'Stammdaten - Schwimmer'!N21+'Stammdaten - Schwimmer'!R21+'Stammdaten - Schwimmer'!V21+'Stammdaten - Schwimmer'!Z22</f>
        <v>204</v>
      </c>
      <c r="E21" s="25">
        <f>'Stammdaten - Schwimmer'!F21</f>
        <v>92</v>
      </c>
      <c r="H21" s="24">
        <f>IF('Stammdaten - Schwimmer'!D21&gt;DATE(2011,7,20),A21,)</f>
        <v>18</v>
      </c>
      <c r="I21" s="24" t="str">
        <f>IF('Stammdaten - Schwimmer'!$D21&gt;DATE(2011,7,20),B21,)</f>
        <v>Schmid</v>
      </c>
      <c r="J21" s="24" t="str">
        <f>IF('Stammdaten - Schwimmer'!$D21&gt;DATE(2011,7,20),C21,)</f>
        <v>Hannes</v>
      </c>
      <c r="K21" s="22">
        <f>IF('Stammdaten - Schwimmer'!$D21&gt;DATE(2011,7,20),D21,)</f>
        <v>204</v>
      </c>
      <c r="L21" s="24">
        <f>IF('Stammdaten - Schwimmer'!$D21&gt;DATE(2011,7,20),'Stammdaten - Schwimmer'!F21,)</f>
        <v>92</v>
      </c>
      <c r="M21">
        <f t="shared" si="0"/>
        <v>7</v>
      </c>
      <c r="O21" s="24">
        <f>IF(AND('Stammdaten - Schwimmer'!$D21&lt;DATE(2011,7,20),'Stammdaten - Schwimmer'!$D21&gt;DATE(2007,7,19)),A21,)</f>
        <v>0</v>
      </c>
      <c r="P21" s="24">
        <f>IF(AND('Stammdaten - Schwimmer'!$D21&lt;DATE(2011,7,20),'Stammdaten - Schwimmer'!$D21&gt;DATE(2007,7,19)),B21,)</f>
        <v>0</v>
      </c>
      <c r="Q21" s="24">
        <f>IF(AND('Stammdaten - Schwimmer'!$D21&lt;DATE(2011,7,20),'Stammdaten - Schwimmer'!$D21&gt;DATE(2007,7,19)),C21,)</f>
        <v>0</v>
      </c>
      <c r="R21" s="22">
        <f>IF(AND('Stammdaten - Schwimmer'!$D21&lt;DATE(2011,7,20),'Stammdaten - Schwimmer'!$D21&gt;DATE(2007,7,19)),D21,)</f>
        <v>0</v>
      </c>
      <c r="S21" s="25">
        <f>IF(AND('Stammdaten - Schwimmer'!$D21&lt;DATE(2011,7,20),'Stammdaten - Schwimmer'!$D21&gt;DATE(2007,7,19)),'Stammdaten - Schwimmer'!F21,)</f>
        <v>0</v>
      </c>
      <c r="T21">
        <f t="shared" si="1"/>
        <v>11</v>
      </c>
      <c r="V21" s="24">
        <f>IF('Stammdaten - Schwimmer'!$D21&lt;DATE(2007,7,20),A21,)</f>
        <v>0</v>
      </c>
      <c r="W21" s="24">
        <f>IF('Stammdaten - Schwimmer'!$D21&lt;DATE(2007,7,20),B21,)</f>
        <v>0</v>
      </c>
      <c r="X21" s="24">
        <f>IF('Stammdaten - Schwimmer'!$D21&lt;DATE(2007,7,20),C21,)</f>
        <v>0</v>
      </c>
      <c r="Y21" s="22">
        <f>IF('Stammdaten - Schwimmer'!$D21&lt;DATE(2007,7,20),D21,)</f>
        <v>0</v>
      </c>
      <c r="Z21" s="25">
        <f>IF('Stammdaten - Schwimmer'!$D21&lt;DATE(2007,7,20),'Stammdaten - Schwimmer'!F21,)</f>
        <v>0</v>
      </c>
      <c r="AA21">
        <f t="shared" si="2"/>
        <v>46</v>
      </c>
    </row>
    <row r="22" spans="1:27" x14ac:dyDescent="0.35">
      <c r="A22" s="20">
        <f>'Stammdaten - Schwimmer'!A22</f>
        <v>19</v>
      </c>
      <c r="B22" s="21" t="str">
        <f>'Stammdaten - Schwimmer'!B22</f>
        <v>Uth</v>
      </c>
      <c r="C22" s="21" t="str">
        <f>'Stammdaten - Schwimmer'!C22</f>
        <v>Markus</v>
      </c>
      <c r="D22" s="22">
        <f>'Stammdaten - Schwimmer'!J22+'Stammdaten - Schwimmer'!N22+'Stammdaten - Schwimmer'!R22+'Stammdaten - Schwimmer'!V22+'Stammdaten - Schwimmer'!Z23</f>
        <v>121</v>
      </c>
      <c r="E22" s="25">
        <f>'Stammdaten - Schwimmer'!F22</f>
        <v>42</v>
      </c>
      <c r="H22" s="24">
        <f>IF('Stammdaten - Schwimmer'!D22&gt;DATE(2011,7,20),A22,)</f>
        <v>0</v>
      </c>
      <c r="I22" s="24">
        <f>IF('Stammdaten - Schwimmer'!$D22&gt;DATE(2011,7,20),B22,)</f>
        <v>0</v>
      </c>
      <c r="J22" s="24">
        <f>IF('Stammdaten - Schwimmer'!$D22&gt;DATE(2011,7,20),C22,)</f>
        <v>0</v>
      </c>
      <c r="K22" s="22">
        <f>IF('Stammdaten - Schwimmer'!$D22&gt;DATE(2011,7,20),D22,)</f>
        <v>0</v>
      </c>
      <c r="L22" s="24">
        <f>IF('Stammdaten - Schwimmer'!$D22&gt;DATE(2011,7,20),'Stammdaten - Schwimmer'!F22,)</f>
        <v>0</v>
      </c>
      <c r="M22">
        <f t="shared" si="0"/>
        <v>34</v>
      </c>
      <c r="O22" s="24">
        <f>IF(AND('Stammdaten - Schwimmer'!$D22&lt;DATE(2011,7,20),'Stammdaten - Schwimmer'!$D22&gt;DATE(2007,7,19)),A22,)</f>
        <v>0</v>
      </c>
      <c r="P22" s="24">
        <f>IF(AND('Stammdaten - Schwimmer'!$D22&lt;DATE(2011,7,20),'Stammdaten - Schwimmer'!$D22&gt;DATE(2007,7,19)),B22,)</f>
        <v>0</v>
      </c>
      <c r="Q22" s="24">
        <f>IF(AND('Stammdaten - Schwimmer'!$D22&lt;DATE(2011,7,20),'Stammdaten - Schwimmer'!$D22&gt;DATE(2007,7,19)),C22,)</f>
        <v>0</v>
      </c>
      <c r="R22" s="22">
        <f>IF(AND('Stammdaten - Schwimmer'!$D22&lt;DATE(2011,7,20),'Stammdaten - Schwimmer'!$D22&gt;DATE(2007,7,19)),D22,)</f>
        <v>0</v>
      </c>
      <c r="S22" s="25">
        <f>IF(AND('Stammdaten - Schwimmer'!$D22&lt;DATE(2011,7,20),'Stammdaten - Schwimmer'!$D22&gt;DATE(2007,7,19)),'Stammdaten - Schwimmer'!F22,)</f>
        <v>0</v>
      </c>
      <c r="T22">
        <f t="shared" si="1"/>
        <v>11</v>
      </c>
      <c r="V22" s="24">
        <f>IF('Stammdaten - Schwimmer'!$D22&lt;DATE(2007,7,20),A22,)</f>
        <v>19</v>
      </c>
      <c r="W22" s="24" t="str">
        <f>IF('Stammdaten - Schwimmer'!$D22&lt;DATE(2007,7,20),B22,)</f>
        <v>Uth</v>
      </c>
      <c r="X22" s="24" t="str">
        <f>IF('Stammdaten - Schwimmer'!$D22&lt;DATE(2007,7,20),C22,)</f>
        <v>Markus</v>
      </c>
      <c r="Y22" s="22">
        <f>IF('Stammdaten - Schwimmer'!$D22&lt;DATE(2007,7,20),D22,)</f>
        <v>121</v>
      </c>
      <c r="Z22" s="25">
        <f>IF('Stammdaten - Schwimmer'!$D22&lt;DATE(2007,7,20),'Stammdaten - Schwimmer'!F22,)</f>
        <v>42</v>
      </c>
      <c r="AA22">
        <f t="shared" si="2"/>
        <v>25</v>
      </c>
    </row>
    <row r="23" spans="1:27" x14ac:dyDescent="0.35">
      <c r="A23" s="20">
        <f>'Stammdaten - Schwimmer'!A23</f>
        <v>20</v>
      </c>
      <c r="B23" s="21" t="str">
        <f>'Stammdaten - Schwimmer'!B23</f>
        <v>Göpel</v>
      </c>
      <c r="C23" s="21" t="str">
        <f>'Stammdaten - Schwimmer'!C23</f>
        <v>Norah</v>
      </c>
      <c r="D23" s="22">
        <f>'Stammdaten - Schwimmer'!J23+'Stammdaten - Schwimmer'!N23+'Stammdaten - Schwimmer'!R23+'Stammdaten - Schwimmer'!V23+'Stammdaten - Schwimmer'!Z24</f>
        <v>245</v>
      </c>
      <c r="E23" s="25">
        <f>'Stammdaten - Schwimmer'!F23</f>
        <v>58</v>
      </c>
      <c r="H23" s="24">
        <f>IF('Stammdaten - Schwimmer'!D23&gt;DATE(2011,7,20),A23,)</f>
        <v>20</v>
      </c>
      <c r="I23" s="24" t="str">
        <f>IF('Stammdaten - Schwimmer'!$D23&gt;DATE(2011,7,20),B23,)</f>
        <v>Göpel</v>
      </c>
      <c r="J23" s="24" t="str">
        <f>IF('Stammdaten - Schwimmer'!$D23&gt;DATE(2011,7,20),C23,)</f>
        <v>Norah</v>
      </c>
      <c r="K23" s="22">
        <f>IF('Stammdaten - Schwimmer'!$D23&gt;DATE(2011,7,20),D23,)</f>
        <v>245</v>
      </c>
      <c r="L23" s="24">
        <f>IF('Stammdaten - Schwimmer'!$D23&gt;DATE(2011,7,20),'Stammdaten - Schwimmer'!F23,)</f>
        <v>58</v>
      </c>
      <c r="M23">
        <f t="shared" si="0"/>
        <v>22</v>
      </c>
      <c r="O23" s="24">
        <f>IF(AND('Stammdaten - Schwimmer'!$D23&lt;DATE(2011,7,20),'Stammdaten - Schwimmer'!$D23&gt;DATE(2007,7,19)),A23,)</f>
        <v>0</v>
      </c>
      <c r="P23" s="24">
        <f>IF(AND('Stammdaten - Schwimmer'!$D23&lt;DATE(2011,7,20),'Stammdaten - Schwimmer'!$D23&gt;DATE(2007,7,19)),B23,)</f>
        <v>0</v>
      </c>
      <c r="Q23" s="24">
        <f>IF(AND('Stammdaten - Schwimmer'!$D23&lt;DATE(2011,7,20),'Stammdaten - Schwimmer'!$D23&gt;DATE(2007,7,19)),C23,)</f>
        <v>0</v>
      </c>
      <c r="R23" s="22">
        <f>IF(AND('Stammdaten - Schwimmer'!$D23&lt;DATE(2011,7,20),'Stammdaten - Schwimmer'!$D23&gt;DATE(2007,7,19)),D23,)</f>
        <v>0</v>
      </c>
      <c r="S23" s="25">
        <f>IF(AND('Stammdaten - Schwimmer'!$D23&lt;DATE(2011,7,20),'Stammdaten - Schwimmer'!$D23&gt;DATE(2007,7,19)),'Stammdaten - Schwimmer'!F23,)</f>
        <v>0</v>
      </c>
      <c r="T23">
        <f t="shared" si="1"/>
        <v>11</v>
      </c>
      <c r="V23" s="24">
        <f>IF('Stammdaten - Schwimmer'!$D23&lt;DATE(2007,7,20),A23,)</f>
        <v>0</v>
      </c>
      <c r="W23" s="24">
        <f>IF('Stammdaten - Schwimmer'!$D23&lt;DATE(2007,7,20),B23,)</f>
        <v>0</v>
      </c>
      <c r="X23" s="24">
        <f>IF('Stammdaten - Schwimmer'!$D23&lt;DATE(2007,7,20),C23,)</f>
        <v>0</v>
      </c>
      <c r="Y23" s="22">
        <f>IF('Stammdaten - Schwimmer'!$D23&lt;DATE(2007,7,20),D23,)</f>
        <v>0</v>
      </c>
      <c r="Z23" s="25">
        <f>IF('Stammdaten - Schwimmer'!$D23&lt;DATE(2007,7,20),'Stammdaten - Schwimmer'!F23,)</f>
        <v>0</v>
      </c>
      <c r="AA23">
        <f t="shared" si="2"/>
        <v>46</v>
      </c>
    </row>
    <row r="24" spans="1:27" x14ac:dyDescent="0.35">
      <c r="A24" s="20">
        <f>'Stammdaten - Schwimmer'!A24</f>
        <v>21</v>
      </c>
      <c r="B24" s="21" t="str">
        <f>'Stammdaten - Schwimmer'!B24</f>
        <v>Schmid</v>
      </c>
      <c r="C24" s="21" t="str">
        <f>'Stammdaten - Schwimmer'!C24</f>
        <v>Jakob</v>
      </c>
      <c r="D24" s="22">
        <f>'Stammdaten - Schwimmer'!J24+'Stammdaten - Schwimmer'!N24+'Stammdaten - Schwimmer'!R24+'Stammdaten - Schwimmer'!V24+'Stammdaten - Schwimmer'!Z25</f>
        <v>80</v>
      </c>
      <c r="E24" s="25">
        <f>'Stammdaten - Schwimmer'!F24</f>
        <v>40</v>
      </c>
      <c r="H24" s="24">
        <f>IF('Stammdaten - Schwimmer'!D24&gt;DATE(2011,7,20),A24,)</f>
        <v>21</v>
      </c>
      <c r="I24" s="24" t="str">
        <f>IF('Stammdaten - Schwimmer'!$D24&gt;DATE(2011,7,20),B24,)</f>
        <v>Schmid</v>
      </c>
      <c r="J24" s="24" t="str">
        <f>IF('Stammdaten - Schwimmer'!$D24&gt;DATE(2011,7,20),C24,)</f>
        <v>Jakob</v>
      </c>
      <c r="K24" s="22">
        <f>IF('Stammdaten - Schwimmer'!$D24&gt;DATE(2011,7,20),D24,)</f>
        <v>80</v>
      </c>
      <c r="L24" s="24">
        <f>IF('Stammdaten - Schwimmer'!$D24&gt;DATE(2011,7,20),'Stammdaten - Schwimmer'!F24,)</f>
        <v>40</v>
      </c>
      <c r="M24">
        <f t="shared" si="0"/>
        <v>25</v>
      </c>
      <c r="O24" s="24">
        <f>IF(AND('Stammdaten - Schwimmer'!$D24&lt;DATE(2011,7,20),'Stammdaten - Schwimmer'!$D24&gt;DATE(2007,7,19)),A24,)</f>
        <v>0</v>
      </c>
      <c r="P24" s="24">
        <f>IF(AND('Stammdaten - Schwimmer'!$D24&lt;DATE(2011,7,20),'Stammdaten - Schwimmer'!$D24&gt;DATE(2007,7,19)),B24,)</f>
        <v>0</v>
      </c>
      <c r="Q24" s="24">
        <f>IF(AND('Stammdaten - Schwimmer'!$D24&lt;DATE(2011,7,20),'Stammdaten - Schwimmer'!$D24&gt;DATE(2007,7,19)),C24,)</f>
        <v>0</v>
      </c>
      <c r="R24" s="22">
        <f>IF(AND('Stammdaten - Schwimmer'!$D24&lt;DATE(2011,7,20),'Stammdaten - Schwimmer'!$D24&gt;DATE(2007,7,19)),D24,)</f>
        <v>0</v>
      </c>
      <c r="S24" s="25">
        <f>IF(AND('Stammdaten - Schwimmer'!$D24&lt;DATE(2011,7,20),'Stammdaten - Schwimmer'!$D24&gt;DATE(2007,7,19)),'Stammdaten - Schwimmer'!F24,)</f>
        <v>0</v>
      </c>
      <c r="T24">
        <f t="shared" si="1"/>
        <v>11</v>
      </c>
      <c r="V24" s="24">
        <f>IF('Stammdaten - Schwimmer'!$D24&lt;DATE(2007,7,20),A24,)</f>
        <v>0</v>
      </c>
      <c r="W24" s="24">
        <f>IF('Stammdaten - Schwimmer'!$D24&lt;DATE(2007,7,20),B24,)</f>
        <v>0</v>
      </c>
      <c r="X24" s="24">
        <f>IF('Stammdaten - Schwimmer'!$D24&lt;DATE(2007,7,20),C24,)</f>
        <v>0</v>
      </c>
      <c r="Y24" s="22">
        <f>IF('Stammdaten - Schwimmer'!$D24&lt;DATE(2007,7,20),D24,)</f>
        <v>0</v>
      </c>
      <c r="Z24" s="25">
        <f>IF('Stammdaten - Schwimmer'!$D24&lt;DATE(2007,7,20),'Stammdaten - Schwimmer'!F24,)</f>
        <v>0</v>
      </c>
      <c r="AA24">
        <f t="shared" si="2"/>
        <v>46</v>
      </c>
    </row>
    <row r="25" spans="1:27" x14ac:dyDescent="0.35">
      <c r="A25" s="20">
        <f>'Stammdaten - Schwimmer'!A25</f>
        <v>22</v>
      </c>
      <c r="B25" s="21" t="str">
        <f>'Stammdaten - Schwimmer'!B25</f>
        <v>Helbeck</v>
      </c>
      <c r="C25" s="21" t="str">
        <f>'Stammdaten - Schwimmer'!C25</f>
        <v>Jonne</v>
      </c>
      <c r="D25" s="22">
        <f>'Stammdaten - Schwimmer'!J25+'Stammdaten - Schwimmer'!N25+'Stammdaten - Schwimmer'!R25+'Stammdaten - Schwimmer'!V25+'Stammdaten - Schwimmer'!Z26</f>
        <v>195</v>
      </c>
      <c r="E25" s="25">
        <f>'Stammdaten - Schwimmer'!F25</f>
        <v>30</v>
      </c>
      <c r="H25" s="24">
        <f>IF('Stammdaten - Schwimmer'!D25&gt;DATE(2011,7,20),A25,)</f>
        <v>22</v>
      </c>
      <c r="I25" s="24" t="str">
        <f>IF('Stammdaten - Schwimmer'!$D25&gt;DATE(2011,7,20),B25,)</f>
        <v>Helbeck</v>
      </c>
      <c r="J25" s="24" t="str">
        <f>IF('Stammdaten - Schwimmer'!$D25&gt;DATE(2011,7,20),C25,)</f>
        <v>Jonne</v>
      </c>
      <c r="K25" s="22">
        <f>IF('Stammdaten - Schwimmer'!$D25&gt;DATE(2011,7,20),D25,)</f>
        <v>195</v>
      </c>
      <c r="L25" s="24">
        <f>IF('Stammdaten - Schwimmer'!$D25&gt;DATE(2011,7,20),'Stammdaten - Schwimmer'!F25,)</f>
        <v>30</v>
      </c>
      <c r="M25">
        <f t="shared" si="0"/>
        <v>26</v>
      </c>
      <c r="O25" s="24">
        <f>IF(AND('Stammdaten - Schwimmer'!$D25&lt;DATE(2011,7,20),'Stammdaten - Schwimmer'!$D25&gt;DATE(2007,7,19)),A25,)</f>
        <v>0</v>
      </c>
      <c r="P25" s="24">
        <f>IF(AND('Stammdaten - Schwimmer'!$D25&lt;DATE(2011,7,20),'Stammdaten - Schwimmer'!$D25&gt;DATE(2007,7,19)),B25,)</f>
        <v>0</v>
      </c>
      <c r="Q25" s="24">
        <f>IF(AND('Stammdaten - Schwimmer'!$D25&lt;DATE(2011,7,20),'Stammdaten - Schwimmer'!$D25&gt;DATE(2007,7,19)),C25,)</f>
        <v>0</v>
      </c>
      <c r="R25" s="22">
        <f>IF(AND('Stammdaten - Schwimmer'!$D25&lt;DATE(2011,7,20),'Stammdaten - Schwimmer'!$D25&gt;DATE(2007,7,19)),D25,)</f>
        <v>0</v>
      </c>
      <c r="S25" s="25">
        <f>IF(AND('Stammdaten - Schwimmer'!$D25&lt;DATE(2011,7,20),'Stammdaten - Schwimmer'!$D25&gt;DATE(2007,7,19)),'Stammdaten - Schwimmer'!F25,)</f>
        <v>0</v>
      </c>
      <c r="T25">
        <f t="shared" si="1"/>
        <v>11</v>
      </c>
      <c r="V25" s="24">
        <f>IF('Stammdaten - Schwimmer'!$D25&lt;DATE(2007,7,20),A25,)</f>
        <v>0</v>
      </c>
      <c r="W25" s="24">
        <f>IF('Stammdaten - Schwimmer'!$D25&lt;DATE(2007,7,20),B25,)</f>
        <v>0</v>
      </c>
      <c r="X25" s="24">
        <f>IF('Stammdaten - Schwimmer'!$D25&lt;DATE(2007,7,20),C25,)</f>
        <v>0</v>
      </c>
      <c r="Y25" s="22">
        <f>IF('Stammdaten - Schwimmer'!$D25&lt;DATE(2007,7,20),D25,)</f>
        <v>0</v>
      </c>
      <c r="Z25" s="25">
        <f>IF('Stammdaten - Schwimmer'!$D25&lt;DATE(2007,7,20),'Stammdaten - Schwimmer'!F25,)</f>
        <v>0</v>
      </c>
      <c r="AA25">
        <f t="shared" si="2"/>
        <v>46</v>
      </c>
    </row>
    <row r="26" spans="1:27" x14ac:dyDescent="0.35">
      <c r="A26" s="20">
        <f>'Stammdaten - Schwimmer'!A26</f>
        <v>23</v>
      </c>
      <c r="B26" s="21" t="str">
        <f>'Stammdaten - Schwimmer'!B26</f>
        <v>Michaels</v>
      </c>
      <c r="C26" s="21" t="str">
        <f>'Stammdaten - Schwimmer'!C26</f>
        <v>Laurens</v>
      </c>
      <c r="D26" s="22">
        <f>'Stammdaten - Schwimmer'!J26+'Stammdaten - Schwimmer'!N26+'Stammdaten - Schwimmer'!R26+'Stammdaten - Schwimmer'!V26+'Stammdaten - Schwimmer'!Z27</f>
        <v>59</v>
      </c>
      <c r="E26" s="25">
        <f>'Stammdaten - Schwimmer'!F26</f>
        <v>59</v>
      </c>
      <c r="H26" s="24">
        <f>IF('Stammdaten - Schwimmer'!D26&gt;DATE(2011,7,20),A26,)</f>
        <v>0</v>
      </c>
      <c r="I26" s="24">
        <f>IF('Stammdaten - Schwimmer'!$D26&gt;DATE(2011,7,20),B26,)</f>
        <v>0</v>
      </c>
      <c r="J26" s="24">
        <f>IF('Stammdaten - Schwimmer'!$D26&gt;DATE(2011,7,20),C26,)</f>
        <v>0</v>
      </c>
      <c r="K26" s="22">
        <f>IF('Stammdaten - Schwimmer'!$D26&gt;DATE(2011,7,20),D26,)</f>
        <v>0</v>
      </c>
      <c r="L26" s="24">
        <f>IF('Stammdaten - Schwimmer'!$D26&gt;DATE(2011,7,20),'Stammdaten - Schwimmer'!F26,)</f>
        <v>0</v>
      </c>
      <c r="M26">
        <f t="shared" si="0"/>
        <v>34</v>
      </c>
      <c r="O26" s="24">
        <f>IF(AND('Stammdaten - Schwimmer'!$D26&lt;DATE(2011,7,20),'Stammdaten - Schwimmer'!$D26&gt;DATE(2007,7,19)),A26,)</f>
        <v>0</v>
      </c>
      <c r="P26" s="24">
        <f>IF(AND('Stammdaten - Schwimmer'!$D26&lt;DATE(2011,7,20),'Stammdaten - Schwimmer'!$D26&gt;DATE(2007,7,19)),B26,)</f>
        <v>0</v>
      </c>
      <c r="Q26" s="24">
        <f>IF(AND('Stammdaten - Schwimmer'!$D26&lt;DATE(2011,7,20),'Stammdaten - Schwimmer'!$D26&gt;DATE(2007,7,19)),C26,)</f>
        <v>0</v>
      </c>
      <c r="R26" s="22">
        <f>IF(AND('Stammdaten - Schwimmer'!$D26&lt;DATE(2011,7,20),'Stammdaten - Schwimmer'!$D26&gt;DATE(2007,7,19)),D26,)</f>
        <v>0</v>
      </c>
      <c r="S26" s="25">
        <f>IF(AND('Stammdaten - Schwimmer'!$D26&lt;DATE(2011,7,20),'Stammdaten - Schwimmer'!$D26&gt;DATE(2007,7,19)),'Stammdaten - Schwimmer'!F26,)</f>
        <v>0</v>
      </c>
      <c r="T26">
        <f t="shared" si="1"/>
        <v>11</v>
      </c>
      <c r="V26" s="24">
        <f>IF('Stammdaten - Schwimmer'!$D26&lt;DATE(2007,7,20),A26,)</f>
        <v>23</v>
      </c>
      <c r="W26" s="24" t="str">
        <f>IF('Stammdaten - Schwimmer'!$D26&lt;DATE(2007,7,20),B26,)</f>
        <v>Michaels</v>
      </c>
      <c r="X26" s="24" t="str">
        <f>IF('Stammdaten - Schwimmer'!$D26&lt;DATE(2007,7,20),C26,)</f>
        <v>Laurens</v>
      </c>
      <c r="Y26" s="22">
        <f>IF('Stammdaten - Schwimmer'!$D26&lt;DATE(2007,7,20),D26,)</f>
        <v>59</v>
      </c>
      <c r="Z26" s="25">
        <f>IF('Stammdaten - Schwimmer'!$D26&lt;DATE(2007,7,20),'Stammdaten - Schwimmer'!F26,)</f>
        <v>59</v>
      </c>
      <c r="AA26">
        <f t="shared" si="2"/>
        <v>11</v>
      </c>
    </row>
    <row r="27" spans="1:27" x14ac:dyDescent="0.35">
      <c r="A27" s="20">
        <f>'Stammdaten - Schwimmer'!A27</f>
        <v>24</v>
      </c>
      <c r="B27" s="21" t="str">
        <f>'Stammdaten - Schwimmer'!B27</f>
        <v>Schwenk-Fischer</v>
      </c>
      <c r="C27" s="21" t="str">
        <f>'Stammdaten - Schwimmer'!C27</f>
        <v>Eva</v>
      </c>
      <c r="D27" s="22">
        <f>'Stammdaten - Schwimmer'!J27+'Stammdaten - Schwimmer'!N27+'Stammdaten - Schwimmer'!R27+'Stammdaten - Schwimmer'!V27+'Stammdaten - Schwimmer'!Z28</f>
        <v>15</v>
      </c>
      <c r="E27" s="25">
        <f>'Stammdaten - Schwimmer'!F27</f>
        <v>30</v>
      </c>
      <c r="H27" s="24">
        <f>IF('Stammdaten - Schwimmer'!D27&gt;DATE(2011,7,20),A27,)</f>
        <v>0</v>
      </c>
      <c r="I27" s="24">
        <f>IF('Stammdaten - Schwimmer'!$D27&gt;DATE(2011,7,20),B27,)</f>
        <v>0</v>
      </c>
      <c r="J27" s="24">
        <f>IF('Stammdaten - Schwimmer'!$D27&gt;DATE(2011,7,20),C27,)</f>
        <v>0</v>
      </c>
      <c r="K27" s="22">
        <f>IF('Stammdaten - Schwimmer'!$D27&gt;DATE(2011,7,20),D27,)</f>
        <v>0</v>
      </c>
      <c r="L27" s="24">
        <f>IF('Stammdaten - Schwimmer'!$D27&gt;DATE(2011,7,20),'Stammdaten - Schwimmer'!F27,)</f>
        <v>0</v>
      </c>
      <c r="M27">
        <f t="shared" si="0"/>
        <v>34</v>
      </c>
      <c r="O27" s="24">
        <f>IF(AND('Stammdaten - Schwimmer'!$D27&lt;DATE(2011,7,20),'Stammdaten - Schwimmer'!$D27&gt;DATE(2007,7,19)),A27,)</f>
        <v>0</v>
      </c>
      <c r="P27" s="24">
        <f>IF(AND('Stammdaten - Schwimmer'!$D27&lt;DATE(2011,7,20),'Stammdaten - Schwimmer'!$D27&gt;DATE(2007,7,19)),B27,)</f>
        <v>0</v>
      </c>
      <c r="Q27" s="24">
        <f>IF(AND('Stammdaten - Schwimmer'!$D27&lt;DATE(2011,7,20),'Stammdaten - Schwimmer'!$D27&gt;DATE(2007,7,19)),C27,)</f>
        <v>0</v>
      </c>
      <c r="R27" s="22">
        <f>IF(AND('Stammdaten - Schwimmer'!$D27&lt;DATE(2011,7,20),'Stammdaten - Schwimmer'!$D27&gt;DATE(2007,7,19)),D27,)</f>
        <v>0</v>
      </c>
      <c r="S27" s="25">
        <f>IF(AND('Stammdaten - Schwimmer'!$D27&lt;DATE(2011,7,20),'Stammdaten - Schwimmer'!$D27&gt;DATE(2007,7,19)),'Stammdaten - Schwimmer'!F27,)</f>
        <v>0</v>
      </c>
      <c r="T27">
        <f t="shared" si="1"/>
        <v>11</v>
      </c>
      <c r="V27" s="24">
        <f>IF('Stammdaten - Schwimmer'!$D27&lt;DATE(2007,7,20),A27,)</f>
        <v>24</v>
      </c>
      <c r="W27" s="24" t="str">
        <f>IF('Stammdaten - Schwimmer'!$D27&lt;DATE(2007,7,20),B27,)</f>
        <v>Schwenk-Fischer</v>
      </c>
      <c r="X27" s="24" t="str">
        <f>IF('Stammdaten - Schwimmer'!$D27&lt;DATE(2007,7,20),C27,)</f>
        <v>Eva</v>
      </c>
      <c r="Y27" s="22">
        <f>IF('Stammdaten - Schwimmer'!$D27&lt;DATE(2007,7,20),D27,)</f>
        <v>15</v>
      </c>
      <c r="Z27" s="25">
        <f>IF('Stammdaten - Schwimmer'!$D27&lt;DATE(2007,7,20),'Stammdaten - Schwimmer'!F27,)</f>
        <v>30</v>
      </c>
      <c r="AA27">
        <f t="shared" si="2"/>
        <v>37</v>
      </c>
    </row>
    <row r="28" spans="1:27" x14ac:dyDescent="0.35">
      <c r="A28" s="20">
        <f>'Stammdaten - Schwimmer'!A28</f>
        <v>25</v>
      </c>
      <c r="B28" s="21" t="str">
        <f>'Stammdaten - Schwimmer'!B28</f>
        <v>Schulze</v>
      </c>
      <c r="C28" s="21" t="str">
        <f>'Stammdaten - Schwimmer'!C28</f>
        <v>Christian</v>
      </c>
      <c r="D28" s="22">
        <f>'Stammdaten - Schwimmer'!J28+'Stammdaten - Schwimmer'!N28+'Stammdaten - Schwimmer'!R28+'Stammdaten - Schwimmer'!V28+'Stammdaten - Schwimmer'!Z29</f>
        <v>129</v>
      </c>
      <c r="E28" s="25">
        <f>'Stammdaten - Schwimmer'!F28</f>
        <v>58</v>
      </c>
      <c r="H28" s="24">
        <f>IF('Stammdaten - Schwimmer'!D28&gt;DATE(2011,7,20),A28,)</f>
        <v>0</v>
      </c>
      <c r="I28" s="24">
        <f>IF('Stammdaten - Schwimmer'!$D28&gt;DATE(2011,7,20),B28,)</f>
        <v>0</v>
      </c>
      <c r="J28" s="24">
        <f>IF('Stammdaten - Schwimmer'!$D28&gt;DATE(2011,7,20),C28,)</f>
        <v>0</v>
      </c>
      <c r="K28" s="22">
        <f>IF('Stammdaten - Schwimmer'!$D28&gt;DATE(2011,7,20),D28,)</f>
        <v>0</v>
      </c>
      <c r="L28" s="24">
        <f>IF('Stammdaten - Schwimmer'!$D28&gt;DATE(2011,7,20),'Stammdaten - Schwimmer'!F28,)</f>
        <v>0</v>
      </c>
      <c r="M28">
        <f t="shared" si="0"/>
        <v>34</v>
      </c>
      <c r="O28" s="24">
        <f>IF(AND('Stammdaten - Schwimmer'!$D28&lt;DATE(2011,7,20),'Stammdaten - Schwimmer'!$D28&gt;DATE(2007,7,19)),A28,)</f>
        <v>0</v>
      </c>
      <c r="P28" s="24">
        <f>IF(AND('Stammdaten - Schwimmer'!$D28&lt;DATE(2011,7,20),'Stammdaten - Schwimmer'!$D28&gt;DATE(2007,7,19)),B28,)</f>
        <v>0</v>
      </c>
      <c r="Q28" s="24">
        <f>IF(AND('Stammdaten - Schwimmer'!$D28&lt;DATE(2011,7,20),'Stammdaten - Schwimmer'!$D28&gt;DATE(2007,7,19)),C28,)</f>
        <v>0</v>
      </c>
      <c r="R28" s="22">
        <f>IF(AND('Stammdaten - Schwimmer'!$D28&lt;DATE(2011,7,20),'Stammdaten - Schwimmer'!$D28&gt;DATE(2007,7,19)),D28,)</f>
        <v>0</v>
      </c>
      <c r="S28" s="25">
        <f>IF(AND('Stammdaten - Schwimmer'!$D28&lt;DATE(2011,7,20),'Stammdaten - Schwimmer'!$D28&gt;DATE(2007,7,19)),'Stammdaten - Schwimmer'!F28,)</f>
        <v>0</v>
      </c>
      <c r="T28">
        <f t="shared" si="1"/>
        <v>11</v>
      </c>
      <c r="V28" s="24">
        <f>IF('Stammdaten - Schwimmer'!$D28&lt;DATE(2007,7,20),A28,)</f>
        <v>25</v>
      </c>
      <c r="W28" s="24" t="str">
        <f>IF('Stammdaten - Schwimmer'!$D28&lt;DATE(2007,7,20),B28,)</f>
        <v>Schulze</v>
      </c>
      <c r="X28" s="24" t="str">
        <f>IF('Stammdaten - Schwimmer'!$D28&lt;DATE(2007,7,20),C28,)</f>
        <v>Christian</v>
      </c>
      <c r="Y28" s="22">
        <f>IF('Stammdaten - Schwimmer'!$D28&lt;DATE(2007,7,20),D28,)</f>
        <v>129</v>
      </c>
      <c r="Z28" s="25">
        <f>IF('Stammdaten - Schwimmer'!$D28&lt;DATE(2007,7,20),'Stammdaten - Schwimmer'!F28,)</f>
        <v>58</v>
      </c>
      <c r="AA28">
        <f t="shared" si="2"/>
        <v>12</v>
      </c>
    </row>
    <row r="29" spans="1:27" x14ac:dyDescent="0.35">
      <c r="A29" s="20">
        <f>'Stammdaten - Schwimmer'!A29</f>
        <v>26</v>
      </c>
      <c r="B29" s="21" t="str">
        <f>'Stammdaten - Schwimmer'!B29</f>
        <v>Tutsch</v>
      </c>
      <c r="C29" s="21" t="str">
        <f>'Stammdaten - Schwimmer'!C29</f>
        <v>Moritz</v>
      </c>
      <c r="D29" s="22">
        <f>'Stammdaten - Schwimmer'!J29+'Stammdaten - Schwimmer'!N29+'Stammdaten - Schwimmer'!R29+'Stammdaten - Schwimmer'!V29+'Stammdaten - Schwimmer'!Z30</f>
        <v>288</v>
      </c>
      <c r="E29" s="25">
        <f>'Stammdaten - Schwimmer'!F29</f>
        <v>68</v>
      </c>
      <c r="H29" s="24">
        <f>IF('Stammdaten - Schwimmer'!D29&gt;DATE(2011,7,20),A29,)</f>
        <v>26</v>
      </c>
      <c r="I29" s="24" t="str">
        <f>IF('Stammdaten - Schwimmer'!$D29&gt;DATE(2011,7,20),B29,)</f>
        <v>Tutsch</v>
      </c>
      <c r="J29" s="24" t="str">
        <f>IF('Stammdaten - Schwimmer'!$D29&gt;DATE(2011,7,20),C29,)</f>
        <v>Moritz</v>
      </c>
      <c r="K29" s="22">
        <f>IF('Stammdaten - Schwimmer'!$D29&gt;DATE(2011,7,20),D29,)</f>
        <v>288</v>
      </c>
      <c r="L29" s="24">
        <f>IF('Stammdaten - Schwimmer'!$D29&gt;DATE(2011,7,20),'Stammdaten - Schwimmer'!F29,)</f>
        <v>68</v>
      </c>
      <c r="M29">
        <f t="shared" si="0"/>
        <v>16</v>
      </c>
      <c r="O29" s="24">
        <f>IF(AND('Stammdaten - Schwimmer'!$D29&lt;DATE(2011,7,20),'Stammdaten - Schwimmer'!$D29&gt;DATE(2007,7,19)),A29,)</f>
        <v>0</v>
      </c>
      <c r="P29" s="24">
        <f>IF(AND('Stammdaten - Schwimmer'!$D29&lt;DATE(2011,7,20),'Stammdaten - Schwimmer'!$D29&gt;DATE(2007,7,19)),B29,)</f>
        <v>0</v>
      </c>
      <c r="Q29" s="24">
        <f>IF(AND('Stammdaten - Schwimmer'!$D29&lt;DATE(2011,7,20),'Stammdaten - Schwimmer'!$D29&gt;DATE(2007,7,19)),C29,)</f>
        <v>0</v>
      </c>
      <c r="R29" s="22">
        <f>IF(AND('Stammdaten - Schwimmer'!$D29&lt;DATE(2011,7,20),'Stammdaten - Schwimmer'!$D29&gt;DATE(2007,7,19)),D29,)</f>
        <v>0</v>
      </c>
      <c r="S29" s="25">
        <f>IF(AND('Stammdaten - Schwimmer'!$D29&lt;DATE(2011,7,20),'Stammdaten - Schwimmer'!$D29&gt;DATE(2007,7,19)),'Stammdaten - Schwimmer'!F29,)</f>
        <v>0</v>
      </c>
      <c r="T29">
        <f t="shared" si="1"/>
        <v>11</v>
      </c>
      <c r="V29" s="24">
        <f>IF('Stammdaten - Schwimmer'!$D29&lt;DATE(2007,7,20),A29,)</f>
        <v>0</v>
      </c>
      <c r="W29" s="24">
        <f>IF('Stammdaten - Schwimmer'!$D29&lt;DATE(2007,7,20),B29,)</f>
        <v>0</v>
      </c>
      <c r="X29" s="24">
        <f>IF('Stammdaten - Schwimmer'!$D29&lt;DATE(2007,7,20),C29,)</f>
        <v>0</v>
      </c>
      <c r="Y29" s="22">
        <f>IF('Stammdaten - Schwimmer'!$D29&lt;DATE(2007,7,20),D29,)</f>
        <v>0</v>
      </c>
      <c r="Z29" s="25">
        <f>IF('Stammdaten - Schwimmer'!$D29&lt;DATE(2007,7,20),'Stammdaten - Schwimmer'!F29,)</f>
        <v>0</v>
      </c>
      <c r="AA29">
        <f t="shared" si="2"/>
        <v>46</v>
      </c>
    </row>
    <row r="30" spans="1:27" x14ac:dyDescent="0.35">
      <c r="A30" s="20">
        <f>'Stammdaten - Schwimmer'!A30</f>
        <v>27</v>
      </c>
      <c r="B30" s="21" t="str">
        <f>'Stammdaten - Schwimmer'!B30</f>
        <v>Tutsch</v>
      </c>
      <c r="C30" s="21" t="str">
        <f>'Stammdaten - Schwimmer'!C30</f>
        <v>Linda</v>
      </c>
      <c r="D30" s="22">
        <f>'Stammdaten - Schwimmer'!J30+'Stammdaten - Schwimmer'!N30+'Stammdaten - Schwimmer'!R30+'Stammdaten - Schwimmer'!V30+'Stammdaten - Schwimmer'!Z31</f>
        <v>330</v>
      </c>
      <c r="E30" s="25">
        <f>'Stammdaten - Schwimmer'!F30</f>
        <v>80</v>
      </c>
      <c r="H30" s="24">
        <f>IF('Stammdaten - Schwimmer'!D30&gt;DATE(2011,7,20),A30,)</f>
        <v>27</v>
      </c>
      <c r="I30" s="24" t="str">
        <f>IF('Stammdaten - Schwimmer'!$D30&gt;DATE(2011,7,20),B30,)</f>
        <v>Tutsch</v>
      </c>
      <c r="J30" s="24" t="str">
        <f>IF('Stammdaten - Schwimmer'!$D30&gt;DATE(2011,7,20),C30,)</f>
        <v>Linda</v>
      </c>
      <c r="K30" s="22">
        <f>IF('Stammdaten - Schwimmer'!$D30&gt;DATE(2011,7,20),D30,)</f>
        <v>330</v>
      </c>
      <c r="L30" s="24">
        <f>IF('Stammdaten - Schwimmer'!$D30&gt;DATE(2011,7,20),'Stammdaten - Schwimmer'!F30,)</f>
        <v>80</v>
      </c>
      <c r="M30">
        <f t="shared" si="0"/>
        <v>10</v>
      </c>
      <c r="O30" s="24">
        <f>IF(AND('Stammdaten - Schwimmer'!$D30&lt;DATE(2011,7,20),'Stammdaten - Schwimmer'!$D30&gt;DATE(2007,7,19)),A30,)</f>
        <v>0</v>
      </c>
      <c r="P30" s="24">
        <f>IF(AND('Stammdaten - Schwimmer'!$D30&lt;DATE(2011,7,20),'Stammdaten - Schwimmer'!$D30&gt;DATE(2007,7,19)),B30,)</f>
        <v>0</v>
      </c>
      <c r="Q30" s="24">
        <f>IF(AND('Stammdaten - Schwimmer'!$D30&lt;DATE(2011,7,20),'Stammdaten - Schwimmer'!$D30&gt;DATE(2007,7,19)),C30,)</f>
        <v>0</v>
      </c>
      <c r="R30" s="22">
        <f>IF(AND('Stammdaten - Schwimmer'!$D30&lt;DATE(2011,7,20),'Stammdaten - Schwimmer'!$D30&gt;DATE(2007,7,19)),D30,)</f>
        <v>0</v>
      </c>
      <c r="S30" s="25">
        <f>IF(AND('Stammdaten - Schwimmer'!$D30&lt;DATE(2011,7,20),'Stammdaten - Schwimmer'!$D30&gt;DATE(2007,7,19)),'Stammdaten - Schwimmer'!F30,)</f>
        <v>0</v>
      </c>
      <c r="T30">
        <f t="shared" si="1"/>
        <v>11</v>
      </c>
      <c r="V30" s="24">
        <f>IF('Stammdaten - Schwimmer'!$D30&lt;DATE(2007,7,20),A30,)</f>
        <v>0</v>
      </c>
      <c r="W30" s="24">
        <f>IF('Stammdaten - Schwimmer'!$D30&lt;DATE(2007,7,20),B30,)</f>
        <v>0</v>
      </c>
      <c r="X30" s="24">
        <f>IF('Stammdaten - Schwimmer'!$D30&lt;DATE(2007,7,20),C30,)</f>
        <v>0</v>
      </c>
      <c r="Y30" s="22">
        <f>IF('Stammdaten - Schwimmer'!$D30&lt;DATE(2007,7,20),D30,)</f>
        <v>0</v>
      </c>
      <c r="Z30" s="25">
        <f>IF('Stammdaten - Schwimmer'!$D30&lt;DATE(2007,7,20),'Stammdaten - Schwimmer'!F30,)</f>
        <v>0</v>
      </c>
      <c r="AA30">
        <f t="shared" si="2"/>
        <v>46</v>
      </c>
    </row>
    <row r="31" spans="1:27" x14ac:dyDescent="0.35">
      <c r="A31" s="20">
        <f>'Stammdaten - Schwimmer'!A31</f>
        <v>28</v>
      </c>
      <c r="B31" s="21" t="str">
        <f>'Stammdaten - Schwimmer'!B31</f>
        <v>Burck</v>
      </c>
      <c r="C31" s="21" t="str">
        <f>'Stammdaten - Schwimmer'!C31</f>
        <v>Jan Aleander</v>
      </c>
      <c r="D31" s="22">
        <f>'Stammdaten - Schwimmer'!J31+'Stammdaten - Schwimmer'!N31+'Stammdaten - Schwimmer'!R31+'Stammdaten - Schwimmer'!V31+'Stammdaten - Schwimmer'!Z32</f>
        <v>161</v>
      </c>
      <c r="E31" s="25">
        <f>'Stammdaten - Schwimmer'!F31</f>
        <v>82</v>
      </c>
      <c r="H31" s="24">
        <f>IF('Stammdaten - Schwimmer'!D31&gt;DATE(2011,7,20),A31,)</f>
        <v>28</v>
      </c>
      <c r="I31" s="24" t="str">
        <f>IF('Stammdaten - Schwimmer'!$D31&gt;DATE(2011,7,20),B31,)</f>
        <v>Burck</v>
      </c>
      <c r="J31" s="24" t="str">
        <f>IF('Stammdaten - Schwimmer'!$D31&gt;DATE(2011,7,20),C31,)</f>
        <v>Jan Aleander</v>
      </c>
      <c r="K31" s="22">
        <f>IF('Stammdaten - Schwimmer'!$D31&gt;DATE(2011,7,20),D31,)</f>
        <v>161</v>
      </c>
      <c r="L31" s="24">
        <f>IF('Stammdaten - Schwimmer'!$D31&gt;DATE(2011,7,20),'Stammdaten - Schwimmer'!F31,)</f>
        <v>82</v>
      </c>
      <c r="M31">
        <f t="shared" si="0"/>
        <v>9</v>
      </c>
      <c r="O31" s="24">
        <f>IF(AND('Stammdaten - Schwimmer'!$D31&lt;DATE(2011,7,20),'Stammdaten - Schwimmer'!$D31&gt;DATE(2007,7,19)),A31,)</f>
        <v>0</v>
      </c>
      <c r="P31" s="24">
        <f>IF(AND('Stammdaten - Schwimmer'!$D31&lt;DATE(2011,7,20),'Stammdaten - Schwimmer'!$D31&gt;DATE(2007,7,19)),B31,)</f>
        <v>0</v>
      </c>
      <c r="Q31" s="24">
        <f>IF(AND('Stammdaten - Schwimmer'!$D31&lt;DATE(2011,7,20),'Stammdaten - Schwimmer'!$D31&gt;DATE(2007,7,19)),C31,)</f>
        <v>0</v>
      </c>
      <c r="R31" s="22">
        <f>IF(AND('Stammdaten - Schwimmer'!$D31&lt;DATE(2011,7,20),'Stammdaten - Schwimmer'!$D31&gt;DATE(2007,7,19)),D31,)</f>
        <v>0</v>
      </c>
      <c r="S31" s="25">
        <f>IF(AND('Stammdaten - Schwimmer'!$D31&lt;DATE(2011,7,20),'Stammdaten - Schwimmer'!$D31&gt;DATE(2007,7,19)),'Stammdaten - Schwimmer'!F31,)</f>
        <v>0</v>
      </c>
      <c r="T31">
        <f t="shared" si="1"/>
        <v>11</v>
      </c>
      <c r="V31" s="24">
        <f>IF('Stammdaten - Schwimmer'!$D31&lt;DATE(2007,7,20),A31,)</f>
        <v>0</v>
      </c>
      <c r="W31" s="24">
        <f>IF('Stammdaten - Schwimmer'!$D31&lt;DATE(2007,7,20),B31,)</f>
        <v>0</v>
      </c>
      <c r="X31" s="24">
        <f>IF('Stammdaten - Schwimmer'!$D31&lt;DATE(2007,7,20),C31,)</f>
        <v>0</v>
      </c>
      <c r="Y31" s="22">
        <f>IF('Stammdaten - Schwimmer'!$D31&lt;DATE(2007,7,20),D31,)</f>
        <v>0</v>
      </c>
      <c r="Z31" s="25">
        <f>IF('Stammdaten - Schwimmer'!$D31&lt;DATE(2007,7,20),'Stammdaten - Schwimmer'!F31,)</f>
        <v>0</v>
      </c>
      <c r="AA31">
        <f t="shared" si="2"/>
        <v>46</v>
      </c>
    </row>
    <row r="32" spans="1:27" x14ac:dyDescent="0.35">
      <c r="A32" s="20">
        <f>'Stammdaten - Schwimmer'!A32</f>
        <v>29</v>
      </c>
      <c r="B32" s="21" t="str">
        <f>'Stammdaten - Schwimmer'!B32</f>
        <v>Maier</v>
      </c>
      <c r="C32" s="21" t="str">
        <f>'Stammdaten - Schwimmer'!C32</f>
        <v>Matis</v>
      </c>
      <c r="D32" s="22">
        <f>'Stammdaten - Schwimmer'!J32+'Stammdaten - Schwimmer'!N32+'Stammdaten - Schwimmer'!R32+'Stammdaten - Schwimmer'!V32+'Stammdaten - Schwimmer'!Z33</f>
        <v>30</v>
      </c>
      <c r="E32" s="25">
        <f>'Stammdaten - Schwimmer'!F32</f>
        <v>60</v>
      </c>
      <c r="H32" s="24">
        <f>IF('Stammdaten - Schwimmer'!D32&gt;DATE(2011,7,20),A32,)</f>
        <v>29</v>
      </c>
      <c r="I32" s="24" t="str">
        <f>IF('Stammdaten - Schwimmer'!$D32&gt;DATE(2011,7,20),B32,)</f>
        <v>Maier</v>
      </c>
      <c r="J32" s="24" t="str">
        <f>IF('Stammdaten - Schwimmer'!$D32&gt;DATE(2011,7,20),C32,)</f>
        <v>Matis</v>
      </c>
      <c r="K32" s="22">
        <f>IF('Stammdaten - Schwimmer'!$D32&gt;DATE(2011,7,20),D32,)</f>
        <v>30</v>
      </c>
      <c r="L32" s="24">
        <f>IF('Stammdaten - Schwimmer'!$D32&gt;DATE(2011,7,20),'Stammdaten - Schwimmer'!F32,)</f>
        <v>60</v>
      </c>
      <c r="M32">
        <f t="shared" si="0"/>
        <v>20</v>
      </c>
      <c r="O32" s="24">
        <f>IF(AND('Stammdaten - Schwimmer'!$D32&lt;DATE(2011,7,20),'Stammdaten - Schwimmer'!$D32&gt;DATE(2007,7,19)),A32,)</f>
        <v>0</v>
      </c>
      <c r="P32" s="24">
        <f>IF(AND('Stammdaten - Schwimmer'!$D32&lt;DATE(2011,7,20),'Stammdaten - Schwimmer'!$D32&gt;DATE(2007,7,19)),B32,)</f>
        <v>0</v>
      </c>
      <c r="Q32" s="24">
        <f>IF(AND('Stammdaten - Schwimmer'!$D32&lt;DATE(2011,7,20),'Stammdaten - Schwimmer'!$D32&gt;DATE(2007,7,19)),C32,)</f>
        <v>0</v>
      </c>
      <c r="R32" s="22">
        <f>IF(AND('Stammdaten - Schwimmer'!$D32&lt;DATE(2011,7,20),'Stammdaten - Schwimmer'!$D32&gt;DATE(2007,7,19)),D32,)</f>
        <v>0</v>
      </c>
      <c r="S32" s="25">
        <f>IF(AND('Stammdaten - Schwimmer'!$D32&lt;DATE(2011,7,20),'Stammdaten - Schwimmer'!$D32&gt;DATE(2007,7,19)),'Stammdaten - Schwimmer'!F32,)</f>
        <v>0</v>
      </c>
      <c r="T32">
        <f t="shared" si="1"/>
        <v>11</v>
      </c>
      <c r="V32" s="24">
        <f>IF('Stammdaten - Schwimmer'!$D32&lt;DATE(2007,7,20),A32,)</f>
        <v>0</v>
      </c>
      <c r="W32" s="24">
        <f>IF('Stammdaten - Schwimmer'!$D32&lt;DATE(2007,7,20),B32,)</f>
        <v>0</v>
      </c>
      <c r="X32" s="24">
        <f>IF('Stammdaten - Schwimmer'!$D32&lt;DATE(2007,7,20),C32,)</f>
        <v>0</v>
      </c>
      <c r="Y32" s="22">
        <f>IF('Stammdaten - Schwimmer'!$D32&lt;DATE(2007,7,20),D32,)</f>
        <v>0</v>
      </c>
      <c r="Z32" s="25">
        <f>IF('Stammdaten - Schwimmer'!$D32&lt;DATE(2007,7,20),'Stammdaten - Schwimmer'!F32,)</f>
        <v>0</v>
      </c>
      <c r="AA32">
        <f t="shared" si="2"/>
        <v>46</v>
      </c>
    </row>
    <row r="33" spans="1:27" x14ac:dyDescent="0.35">
      <c r="A33" s="20">
        <f>'Stammdaten - Schwimmer'!A33</f>
        <v>30</v>
      </c>
      <c r="B33" s="21" t="str">
        <f>'Stammdaten - Schwimmer'!B33</f>
        <v>Kesten</v>
      </c>
      <c r="C33" s="21" t="str">
        <f>'Stammdaten - Schwimmer'!C33</f>
        <v>Annabelle</v>
      </c>
      <c r="D33" s="22">
        <f>'Stammdaten - Schwimmer'!J33+'Stammdaten - Schwimmer'!N33+'Stammdaten - Schwimmer'!R33+'Stammdaten - Schwimmer'!V33+'Stammdaten - Schwimmer'!Z34</f>
        <v>109</v>
      </c>
      <c r="E33" s="25">
        <f>'Stammdaten - Schwimmer'!F33</f>
        <v>98</v>
      </c>
      <c r="H33" s="24">
        <f>IF('Stammdaten - Schwimmer'!D33&gt;DATE(2011,7,20),A33,)</f>
        <v>30</v>
      </c>
      <c r="I33" s="24" t="str">
        <f>IF('Stammdaten - Schwimmer'!$D33&gt;DATE(2011,7,20),B33,)</f>
        <v>Kesten</v>
      </c>
      <c r="J33" s="24" t="str">
        <f>IF('Stammdaten - Schwimmer'!$D33&gt;DATE(2011,7,20),C33,)</f>
        <v>Annabelle</v>
      </c>
      <c r="K33" s="22">
        <f>IF('Stammdaten - Schwimmer'!$D33&gt;DATE(2011,7,20),D33,)</f>
        <v>109</v>
      </c>
      <c r="L33" s="24">
        <f>IF('Stammdaten - Schwimmer'!$D33&gt;DATE(2011,7,20),'Stammdaten - Schwimmer'!F33,)</f>
        <v>98</v>
      </c>
      <c r="M33">
        <f t="shared" si="0"/>
        <v>4</v>
      </c>
      <c r="O33" s="24">
        <f>IF(AND('Stammdaten - Schwimmer'!$D33&lt;DATE(2011,7,20),'Stammdaten - Schwimmer'!$D33&gt;DATE(2007,7,19)),A33,)</f>
        <v>0</v>
      </c>
      <c r="P33" s="24">
        <f>IF(AND('Stammdaten - Schwimmer'!$D33&lt;DATE(2011,7,20),'Stammdaten - Schwimmer'!$D33&gt;DATE(2007,7,19)),B33,)</f>
        <v>0</v>
      </c>
      <c r="Q33" s="24">
        <f>IF(AND('Stammdaten - Schwimmer'!$D33&lt;DATE(2011,7,20),'Stammdaten - Schwimmer'!$D33&gt;DATE(2007,7,19)),C33,)</f>
        <v>0</v>
      </c>
      <c r="R33" s="22">
        <f>IF(AND('Stammdaten - Schwimmer'!$D33&lt;DATE(2011,7,20),'Stammdaten - Schwimmer'!$D33&gt;DATE(2007,7,19)),D33,)</f>
        <v>0</v>
      </c>
      <c r="S33" s="25">
        <f>IF(AND('Stammdaten - Schwimmer'!$D33&lt;DATE(2011,7,20),'Stammdaten - Schwimmer'!$D33&gt;DATE(2007,7,19)),'Stammdaten - Schwimmer'!F33,)</f>
        <v>0</v>
      </c>
      <c r="T33">
        <f t="shared" si="1"/>
        <v>11</v>
      </c>
      <c r="V33" s="24">
        <f>IF('Stammdaten - Schwimmer'!$D33&lt;DATE(2007,7,20),A33,)</f>
        <v>0</v>
      </c>
      <c r="W33" s="24">
        <f>IF('Stammdaten - Schwimmer'!$D33&lt;DATE(2007,7,20),B33,)</f>
        <v>0</v>
      </c>
      <c r="X33" s="24">
        <f>IF('Stammdaten - Schwimmer'!$D33&lt;DATE(2007,7,20),C33,)</f>
        <v>0</v>
      </c>
      <c r="Y33" s="22">
        <f>IF('Stammdaten - Schwimmer'!$D33&lt;DATE(2007,7,20),D33,)</f>
        <v>0</v>
      </c>
      <c r="Z33" s="25">
        <f>IF('Stammdaten - Schwimmer'!$D33&lt;DATE(2007,7,20),'Stammdaten - Schwimmer'!F33,)</f>
        <v>0</v>
      </c>
      <c r="AA33">
        <f t="shared" si="2"/>
        <v>46</v>
      </c>
    </row>
    <row r="34" spans="1:27" x14ac:dyDescent="0.35">
      <c r="A34" s="20">
        <f>'Stammdaten - Schwimmer'!A34</f>
        <v>31</v>
      </c>
      <c r="B34" s="21" t="str">
        <f>'Stammdaten - Schwimmer'!B34</f>
        <v>Veit</v>
      </c>
      <c r="C34" s="21" t="str">
        <f>'Stammdaten - Schwimmer'!C34</f>
        <v>Konstatin</v>
      </c>
      <c r="D34" s="22">
        <f>'Stammdaten - Schwimmer'!J34+'Stammdaten - Schwimmer'!N34+'Stammdaten - Schwimmer'!R34+'Stammdaten - Schwimmer'!V34+'Stammdaten - Schwimmer'!Z35</f>
        <v>315</v>
      </c>
      <c r="E34" s="25">
        <f>'Stammdaten - Schwimmer'!F34</f>
        <v>50</v>
      </c>
      <c r="H34" s="24">
        <f>IF('Stammdaten - Schwimmer'!D34&gt;DATE(2011,7,20),A34,)</f>
        <v>31</v>
      </c>
      <c r="I34" s="24" t="str">
        <f>IF('Stammdaten - Schwimmer'!$D34&gt;DATE(2011,7,20),B34,)</f>
        <v>Veit</v>
      </c>
      <c r="J34" s="24" t="str">
        <f>IF('Stammdaten - Schwimmer'!$D34&gt;DATE(2011,7,20),C34,)</f>
        <v>Konstatin</v>
      </c>
      <c r="K34" s="22">
        <f>IF('Stammdaten - Schwimmer'!$D34&gt;DATE(2011,7,20),D34,)</f>
        <v>315</v>
      </c>
      <c r="L34" s="24">
        <f>IF('Stammdaten - Schwimmer'!$D34&gt;DATE(2011,7,20),'Stammdaten - Schwimmer'!F34,)</f>
        <v>50</v>
      </c>
      <c r="M34">
        <f t="shared" si="0"/>
        <v>24</v>
      </c>
      <c r="O34" s="24">
        <f>IF(AND('Stammdaten - Schwimmer'!$D34&lt;DATE(2011,7,20),'Stammdaten - Schwimmer'!$D34&gt;DATE(2007,7,19)),A34,)</f>
        <v>0</v>
      </c>
      <c r="P34" s="24">
        <f>IF(AND('Stammdaten - Schwimmer'!$D34&lt;DATE(2011,7,20),'Stammdaten - Schwimmer'!$D34&gt;DATE(2007,7,19)),B34,)</f>
        <v>0</v>
      </c>
      <c r="Q34" s="24">
        <f>IF(AND('Stammdaten - Schwimmer'!$D34&lt;DATE(2011,7,20),'Stammdaten - Schwimmer'!$D34&gt;DATE(2007,7,19)),C34,)</f>
        <v>0</v>
      </c>
      <c r="R34" s="22">
        <f>IF(AND('Stammdaten - Schwimmer'!$D34&lt;DATE(2011,7,20),'Stammdaten - Schwimmer'!$D34&gt;DATE(2007,7,19)),D34,)</f>
        <v>0</v>
      </c>
      <c r="S34" s="25">
        <f>IF(AND('Stammdaten - Schwimmer'!$D34&lt;DATE(2011,7,20),'Stammdaten - Schwimmer'!$D34&gt;DATE(2007,7,19)),'Stammdaten - Schwimmer'!F34,)</f>
        <v>0</v>
      </c>
      <c r="T34">
        <f t="shared" si="1"/>
        <v>11</v>
      </c>
      <c r="V34" s="24">
        <f>IF('Stammdaten - Schwimmer'!$D34&lt;DATE(2007,7,20),A34,)</f>
        <v>0</v>
      </c>
      <c r="W34" s="24">
        <f>IF('Stammdaten - Schwimmer'!$D34&lt;DATE(2007,7,20),B34,)</f>
        <v>0</v>
      </c>
      <c r="X34" s="24">
        <f>IF('Stammdaten - Schwimmer'!$D34&lt;DATE(2007,7,20),C34,)</f>
        <v>0</v>
      </c>
      <c r="Y34" s="22">
        <f>IF('Stammdaten - Schwimmer'!$D34&lt;DATE(2007,7,20),D34,)</f>
        <v>0</v>
      </c>
      <c r="Z34" s="25">
        <f>IF('Stammdaten - Schwimmer'!$D34&lt;DATE(2007,7,20),'Stammdaten - Schwimmer'!F34,)</f>
        <v>0</v>
      </c>
      <c r="AA34">
        <f t="shared" si="2"/>
        <v>46</v>
      </c>
    </row>
    <row r="35" spans="1:27" x14ac:dyDescent="0.35">
      <c r="A35" s="20">
        <f>'Stammdaten - Schwimmer'!A35</f>
        <v>32</v>
      </c>
      <c r="B35" s="21" t="str">
        <f>'Stammdaten - Schwimmer'!B35</f>
        <v xml:space="preserve">Veit </v>
      </c>
      <c r="C35" s="21" t="str">
        <f>'Stammdaten - Schwimmer'!C35</f>
        <v>Dorothea</v>
      </c>
      <c r="D35" s="22">
        <f>'Stammdaten - Schwimmer'!J35+'Stammdaten - Schwimmer'!N35+'Stammdaten - Schwimmer'!R35+'Stammdaten - Schwimmer'!V35+'Stammdaten - Schwimmer'!Z36</f>
        <v>420</v>
      </c>
      <c r="E35" s="25">
        <f>'Stammdaten - Schwimmer'!F35</f>
        <v>80</v>
      </c>
      <c r="H35" s="24">
        <f>IF('Stammdaten - Schwimmer'!D35&gt;DATE(2011,7,20),A35,)</f>
        <v>32</v>
      </c>
      <c r="I35" s="24" t="str">
        <f>IF('Stammdaten - Schwimmer'!$D35&gt;DATE(2011,7,20),B35,)</f>
        <v xml:space="preserve">Veit </v>
      </c>
      <c r="J35" s="24" t="str">
        <f>IF('Stammdaten - Schwimmer'!$D35&gt;DATE(2011,7,20),C35,)</f>
        <v>Dorothea</v>
      </c>
      <c r="K35" s="22">
        <f>IF('Stammdaten - Schwimmer'!$D35&gt;DATE(2011,7,20),D35,)</f>
        <v>420</v>
      </c>
      <c r="L35" s="24">
        <f>IF('Stammdaten - Schwimmer'!$D35&gt;DATE(2011,7,20),'Stammdaten - Schwimmer'!F35,)</f>
        <v>80</v>
      </c>
      <c r="M35">
        <f t="shared" si="0"/>
        <v>10</v>
      </c>
      <c r="O35" s="24">
        <f>IF(AND('Stammdaten - Schwimmer'!$D35&lt;DATE(2011,7,20),'Stammdaten - Schwimmer'!$D35&gt;DATE(2007,7,19)),A35,)</f>
        <v>0</v>
      </c>
      <c r="P35" s="24">
        <f>IF(AND('Stammdaten - Schwimmer'!$D35&lt;DATE(2011,7,20),'Stammdaten - Schwimmer'!$D35&gt;DATE(2007,7,19)),B35,)</f>
        <v>0</v>
      </c>
      <c r="Q35" s="24">
        <f>IF(AND('Stammdaten - Schwimmer'!$D35&lt;DATE(2011,7,20),'Stammdaten - Schwimmer'!$D35&gt;DATE(2007,7,19)),C35,)</f>
        <v>0</v>
      </c>
      <c r="R35" s="22">
        <f>IF(AND('Stammdaten - Schwimmer'!$D35&lt;DATE(2011,7,20),'Stammdaten - Schwimmer'!$D35&gt;DATE(2007,7,19)),D35,)</f>
        <v>0</v>
      </c>
      <c r="S35" s="25">
        <f>IF(AND('Stammdaten - Schwimmer'!$D35&lt;DATE(2011,7,20),'Stammdaten - Schwimmer'!$D35&gt;DATE(2007,7,19)),'Stammdaten - Schwimmer'!F35,)</f>
        <v>0</v>
      </c>
      <c r="T35">
        <f t="shared" si="1"/>
        <v>11</v>
      </c>
      <c r="V35" s="24">
        <f>IF('Stammdaten - Schwimmer'!$D35&lt;DATE(2007,7,20),A35,)</f>
        <v>0</v>
      </c>
      <c r="W35" s="24">
        <f>IF('Stammdaten - Schwimmer'!$D35&lt;DATE(2007,7,20),B35,)</f>
        <v>0</v>
      </c>
      <c r="X35" s="24">
        <f>IF('Stammdaten - Schwimmer'!$D35&lt;DATE(2007,7,20),C35,)</f>
        <v>0</v>
      </c>
      <c r="Y35" s="22">
        <f>IF('Stammdaten - Schwimmer'!$D35&lt;DATE(2007,7,20),D35,)</f>
        <v>0</v>
      </c>
      <c r="Z35" s="25">
        <f>IF('Stammdaten - Schwimmer'!$D35&lt;DATE(2007,7,20),'Stammdaten - Schwimmer'!F35,)</f>
        <v>0</v>
      </c>
      <c r="AA35">
        <f t="shared" si="2"/>
        <v>46</v>
      </c>
    </row>
    <row r="36" spans="1:27" x14ac:dyDescent="0.35">
      <c r="A36" s="20">
        <f>'Stammdaten - Schwimmer'!A36</f>
        <v>33</v>
      </c>
      <c r="B36" s="21" t="str">
        <f>'Stammdaten - Schwimmer'!B36</f>
        <v>Kühn</v>
      </c>
      <c r="C36" s="21" t="str">
        <f>'Stammdaten - Schwimmer'!C36</f>
        <v>Jürgen</v>
      </c>
      <c r="D36" s="22">
        <f>'Stammdaten - Schwimmer'!J36+'Stammdaten - Schwimmer'!N36+'Stammdaten - Schwimmer'!R36+'Stammdaten - Schwimmer'!V36+'Stammdaten - Schwimmer'!Z37</f>
        <v>29</v>
      </c>
      <c r="E36" s="25">
        <f>'Stammdaten - Schwimmer'!F36</f>
        <v>58</v>
      </c>
      <c r="H36" s="24">
        <f>IF('Stammdaten - Schwimmer'!D36&gt;DATE(2011,7,20),A36,)</f>
        <v>0</v>
      </c>
      <c r="I36" s="24">
        <f>IF('Stammdaten - Schwimmer'!$D36&gt;DATE(2011,7,20),B36,)</f>
        <v>0</v>
      </c>
      <c r="J36" s="24">
        <f>IF('Stammdaten - Schwimmer'!$D36&gt;DATE(2011,7,20),C36,)</f>
        <v>0</v>
      </c>
      <c r="K36" s="22">
        <f>IF('Stammdaten - Schwimmer'!$D36&gt;DATE(2011,7,20),D36,)</f>
        <v>0</v>
      </c>
      <c r="L36" s="24">
        <f>IF('Stammdaten - Schwimmer'!$D36&gt;DATE(2011,7,20),'Stammdaten - Schwimmer'!F36,)</f>
        <v>0</v>
      </c>
      <c r="M36">
        <f t="shared" si="0"/>
        <v>34</v>
      </c>
      <c r="O36" s="24">
        <f>IF(AND('Stammdaten - Schwimmer'!$D36&lt;DATE(2011,7,20),'Stammdaten - Schwimmer'!$D36&gt;DATE(2007,7,19)),A36,)</f>
        <v>0</v>
      </c>
      <c r="P36" s="24">
        <f>IF(AND('Stammdaten - Schwimmer'!$D36&lt;DATE(2011,7,20),'Stammdaten - Schwimmer'!$D36&gt;DATE(2007,7,19)),B36,)</f>
        <v>0</v>
      </c>
      <c r="Q36" s="24">
        <f>IF(AND('Stammdaten - Schwimmer'!$D36&lt;DATE(2011,7,20),'Stammdaten - Schwimmer'!$D36&gt;DATE(2007,7,19)),C36,)</f>
        <v>0</v>
      </c>
      <c r="R36" s="22">
        <f>IF(AND('Stammdaten - Schwimmer'!$D36&lt;DATE(2011,7,20),'Stammdaten - Schwimmer'!$D36&gt;DATE(2007,7,19)),D36,)</f>
        <v>0</v>
      </c>
      <c r="S36" s="25">
        <f>IF(AND('Stammdaten - Schwimmer'!$D36&lt;DATE(2011,7,20),'Stammdaten - Schwimmer'!$D36&gt;DATE(2007,7,19)),'Stammdaten - Schwimmer'!F36,)</f>
        <v>0</v>
      </c>
      <c r="T36">
        <f t="shared" si="1"/>
        <v>11</v>
      </c>
      <c r="V36" s="24">
        <f>IF('Stammdaten - Schwimmer'!$D36&lt;DATE(2007,7,20),A36,)</f>
        <v>33</v>
      </c>
      <c r="W36" s="24" t="str">
        <f>IF('Stammdaten - Schwimmer'!$D36&lt;DATE(2007,7,20),B36,)</f>
        <v>Kühn</v>
      </c>
      <c r="X36" s="24" t="str">
        <f>IF('Stammdaten - Schwimmer'!$D36&lt;DATE(2007,7,20),C36,)</f>
        <v>Jürgen</v>
      </c>
      <c r="Y36" s="22">
        <f>IF('Stammdaten - Schwimmer'!$D36&lt;DATE(2007,7,20),D36,)</f>
        <v>29</v>
      </c>
      <c r="Z36" s="25">
        <f>IF('Stammdaten - Schwimmer'!$D36&lt;DATE(2007,7,20),'Stammdaten - Schwimmer'!F36,)</f>
        <v>58</v>
      </c>
      <c r="AA36">
        <f t="shared" si="2"/>
        <v>12</v>
      </c>
    </row>
    <row r="37" spans="1:27" x14ac:dyDescent="0.35">
      <c r="A37" s="20">
        <f>'Stammdaten - Schwimmer'!A37</f>
        <v>34</v>
      </c>
      <c r="B37" s="21" t="str">
        <f>'Stammdaten - Schwimmer'!B37</f>
        <v>Düsterloh</v>
      </c>
      <c r="C37" s="21" t="str">
        <f>'Stammdaten - Schwimmer'!C37</f>
        <v>Casper</v>
      </c>
      <c r="D37" s="22">
        <f>'Stammdaten - Schwimmer'!J37+'Stammdaten - Schwimmer'!N37+'Stammdaten - Schwimmer'!R37+'Stammdaten - Schwimmer'!V37+'Stammdaten - Schwimmer'!Z38</f>
        <v>42</v>
      </c>
      <c r="E37" s="25">
        <f>'Stammdaten - Schwimmer'!F37</f>
        <v>4</v>
      </c>
      <c r="H37" s="24">
        <f>IF('Stammdaten - Schwimmer'!D37&gt;DATE(2011,7,20),A37,)</f>
        <v>34</v>
      </c>
      <c r="I37" s="24" t="str">
        <f>IF('Stammdaten - Schwimmer'!$D37&gt;DATE(2011,7,20),B37,)</f>
        <v>Düsterloh</v>
      </c>
      <c r="J37" s="24" t="str">
        <f>IF('Stammdaten - Schwimmer'!$D37&gt;DATE(2011,7,20),C37,)</f>
        <v>Casper</v>
      </c>
      <c r="K37" s="22">
        <f>IF('Stammdaten - Schwimmer'!$D37&gt;DATE(2011,7,20),D37,)</f>
        <v>42</v>
      </c>
      <c r="L37" s="24">
        <f>IF('Stammdaten - Schwimmer'!$D37&gt;DATE(2011,7,20),'Stammdaten - Schwimmer'!F37,)</f>
        <v>4</v>
      </c>
      <c r="M37">
        <f t="shared" si="0"/>
        <v>32</v>
      </c>
      <c r="O37" s="24">
        <f>IF(AND('Stammdaten - Schwimmer'!$D37&lt;DATE(2011,7,20),'Stammdaten - Schwimmer'!$D37&gt;DATE(2007,7,19)),A37,)</f>
        <v>0</v>
      </c>
      <c r="P37" s="24">
        <f>IF(AND('Stammdaten - Schwimmer'!$D37&lt;DATE(2011,7,20),'Stammdaten - Schwimmer'!$D37&gt;DATE(2007,7,19)),B37,)</f>
        <v>0</v>
      </c>
      <c r="Q37" s="24">
        <f>IF(AND('Stammdaten - Schwimmer'!$D37&lt;DATE(2011,7,20),'Stammdaten - Schwimmer'!$D37&gt;DATE(2007,7,19)),C37,)</f>
        <v>0</v>
      </c>
      <c r="R37" s="22">
        <f>IF(AND('Stammdaten - Schwimmer'!$D37&lt;DATE(2011,7,20),'Stammdaten - Schwimmer'!$D37&gt;DATE(2007,7,19)),D37,)</f>
        <v>0</v>
      </c>
      <c r="S37" s="25">
        <f>IF(AND('Stammdaten - Schwimmer'!$D37&lt;DATE(2011,7,20),'Stammdaten - Schwimmer'!$D37&gt;DATE(2007,7,19)),'Stammdaten - Schwimmer'!F37,)</f>
        <v>0</v>
      </c>
      <c r="T37">
        <f t="shared" si="1"/>
        <v>11</v>
      </c>
      <c r="V37" s="24">
        <f>IF('Stammdaten - Schwimmer'!$D37&lt;DATE(2007,7,20),A37,)</f>
        <v>0</v>
      </c>
      <c r="W37" s="24">
        <f>IF('Stammdaten - Schwimmer'!$D37&lt;DATE(2007,7,20),B37,)</f>
        <v>0</v>
      </c>
      <c r="X37" s="24">
        <f>IF('Stammdaten - Schwimmer'!$D37&lt;DATE(2007,7,20),C37,)</f>
        <v>0</v>
      </c>
      <c r="Y37" s="22">
        <f>IF('Stammdaten - Schwimmer'!$D37&lt;DATE(2007,7,20),D37,)</f>
        <v>0</v>
      </c>
      <c r="Z37" s="25">
        <f>IF('Stammdaten - Schwimmer'!$D37&lt;DATE(2007,7,20),'Stammdaten - Schwimmer'!F37,)</f>
        <v>0</v>
      </c>
      <c r="AA37">
        <f t="shared" si="2"/>
        <v>46</v>
      </c>
    </row>
    <row r="38" spans="1:27" x14ac:dyDescent="0.35">
      <c r="A38" s="20">
        <f>'Stammdaten - Schwimmer'!A38</f>
        <v>35</v>
      </c>
      <c r="B38" s="21" t="str">
        <f>'Stammdaten - Schwimmer'!B38</f>
        <v>Düsterloh</v>
      </c>
      <c r="C38" s="21" t="str">
        <f>'Stammdaten - Schwimmer'!C38</f>
        <v>Kinga</v>
      </c>
      <c r="D38" s="22">
        <f>'Stammdaten - Schwimmer'!J38+'Stammdaten - Schwimmer'!N38+'Stammdaten - Schwimmer'!R38+'Stammdaten - Schwimmer'!V38+'Stammdaten - Schwimmer'!Z39</f>
        <v>40</v>
      </c>
      <c r="E38" s="25">
        <f>'Stammdaten - Schwimmer'!F38</f>
        <v>4</v>
      </c>
      <c r="H38" s="24">
        <f>IF('Stammdaten - Schwimmer'!D38&gt;DATE(2011,7,20),A38,)</f>
        <v>35</v>
      </c>
      <c r="I38" s="24" t="str">
        <f>IF('Stammdaten - Schwimmer'!$D38&gt;DATE(2011,7,20),B38,)</f>
        <v>Düsterloh</v>
      </c>
      <c r="J38" s="24" t="str">
        <f>IF('Stammdaten - Schwimmer'!$D38&gt;DATE(2011,7,20),C38,)</f>
        <v>Kinga</v>
      </c>
      <c r="K38" s="22">
        <f>IF('Stammdaten - Schwimmer'!$D38&gt;DATE(2011,7,20),D38,)</f>
        <v>40</v>
      </c>
      <c r="L38" s="24">
        <f>IF('Stammdaten - Schwimmer'!$D38&gt;DATE(2011,7,20),'Stammdaten - Schwimmer'!F38,)</f>
        <v>4</v>
      </c>
      <c r="M38">
        <f t="shared" si="0"/>
        <v>32</v>
      </c>
      <c r="O38" s="24">
        <f>IF(AND('Stammdaten - Schwimmer'!$D38&lt;DATE(2011,7,20),'Stammdaten - Schwimmer'!$D38&gt;DATE(2007,7,19)),A38,)</f>
        <v>0</v>
      </c>
      <c r="P38" s="24">
        <f>IF(AND('Stammdaten - Schwimmer'!$D38&lt;DATE(2011,7,20),'Stammdaten - Schwimmer'!$D38&gt;DATE(2007,7,19)),B38,)</f>
        <v>0</v>
      </c>
      <c r="Q38" s="24">
        <f>IF(AND('Stammdaten - Schwimmer'!$D38&lt;DATE(2011,7,20),'Stammdaten - Schwimmer'!$D38&gt;DATE(2007,7,19)),C38,)</f>
        <v>0</v>
      </c>
      <c r="R38" s="22">
        <f>IF(AND('Stammdaten - Schwimmer'!$D38&lt;DATE(2011,7,20),'Stammdaten - Schwimmer'!$D38&gt;DATE(2007,7,19)),D38,)</f>
        <v>0</v>
      </c>
      <c r="S38" s="25">
        <f>IF(AND('Stammdaten - Schwimmer'!$D38&lt;DATE(2011,7,20),'Stammdaten - Schwimmer'!$D38&gt;DATE(2007,7,19)),'Stammdaten - Schwimmer'!F38,)</f>
        <v>0</v>
      </c>
      <c r="T38">
        <f t="shared" si="1"/>
        <v>11</v>
      </c>
      <c r="V38" s="24">
        <f>IF('Stammdaten - Schwimmer'!$D38&lt;DATE(2007,7,20),A38,)</f>
        <v>0</v>
      </c>
      <c r="W38" s="24">
        <f>IF('Stammdaten - Schwimmer'!$D38&lt;DATE(2007,7,20),B38,)</f>
        <v>0</v>
      </c>
      <c r="X38" s="24">
        <f>IF('Stammdaten - Schwimmer'!$D38&lt;DATE(2007,7,20),C38,)</f>
        <v>0</v>
      </c>
      <c r="Y38" s="22">
        <f>IF('Stammdaten - Schwimmer'!$D38&lt;DATE(2007,7,20),D38,)</f>
        <v>0</v>
      </c>
      <c r="Z38" s="25">
        <f>IF('Stammdaten - Schwimmer'!$D38&lt;DATE(2007,7,20),'Stammdaten - Schwimmer'!F38,)</f>
        <v>0</v>
      </c>
      <c r="AA38">
        <f t="shared" si="2"/>
        <v>46</v>
      </c>
    </row>
    <row r="39" spans="1:27" x14ac:dyDescent="0.35">
      <c r="A39" s="20">
        <f>'Stammdaten - Schwimmer'!A39</f>
        <v>36</v>
      </c>
      <c r="B39" s="21" t="str">
        <f>'Stammdaten - Schwimmer'!B39</f>
        <v>Rottmann</v>
      </c>
      <c r="C39" s="21" t="str">
        <f>'Stammdaten - Schwimmer'!C39</f>
        <v>Christof</v>
      </c>
      <c r="D39" s="22">
        <f>'Stammdaten - Schwimmer'!J39+'Stammdaten - Schwimmer'!N39+'Stammdaten - Schwimmer'!R39+'Stammdaten - Schwimmer'!V39+'Stammdaten - Schwimmer'!Z40</f>
        <v>50</v>
      </c>
      <c r="E39" s="25">
        <f>'Stammdaten - Schwimmer'!F39</f>
        <v>50</v>
      </c>
      <c r="H39" s="24">
        <f>IF('Stammdaten - Schwimmer'!D39&gt;DATE(2011,7,20),A39,)</f>
        <v>0</v>
      </c>
      <c r="I39" s="24">
        <f>IF('Stammdaten - Schwimmer'!$D39&gt;DATE(2011,7,20),B39,)</f>
        <v>0</v>
      </c>
      <c r="J39" s="24">
        <f>IF('Stammdaten - Schwimmer'!$D39&gt;DATE(2011,7,20),C39,)</f>
        <v>0</v>
      </c>
      <c r="K39" s="22">
        <f>IF('Stammdaten - Schwimmer'!$D39&gt;DATE(2011,7,20),D39,)</f>
        <v>0</v>
      </c>
      <c r="L39" s="24">
        <f>IF('Stammdaten - Schwimmer'!$D39&gt;DATE(2011,7,20),'Stammdaten - Schwimmer'!F39,)</f>
        <v>0</v>
      </c>
      <c r="M39">
        <f t="shared" si="0"/>
        <v>34</v>
      </c>
      <c r="O39" s="24">
        <f>IF(AND('Stammdaten - Schwimmer'!$D39&lt;DATE(2011,7,20),'Stammdaten - Schwimmer'!$D39&gt;DATE(2007,7,19)),A39,)</f>
        <v>0</v>
      </c>
      <c r="P39" s="24">
        <f>IF(AND('Stammdaten - Schwimmer'!$D39&lt;DATE(2011,7,20),'Stammdaten - Schwimmer'!$D39&gt;DATE(2007,7,19)),B39,)</f>
        <v>0</v>
      </c>
      <c r="Q39" s="24">
        <f>IF(AND('Stammdaten - Schwimmer'!$D39&lt;DATE(2011,7,20),'Stammdaten - Schwimmer'!$D39&gt;DATE(2007,7,19)),C39,)</f>
        <v>0</v>
      </c>
      <c r="R39" s="22">
        <f>IF(AND('Stammdaten - Schwimmer'!$D39&lt;DATE(2011,7,20),'Stammdaten - Schwimmer'!$D39&gt;DATE(2007,7,19)),D39,)</f>
        <v>0</v>
      </c>
      <c r="S39" s="25">
        <f>IF(AND('Stammdaten - Schwimmer'!$D39&lt;DATE(2011,7,20),'Stammdaten - Schwimmer'!$D39&gt;DATE(2007,7,19)),'Stammdaten - Schwimmer'!F39,)</f>
        <v>0</v>
      </c>
      <c r="T39">
        <f t="shared" si="1"/>
        <v>11</v>
      </c>
      <c r="V39" s="24">
        <f>IF('Stammdaten - Schwimmer'!$D39&lt;DATE(2007,7,20),A39,)</f>
        <v>36</v>
      </c>
      <c r="W39" s="24" t="str">
        <f>IF('Stammdaten - Schwimmer'!$D39&lt;DATE(2007,7,20),B39,)</f>
        <v>Rottmann</v>
      </c>
      <c r="X39" s="24" t="str">
        <f>IF('Stammdaten - Schwimmer'!$D39&lt;DATE(2007,7,20),C39,)</f>
        <v>Christof</v>
      </c>
      <c r="Y39" s="22">
        <f>IF('Stammdaten - Schwimmer'!$D39&lt;DATE(2007,7,20),D39,)</f>
        <v>50</v>
      </c>
      <c r="Z39" s="25">
        <f>IF('Stammdaten - Schwimmer'!$D39&lt;DATE(2007,7,20),'Stammdaten - Schwimmer'!F39,)</f>
        <v>50</v>
      </c>
      <c r="AA39">
        <f t="shared" si="2"/>
        <v>16</v>
      </c>
    </row>
    <row r="40" spans="1:27" x14ac:dyDescent="0.35">
      <c r="A40" s="20">
        <f>'Stammdaten - Schwimmer'!A40</f>
        <v>37</v>
      </c>
      <c r="B40" s="21" t="str">
        <f>'Stammdaten - Schwimmer'!B40</f>
        <v>Krilla</v>
      </c>
      <c r="C40" s="21" t="str">
        <f>'Stammdaten - Schwimmer'!C40</f>
        <v>Stellan</v>
      </c>
      <c r="D40" s="22">
        <f>'Stammdaten - Schwimmer'!J40+'Stammdaten - Schwimmer'!N40+'Stammdaten - Schwimmer'!R40+'Stammdaten - Schwimmer'!V40+'Stammdaten - Schwimmer'!Z41</f>
        <v>10</v>
      </c>
      <c r="E40" s="25">
        <f>'Stammdaten - Schwimmer'!F40</f>
        <v>20</v>
      </c>
      <c r="H40" s="24">
        <f>IF('Stammdaten - Schwimmer'!D40&gt;DATE(2011,7,20),A40,)</f>
        <v>0</v>
      </c>
      <c r="I40" s="24">
        <f>IF('Stammdaten - Schwimmer'!$D40&gt;DATE(2011,7,20),B40,)</f>
        <v>0</v>
      </c>
      <c r="J40" s="24">
        <f>IF('Stammdaten - Schwimmer'!$D40&gt;DATE(2011,7,20),C40,)</f>
        <v>0</v>
      </c>
      <c r="K40" s="22">
        <f>IF('Stammdaten - Schwimmer'!$D40&gt;DATE(2011,7,20),D40,)</f>
        <v>0</v>
      </c>
      <c r="L40" s="24">
        <f>IF('Stammdaten - Schwimmer'!$D40&gt;DATE(2011,7,20),'Stammdaten - Schwimmer'!F40,)</f>
        <v>0</v>
      </c>
      <c r="M40">
        <f t="shared" si="0"/>
        <v>34</v>
      </c>
      <c r="O40" s="24">
        <f>IF(AND('Stammdaten - Schwimmer'!$D40&lt;DATE(2011,7,20),'Stammdaten - Schwimmer'!$D40&gt;DATE(2007,7,19)),A40,)</f>
        <v>37</v>
      </c>
      <c r="P40" s="24" t="str">
        <f>IF(AND('Stammdaten - Schwimmer'!$D40&lt;DATE(2011,7,20),'Stammdaten - Schwimmer'!$D40&gt;DATE(2007,7,19)),B40,)</f>
        <v>Krilla</v>
      </c>
      <c r="Q40" s="24" t="str">
        <f>IF(AND('Stammdaten - Schwimmer'!$D40&lt;DATE(2011,7,20),'Stammdaten - Schwimmer'!$D40&gt;DATE(2007,7,19)),C40,)</f>
        <v>Stellan</v>
      </c>
      <c r="R40" s="22">
        <f>IF(AND('Stammdaten - Schwimmer'!$D40&lt;DATE(2011,7,20),'Stammdaten - Schwimmer'!$D40&gt;DATE(2007,7,19)),D40,)</f>
        <v>10</v>
      </c>
      <c r="S40" s="25">
        <f>IF(AND('Stammdaten - Schwimmer'!$D40&lt;DATE(2011,7,20),'Stammdaten - Schwimmer'!$D40&gt;DATE(2007,7,19)),'Stammdaten - Schwimmer'!F40,)</f>
        <v>20</v>
      </c>
      <c r="T40">
        <f t="shared" si="1"/>
        <v>9</v>
      </c>
      <c r="V40" s="24">
        <f>IF('Stammdaten - Schwimmer'!$D40&lt;DATE(2007,7,20),A40,)</f>
        <v>0</v>
      </c>
      <c r="W40" s="24">
        <f>IF('Stammdaten - Schwimmer'!$D40&lt;DATE(2007,7,20),B40,)</f>
        <v>0</v>
      </c>
      <c r="X40" s="24">
        <f>IF('Stammdaten - Schwimmer'!$D40&lt;DATE(2007,7,20),C40,)</f>
        <v>0</v>
      </c>
      <c r="Y40" s="22">
        <f>IF('Stammdaten - Schwimmer'!$D40&lt;DATE(2007,7,20),D40,)</f>
        <v>0</v>
      </c>
      <c r="Z40" s="25">
        <f>IF('Stammdaten - Schwimmer'!$D40&lt;DATE(2007,7,20),'Stammdaten - Schwimmer'!F40,)</f>
        <v>0</v>
      </c>
      <c r="AA40">
        <f t="shared" si="2"/>
        <v>46</v>
      </c>
    </row>
    <row r="41" spans="1:27" x14ac:dyDescent="0.35">
      <c r="A41" s="20">
        <f>'Stammdaten - Schwimmer'!A41</f>
        <v>38</v>
      </c>
      <c r="B41" s="21" t="str">
        <f>'Stammdaten - Schwimmer'!B41</f>
        <v>Krilla</v>
      </c>
      <c r="C41" s="21" t="str">
        <f>'Stammdaten - Schwimmer'!C41</f>
        <v>Nike</v>
      </c>
      <c r="D41" s="22">
        <f>'Stammdaten - Schwimmer'!J41+'Stammdaten - Schwimmer'!N41+'Stammdaten - Schwimmer'!R41+'Stammdaten - Schwimmer'!V41+'Stammdaten - Schwimmer'!Z42</f>
        <v>10</v>
      </c>
      <c r="E41" s="25">
        <f>'Stammdaten - Schwimmer'!F41</f>
        <v>20</v>
      </c>
      <c r="H41" s="24">
        <f>IF('Stammdaten - Schwimmer'!D41&gt;DATE(2011,7,20),A41,)</f>
        <v>38</v>
      </c>
      <c r="I41" s="24" t="str">
        <f>IF('Stammdaten - Schwimmer'!$D41&gt;DATE(2011,7,20),B41,)</f>
        <v>Krilla</v>
      </c>
      <c r="J41" s="24" t="str">
        <f>IF('Stammdaten - Schwimmer'!$D41&gt;DATE(2011,7,20),C41,)</f>
        <v>Nike</v>
      </c>
      <c r="K41" s="22">
        <f>IF('Stammdaten - Schwimmer'!$D41&gt;DATE(2011,7,20),D41,)</f>
        <v>10</v>
      </c>
      <c r="L41" s="24">
        <f>IF('Stammdaten - Schwimmer'!$D41&gt;DATE(2011,7,20),'Stammdaten - Schwimmer'!F41,)</f>
        <v>20</v>
      </c>
      <c r="M41">
        <f t="shared" si="0"/>
        <v>28</v>
      </c>
      <c r="O41" s="24">
        <f>IF(AND('Stammdaten - Schwimmer'!$D41&lt;DATE(2011,7,20),'Stammdaten - Schwimmer'!$D41&gt;DATE(2007,7,19)),A41,)</f>
        <v>0</v>
      </c>
      <c r="P41" s="24">
        <f>IF(AND('Stammdaten - Schwimmer'!$D41&lt;DATE(2011,7,20),'Stammdaten - Schwimmer'!$D41&gt;DATE(2007,7,19)),B41,)</f>
        <v>0</v>
      </c>
      <c r="Q41" s="24">
        <f>IF(AND('Stammdaten - Schwimmer'!$D41&lt;DATE(2011,7,20),'Stammdaten - Schwimmer'!$D41&gt;DATE(2007,7,19)),C41,)</f>
        <v>0</v>
      </c>
      <c r="R41" s="22">
        <f>IF(AND('Stammdaten - Schwimmer'!$D41&lt;DATE(2011,7,20),'Stammdaten - Schwimmer'!$D41&gt;DATE(2007,7,19)),D41,)</f>
        <v>0</v>
      </c>
      <c r="S41" s="25">
        <f>IF(AND('Stammdaten - Schwimmer'!$D41&lt;DATE(2011,7,20),'Stammdaten - Schwimmer'!$D41&gt;DATE(2007,7,19)),'Stammdaten - Schwimmer'!F41,)</f>
        <v>0</v>
      </c>
      <c r="T41">
        <f t="shared" si="1"/>
        <v>11</v>
      </c>
      <c r="V41" s="24">
        <f>IF('Stammdaten - Schwimmer'!$D41&lt;DATE(2007,7,20),A41,)</f>
        <v>0</v>
      </c>
      <c r="W41" s="24">
        <f>IF('Stammdaten - Schwimmer'!$D41&lt;DATE(2007,7,20),B41,)</f>
        <v>0</v>
      </c>
      <c r="X41" s="24">
        <f>IF('Stammdaten - Schwimmer'!$D41&lt;DATE(2007,7,20),C41,)</f>
        <v>0</v>
      </c>
      <c r="Y41" s="22">
        <f>IF('Stammdaten - Schwimmer'!$D41&lt;DATE(2007,7,20),D41,)</f>
        <v>0</v>
      </c>
      <c r="Z41" s="25">
        <f>IF('Stammdaten - Schwimmer'!$D41&lt;DATE(2007,7,20),'Stammdaten - Schwimmer'!F41,)</f>
        <v>0</v>
      </c>
      <c r="AA41">
        <f t="shared" si="2"/>
        <v>46</v>
      </c>
    </row>
    <row r="42" spans="1:27" x14ac:dyDescent="0.35">
      <c r="A42" s="20">
        <f>'Stammdaten - Schwimmer'!A42</f>
        <v>39</v>
      </c>
      <c r="B42" s="21" t="str">
        <f>'Stammdaten - Schwimmer'!B42</f>
        <v>Gerngroß</v>
      </c>
      <c r="C42" s="21" t="str">
        <f>'Stammdaten - Schwimmer'!C42</f>
        <v>Heinz</v>
      </c>
      <c r="D42" s="22">
        <f>'Stammdaten - Schwimmer'!J42+'Stammdaten - Schwimmer'!N42+'Stammdaten - Schwimmer'!R42+'Stammdaten - Schwimmer'!V42+'Stammdaten - Schwimmer'!Z43</f>
        <v>100</v>
      </c>
      <c r="E42" s="25">
        <f>'Stammdaten - Schwimmer'!F42</f>
        <v>38</v>
      </c>
      <c r="H42" s="24">
        <f>IF('Stammdaten - Schwimmer'!D42&gt;DATE(2011,7,20),A42,)</f>
        <v>0</v>
      </c>
      <c r="I42" s="24">
        <f>IF('Stammdaten - Schwimmer'!$D42&gt;DATE(2011,7,20),B42,)</f>
        <v>0</v>
      </c>
      <c r="J42" s="24">
        <f>IF('Stammdaten - Schwimmer'!$D42&gt;DATE(2011,7,20),C42,)</f>
        <v>0</v>
      </c>
      <c r="K42" s="22">
        <f>IF('Stammdaten - Schwimmer'!$D42&gt;DATE(2011,7,20),D42,)</f>
        <v>0</v>
      </c>
      <c r="L42" s="24">
        <f>IF('Stammdaten - Schwimmer'!$D42&gt;DATE(2011,7,20),'Stammdaten - Schwimmer'!F42,)</f>
        <v>0</v>
      </c>
      <c r="M42">
        <f t="shared" si="0"/>
        <v>34</v>
      </c>
      <c r="O42" s="24">
        <f>IF(AND('Stammdaten - Schwimmer'!$D42&lt;DATE(2011,7,20),'Stammdaten - Schwimmer'!$D42&gt;DATE(2007,7,19)),A42,)</f>
        <v>0</v>
      </c>
      <c r="P42" s="24">
        <f>IF(AND('Stammdaten - Schwimmer'!$D42&lt;DATE(2011,7,20),'Stammdaten - Schwimmer'!$D42&gt;DATE(2007,7,19)),B42,)</f>
        <v>0</v>
      </c>
      <c r="Q42" s="24">
        <f>IF(AND('Stammdaten - Schwimmer'!$D42&lt;DATE(2011,7,20),'Stammdaten - Schwimmer'!$D42&gt;DATE(2007,7,19)),C42,)</f>
        <v>0</v>
      </c>
      <c r="R42" s="22">
        <f>IF(AND('Stammdaten - Schwimmer'!$D42&lt;DATE(2011,7,20),'Stammdaten - Schwimmer'!$D42&gt;DATE(2007,7,19)),D42,)</f>
        <v>0</v>
      </c>
      <c r="S42" s="25">
        <f>IF(AND('Stammdaten - Schwimmer'!$D42&lt;DATE(2011,7,20),'Stammdaten - Schwimmer'!$D42&gt;DATE(2007,7,19)),'Stammdaten - Schwimmer'!F42,)</f>
        <v>0</v>
      </c>
      <c r="T42">
        <f t="shared" si="1"/>
        <v>11</v>
      </c>
      <c r="V42" s="24">
        <f>IF('Stammdaten - Schwimmer'!$D42&lt;DATE(2007,7,20),A42,)</f>
        <v>39</v>
      </c>
      <c r="W42" s="24" t="str">
        <f>IF('Stammdaten - Schwimmer'!$D42&lt;DATE(2007,7,20),B42,)</f>
        <v>Gerngroß</v>
      </c>
      <c r="X42" s="24" t="str">
        <f>IF('Stammdaten - Schwimmer'!$D42&lt;DATE(2007,7,20),C42,)</f>
        <v>Heinz</v>
      </c>
      <c r="Y42" s="22">
        <f>IF('Stammdaten - Schwimmer'!$D42&lt;DATE(2007,7,20),D42,)</f>
        <v>100</v>
      </c>
      <c r="Z42" s="25">
        <f>IF('Stammdaten - Schwimmer'!$D42&lt;DATE(2007,7,20),'Stammdaten - Schwimmer'!F42,)</f>
        <v>38</v>
      </c>
      <c r="AA42">
        <f t="shared" si="2"/>
        <v>33</v>
      </c>
    </row>
    <row r="43" spans="1:27" x14ac:dyDescent="0.35">
      <c r="A43" s="20">
        <f>'Stammdaten - Schwimmer'!A43</f>
        <v>40</v>
      </c>
      <c r="B43" s="21" t="str">
        <f>'Stammdaten - Schwimmer'!B43</f>
        <v>Gerloch</v>
      </c>
      <c r="C43" s="21" t="str">
        <f>'Stammdaten - Schwimmer'!C43</f>
        <v>Christine</v>
      </c>
      <c r="D43" s="22">
        <f>'Stammdaten - Schwimmer'!J43+'Stammdaten - Schwimmer'!N43+'Stammdaten - Schwimmer'!R43+'Stammdaten - Schwimmer'!V43+'Stammdaten - Schwimmer'!Z44</f>
        <v>100</v>
      </c>
      <c r="E43" s="25">
        <f>'Stammdaten - Schwimmer'!F43</f>
        <v>40</v>
      </c>
      <c r="H43" s="24">
        <f>IF('Stammdaten - Schwimmer'!D43&gt;DATE(2011,7,20),A43,)</f>
        <v>0</v>
      </c>
      <c r="I43" s="24">
        <f>IF('Stammdaten - Schwimmer'!$D43&gt;DATE(2011,7,20),B43,)</f>
        <v>0</v>
      </c>
      <c r="J43" s="24">
        <f>IF('Stammdaten - Schwimmer'!$D43&gt;DATE(2011,7,20),C43,)</f>
        <v>0</v>
      </c>
      <c r="K43" s="22">
        <f>IF('Stammdaten - Schwimmer'!$D43&gt;DATE(2011,7,20),D43,)</f>
        <v>0</v>
      </c>
      <c r="L43" s="24">
        <f>IF('Stammdaten - Schwimmer'!$D43&gt;DATE(2011,7,20),'Stammdaten - Schwimmer'!F43,)</f>
        <v>0</v>
      </c>
      <c r="M43">
        <f t="shared" si="0"/>
        <v>34</v>
      </c>
      <c r="O43" s="24">
        <f>IF(AND('Stammdaten - Schwimmer'!$D43&lt;DATE(2011,7,20),'Stammdaten - Schwimmer'!$D43&gt;DATE(2007,7,19)),A43,)</f>
        <v>0</v>
      </c>
      <c r="P43" s="24">
        <f>IF(AND('Stammdaten - Schwimmer'!$D43&lt;DATE(2011,7,20),'Stammdaten - Schwimmer'!$D43&gt;DATE(2007,7,19)),B43,)</f>
        <v>0</v>
      </c>
      <c r="Q43" s="24">
        <f>IF(AND('Stammdaten - Schwimmer'!$D43&lt;DATE(2011,7,20),'Stammdaten - Schwimmer'!$D43&gt;DATE(2007,7,19)),C43,)</f>
        <v>0</v>
      </c>
      <c r="R43" s="22">
        <f>IF(AND('Stammdaten - Schwimmer'!$D43&lt;DATE(2011,7,20),'Stammdaten - Schwimmer'!$D43&gt;DATE(2007,7,19)),D43,)</f>
        <v>0</v>
      </c>
      <c r="S43" s="25">
        <f>IF(AND('Stammdaten - Schwimmer'!$D43&lt;DATE(2011,7,20),'Stammdaten - Schwimmer'!$D43&gt;DATE(2007,7,19)),'Stammdaten - Schwimmer'!F43,)</f>
        <v>0</v>
      </c>
      <c r="T43">
        <f t="shared" si="1"/>
        <v>11</v>
      </c>
      <c r="V43" s="24">
        <f>IF('Stammdaten - Schwimmer'!$D43&lt;DATE(2007,7,20),A43,)</f>
        <v>40</v>
      </c>
      <c r="W43" s="24" t="str">
        <f>IF('Stammdaten - Schwimmer'!$D43&lt;DATE(2007,7,20),B43,)</f>
        <v>Gerloch</v>
      </c>
      <c r="X43" s="24" t="str">
        <f>IF('Stammdaten - Schwimmer'!$D43&lt;DATE(2007,7,20),C43,)</f>
        <v>Christine</v>
      </c>
      <c r="Y43" s="22">
        <f>IF('Stammdaten - Schwimmer'!$D43&lt;DATE(2007,7,20),D43,)</f>
        <v>100</v>
      </c>
      <c r="Z43" s="25">
        <f>IF('Stammdaten - Schwimmer'!$D43&lt;DATE(2007,7,20),'Stammdaten - Schwimmer'!F43,)</f>
        <v>40</v>
      </c>
      <c r="AA43">
        <f t="shared" si="2"/>
        <v>27</v>
      </c>
    </row>
    <row r="44" spans="1:27" x14ac:dyDescent="0.35">
      <c r="A44" s="20">
        <f>'Stammdaten - Schwimmer'!A44</f>
        <v>41</v>
      </c>
      <c r="B44" s="21" t="str">
        <f>'Stammdaten - Schwimmer'!B44</f>
        <v>Künsemüller</v>
      </c>
      <c r="C44" s="21" t="str">
        <f>'Stammdaten - Schwimmer'!C44</f>
        <v>Viktoria</v>
      </c>
      <c r="D44" s="22">
        <f>'Stammdaten - Schwimmer'!J44+'Stammdaten - Schwimmer'!N44+'Stammdaten - Schwimmer'!R44+'Stammdaten - Schwimmer'!V44+'Stammdaten - Schwimmer'!Z45</f>
        <v>56</v>
      </c>
      <c r="E44" s="25">
        <f>'Stammdaten - Schwimmer'!F44</f>
        <v>112</v>
      </c>
      <c r="H44" s="24">
        <f>IF('Stammdaten - Schwimmer'!D44&gt;DATE(2011,7,20),A44,)</f>
        <v>0</v>
      </c>
      <c r="I44" s="24">
        <f>IF('Stammdaten - Schwimmer'!$D44&gt;DATE(2011,7,20),B44,)</f>
        <v>0</v>
      </c>
      <c r="J44" s="24">
        <f>IF('Stammdaten - Schwimmer'!$D44&gt;DATE(2011,7,20),C44,)</f>
        <v>0</v>
      </c>
      <c r="K44" s="22">
        <f>IF('Stammdaten - Schwimmer'!$D44&gt;DATE(2011,7,20),D44,)</f>
        <v>0</v>
      </c>
      <c r="L44" s="24">
        <f>IF('Stammdaten - Schwimmer'!$D44&gt;DATE(2011,7,20),'Stammdaten - Schwimmer'!F44,)</f>
        <v>0</v>
      </c>
      <c r="M44">
        <f t="shared" si="0"/>
        <v>34</v>
      </c>
      <c r="O44" s="24">
        <f>IF(AND('Stammdaten - Schwimmer'!$D44&lt;DATE(2011,7,20),'Stammdaten - Schwimmer'!$D44&gt;DATE(2007,7,19)),A44,)</f>
        <v>41</v>
      </c>
      <c r="P44" s="24" t="str">
        <f>IF(AND('Stammdaten - Schwimmer'!$D44&lt;DATE(2011,7,20),'Stammdaten - Schwimmer'!$D44&gt;DATE(2007,7,19)),B44,)</f>
        <v>Künsemüller</v>
      </c>
      <c r="Q44" s="24" t="str">
        <f>IF(AND('Stammdaten - Schwimmer'!$D44&lt;DATE(2011,7,20),'Stammdaten - Schwimmer'!$D44&gt;DATE(2007,7,19)),C44,)</f>
        <v>Viktoria</v>
      </c>
      <c r="R44" s="22">
        <f>IF(AND('Stammdaten - Schwimmer'!$D44&lt;DATE(2011,7,20),'Stammdaten - Schwimmer'!$D44&gt;DATE(2007,7,19)),D44,)</f>
        <v>56</v>
      </c>
      <c r="S44" s="25">
        <f>IF(AND('Stammdaten - Schwimmer'!$D44&lt;DATE(2011,7,20),'Stammdaten - Schwimmer'!$D44&gt;DATE(2007,7,19)),'Stammdaten - Schwimmer'!F44,)</f>
        <v>112</v>
      </c>
      <c r="T44">
        <f t="shared" si="1"/>
        <v>1</v>
      </c>
      <c r="V44" s="24">
        <f>IF('Stammdaten - Schwimmer'!$D44&lt;DATE(2007,7,20),A44,)</f>
        <v>0</v>
      </c>
      <c r="W44" s="24">
        <f>IF('Stammdaten - Schwimmer'!$D44&lt;DATE(2007,7,20),B44,)</f>
        <v>0</v>
      </c>
      <c r="X44" s="24">
        <f>IF('Stammdaten - Schwimmer'!$D44&lt;DATE(2007,7,20),C44,)</f>
        <v>0</v>
      </c>
      <c r="Y44" s="22">
        <f>IF('Stammdaten - Schwimmer'!$D44&lt;DATE(2007,7,20),D44,)</f>
        <v>0</v>
      </c>
      <c r="Z44" s="25">
        <f>IF('Stammdaten - Schwimmer'!$D44&lt;DATE(2007,7,20),'Stammdaten - Schwimmer'!F44,)</f>
        <v>0</v>
      </c>
      <c r="AA44">
        <f t="shared" si="2"/>
        <v>46</v>
      </c>
    </row>
    <row r="45" spans="1:27" x14ac:dyDescent="0.35">
      <c r="A45" s="20">
        <f>'Stammdaten - Schwimmer'!A45</f>
        <v>42</v>
      </c>
      <c r="B45" s="21" t="str">
        <f>'Stammdaten - Schwimmer'!B45</f>
        <v>König</v>
      </c>
      <c r="C45" s="21" t="str">
        <f>'Stammdaten - Schwimmer'!C45</f>
        <v>Viola</v>
      </c>
      <c r="D45" s="22">
        <f>'Stammdaten - Schwimmer'!J45+'Stammdaten - Schwimmer'!N45+'Stammdaten - Schwimmer'!R45+'Stammdaten - Schwimmer'!V45+'Stammdaten - Schwimmer'!Z46</f>
        <v>49</v>
      </c>
      <c r="E45" s="25">
        <f>'Stammdaten - Schwimmer'!F45</f>
        <v>98</v>
      </c>
      <c r="H45" s="24">
        <f>IF('Stammdaten - Schwimmer'!D45&gt;DATE(2011,7,20),A45,)</f>
        <v>0</v>
      </c>
      <c r="I45" s="24">
        <f>IF('Stammdaten - Schwimmer'!$D45&gt;DATE(2011,7,20),B45,)</f>
        <v>0</v>
      </c>
      <c r="J45" s="24">
        <f>IF('Stammdaten - Schwimmer'!$D45&gt;DATE(2011,7,20),C45,)</f>
        <v>0</v>
      </c>
      <c r="K45" s="22">
        <f>IF('Stammdaten - Schwimmer'!$D45&gt;DATE(2011,7,20),D45,)</f>
        <v>0</v>
      </c>
      <c r="L45" s="24">
        <f>IF('Stammdaten - Schwimmer'!$D45&gt;DATE(2011,7,20),'Stammdaten - Schwimmer'!F45,)</f>
        <v>0</v>
      </c>
      <c r="M45">
        <f t="shared" si="0"/>
        <v>34</v>
      </c>
      <c r="O45" s="24">
        <f>IF(AND('Stammdaten - Schwimmer'!$D45&lt;DATE(2011,7,20),'Stammdaten - Schwimmer'!$D45&gt;DATE(2007,7,19)),A45,)</f>
        <v>0</v>
      </c>
      <c r="P45" s="24">
        <f>IF(AND('Stammdaten - Schwimmer'!$D45&lt;DATE(2011,7,20),'Stammdaten - Schwimmer'!$D45&gt;DATE(2007,7,19)),B45,)</f>
        <v>0</v>
      </c>
      <c r="Q45" s="24">
        <f>IF(AND('Stammdaten - Schwimmer'!$D45&lt;DATE(2011,7,20),'Stammdaten - Schwimmer'!$D45&gt;DATE(2007,7,19)),C45,)</f>
        <v>0</v>
      </c>
      <c r="R45" s="22">
        <f>IF(AND('Stammdaten - Schwimmer'!$D45&lt;DATE(2011,7,20),'Stammdaten - Schwimmer'!$D45&gt;DATE(2007,7,19)),D45,)</f>
        <v>0</v>
      </c>
      <c r="S45" s="25">
        <f>IF(AND('Stammdaten - Schwimmer'!$D45&lt;DATE(2011,7,20),'Stammdaten - Schwimmer'!$D45&gt;DATE(2007,7,19)),'Stammdaten - Schwimmer'!F45,)</f>
        <v>0</v>
      </c>
      <c r="T45">
        <f t="shared" si="1"/>
        <v>11</v>
      </c>
      <c r="V45" s="24">
        <f>IF('Stammdaten - Schwimmer'!$D45&lt;DATE(2007,7,20),A45,)</f>
        <v>42</v>
      </c>
      <c r="W45" s="24" t="str">
        <f>IF('Stammdaten - Schwimmer'!$D45&lt;DATE(2007,7,20),B45,)</f>
        <v>König</v>
      </c>
      <c r="X45" s="24" t="str">
        <f>IF('Stammdaten - Schwimmer'!$D45&lt;DATE(2007,7,20),C45,)</f>
        <v>Viola</v>
      </c>
      <c r="Y45" s="22">
        <f>IF('Stammdaten - Schwimmer'!$D45&lt;DATE(2007,7,20),D45,)</f>
        <v>49</v>
      </c>
      <c r="Z45" s="25">
        <f>IF('Stammdaten - Schwimmer'!$D45&lt;DATE(2007,7,20),'Stammdaten - Schwimmer'!F45,)</f>
        <v>98</v>
      </c>
      <c r="AA45">
        <f t="shared" si="2"/>
        <v>3</v>
      </c>
    </row>
    <row r="46" spans="1:27" x14ac:dyDescent="0.35">
      <c r="A46" s="20">
        <f>'Stammdaten - Schwimmer'!A46</f>
        <v>43</v>
      </c>
      <c r="B46" s="21" t="str">
        <f>'Stammdaten - Schwimmer'!B46</f>
        <v>Bachmann</v>
      </c>
      <c r="C46" s="21" t="str">
        <f>'Stammdaten - Schwimmer'!C46</f>
        <v>Annabelle</v>
      </c>
      <c r="D46" s="22">
        <f>'Stammdaten - Schwimmer'!J46+'Stammdaten - Schwimmer'!N46+'Stammdaten - Schwimmer'!R46+'Stammdaten - Schwimmer'!V46+'Stammdaten - Schwimmer'!Z47</f>
        <v>53</v>
      </c>
      <c r="E46" s="25">
        <f>'Stammdaten - Schwimmer'!F46</f>
        <v>106</v>
      </c>
      <c r="H46" s="24">
        <f>IF('Stammdaten - Schwimmer'!D46&gt;DATE(2011,7,20),A46,)</f>
        <v>0</v>
      </c>
      <c r="I46" s="24">
        <f>IF('Stammdaten - Schwimmer'!$D46&gt;DATE(2011,7,20),B46,)</f>
        <v>0</v>
      </c>
      <c r="J46" s="24">
        <f>IF('Stammdaten - Schwimmer'!$D46&gt;DATE(2011,7,20),C46,)</f>
        <v>0</v>
      </c>
      <c r="K46" s="22">
        <f>IF('Stammdaten - Schwimmer'!$D46&gt;DATE(2011,7,20),D46,)</f>
        <v>0</v>
      </c>
      <c r="L46" s="24">
        <f>IF('Stammdaten - Schwimmer'!$D46&gt;DATE(2011,7,20),'Stammdaten - Schwimmer'!F46,)</f>
        <v>0</v>
      </c>
      <c r="M46">
        <f t="shared" si="0"/>
        <v>34</v>
      </c>
      <c r="O46" s="24">
        <f>IF(AND('Stammdaten - Schwimmer'!$D46&lt;DATE(2011,7,20),'Stammdaten - Schwimmer'!$D46&gt;DATE(2007,7,19)),A46,)</f>
        <v>0</v>
      </c>
      <c r="P46" s="24">
        <f>IF(AND('Stammdaten - Schwimmer'!$D46&lt;DATE(2011,7,20),'Stammdaten - Schwimmer'!$D46&gt;DATE(2007,7,19)),B46,)</f>
        <v>0</v>
      </c>
      <c r="Q46" s="24">
        <f>IF(AND('Stammdaten - Schwimmer'!$D46&lt;DATE(2011,7,20),'Stammdaten - Schwimmer'!$D46&gt;DATE(2007,7,19)),C46,)</f>
        <v>0</v>
      </c>
      <c r="R46" s="22">
        <f>IF(AND('Stammdaten - Schwimmer'!$D46&lt;DATE(2011,7,20),'Stammdaten - Schwimmer'!$D46&gt;DATE(2007,7,19)),D46,)</f>
        <v>0</v>
      </c>
      <c r="S46" s="25">
        <f>IF(AND('Stammdaten - Schwimmer'!$D46&lt;DATE(2011,7,20),'Stammdaten - Schwimmer'!$D46&gt;DATE(2007,7,19)),'Stammdaten - Schwimmer'!F46,)</f>
        <v>0</v>
      </c>
      <c r="T46">
        <f t="shared" si="1"/>
        <v>11</v>
      </c>
      <c r="V46" s="24">
        <f>IF('Stammdaten - Schwimmer'!$D46&lt;DATE(2007,7,20),A46,)</f>
        <v>43</v>
      </c>
      <c r="W46" s="24" t="str">
        <f>IF('Stammdaten - Schwimmer'!$D46&lt;DATE(2007,7,20),B46,)</f>
        <v>Bachmann</v>
      </c>
      <c r="X46" s="24" t="str">
        <f>IF('Stammdaten - Schwimmer'!$D46&lt;DATE(2007,7,20),C46,)</f>
        <v>Annabelle</v>
      </c>
      <c r="Y46" s="22">
        <f>IF('Stammdaten - Schwimmer'!$D46&lt;DATE(2007,7,20),D46,)</f>
        <v>53</v>
      </c>
      <c r="Z46" s="25">
        <f>IF('Stammdaten - Schwimmer'!$D46&lt;DATE(2007,7,20),'Stammdaten - Schwimmer'!F46,)</f>
        <v>106</v>
      </c>
      <c r="AA46">
        <f t="shared" si="2"/>
        <v>1</v>
      </c>
    </row>
    <row r="47" spans="1:27" x14ac:dyDescent="0.35">
      <c r="A47" s="20">
        <f>'Stammdaten - Schwimmer'!A47</f>
        <v>44</v>
      </c>
      <c r="B47" s="21" t="str">
        <f>'Stammdaten - Schwimmer'!B47</f>
        <v>Bauer</v>
      </c>
      <c r="C47" s="21" t="str">
        <f>'Stammdaten - Schwimmer'!C47</f>
        <v>Tim</v>
      </c>
      <c r="D47" s="22">
        <f>'Stammdaten - Schwimmer'!J47+'Stammdaten - Schwimmer'!N47+'Stammdaten - Schwimmer'!R47+'Stammdaten - Schwimmer'!V47+'Stammdaten - Schwimmer'!Z48</f>
        <v>51</v>
      </c>
      <c r="E47" s="25">
        <f>'Stammdaten - Schwimmer'!F47</f>
        <v>102</v>
      </c>
      <c r="H47" s="24">
        <f>IF('Stammdaten - Schwimmer'!D47&gt;DATE(2011,7,20),A47,)</f>
        <v>0</v>
      </c>
      <c r="I47" s="24">
        <f>IF('Stammdaten - Schwimmer'!$D47&gt;DATE(2011,7,20),B47,)</f>
        <v>0</v>
      </c>
      <c r="J47" s="24">
        <f>IF('Stammdaten - Schwimmer'!$D47&gt;DATE(2011,7,20),C47,)</f>
        <v>0</v>
      </c>
      <c r="K47" s="22">
        <f>IF('Stammdaten - Schwimmer'!$D47&gt;DATE(2011,7,20),D47,)</f>
        <v>0</v>
      </c>
      <c r="L47" s="24">
        <f>IF('Stammdaten - Schwimmer'!$D47&gt;DATE(2011,7,20),'Stammdaten - Schwimmer'!F47,)</f>
        <v>0</v>
      </c>
      <c r="M47">
        <f t="shared" si="0"/>
        <v>34</v>
      </c>
      <c r="O47" s="24">
        <f>IF(AND('Stammdaten - Schwimmer'!$D47&lt;DATE(2011,7,20),'Stammdaten - Schwimmer'!$D47&gt;DATE(2007,7,19)),A47,)</f>
        <v>0</v>
      </c>
      <c r="P47" s="24">
        <f>IF(AND('Stammdaten - Schwimmer'!$D47&lt;DATE(2011,7,20),'Stammdaten - Schwimmer'!$D47&gt;DATE(2007,7,19)),B47,)</f>
        <v>0</v>
      </c>
      <c r="Q47" s="24">
        <f>IF(AND('Stammdaten - Schwimmer'!$D47&lt;DATE(2011,7,20),'Stammdaten - Schwimmer'!$D47&gt;DATE(2007,7,19)),C47,)</f>
        <v>0</v>
      </c>
      <c r="R47" s="22">
        <f>IF(AND('Stammdaten - Schwimmer'!$D47&lt;DATE(2011,7,20),'Stammdaten - Schwimmer'!$D47&gt;DATE(2007,7,19)),D47,)</f>
        <v>0</v>
      </c>
      <c r="S47" s="25">
        <f>IF(AND('Stammdaten - Schwimmer'!$D47&lt;DATE(2011,7,20),'Stammdaten - Schwimmer'!$D47&gt;DATE(2007,7,19)),'Stammdaten - Schwimmer'!F47,)</f>
        <v>0</v>
      </c>
      <c r="T47">
        <f t="shared" si="1"/>
        <v>11</v>
      </c>
      <c r="V47" s="24">
        <f>IF('Stammdaten - Schwimmer'!$D47&lt;DATE(2007,7,20),A47,)</f>
        <v>44</v>
      </c>
      <c r="W47" s="24" t="str">
        <f>IF('Stammdaten - Schwimmer'!$D47&lt;DATE(2007,7,20),B47,)</f>
        <v>Bauer</v>
      </c>
      <c r="X47" s="24" t="str">
        <f>IF('Stammdaten - Schwimmer'!$D47&lt;DATE(2007,7,20),C47,)</f>
        <v>Tim</v>
      </c>
      <c r="Y47" s="22">
        <f>IF('Stammdaten - Schwimmer'!$D47&lt;DATE(2007,7,20),D47,)</f>
        <v>51</v>
      </c>
      <c r="Z47" s="25">
        <f>IF('Stammdaten - Schwimmer'!$D47&lt;DATE(2007,7,20),'Stammdaten - Schwimmer'!F47,)</f>
        <v>102</v>
      </c>
      <c r="AA47">
        <f t="shared" si="2"/>
        <v>2</v>
      </c>
    </row>
    <row r="48" spans="1:27" x14ac:dyDescent="0.35">
      <c r="A48" s="20">
        <f>'Stammdaten - Schwimmer'!A48</f>
        <v>45</v>
      </c>
      <c r="B48" s="21" t="str">
        <f>'Stammdaten - Schwimmer'!B48</f>
        <v>Sehrt</v>
      </c>
      <c r="C48" s="21" t="str">
        <f>'Stammdaten - Schwimmer'!C48</f>
        <v>Fransiska</v>
      </c>
      <c r="D48" s="22">
        <f>'Stammdaten - Schwimmer'!J48+'Stammdaten - Schwimmer'!N48+'Stammdaten - Schwimmer'!R48+'Stammdaten - Schwimmer'!V48+'Stammdaten - Schwimmer'!Z49</f>
        <v>40</v>
      </c>
      <c r="E48" s="25">
        <f>'Stammdaten - Schwimmer'!F48</f>
        <v>80</v>
      </c>
      <c r="H48" s="24">
        <f>IF('Stammdaten - Schwimmer'!D48&gt;DATE(2011,7,20),A48,)</f>
        <v>0</v>
      </c>
      <c r="I48" s="24">
        <f>IF('Stammdaten - Schwimmer'!$D48&gt;DATE(2011,7,20),B48,)</f>
        <v>0</v>
      </c>
      <c r="J48" s="24">
        <f>IF('Stammdaten - Schwimmer'!$D48&gt;DATE(2011,7,20),C48,)</f>
        <v>0</v>
      </c>
      <c r="K48" s="22">
        <f>IF('Stammdaten - Schwimmer'!$D48&gt;DATE(2011,7,20),D48,)</f>
        <v>0</v>
      </c>
      <c r="L48" s="24">
        <f>IF('Stammdaten - Schwimmer'!$D48&gt;DATE(2011,7,20),'Stammdaten - Schwimmer'!F48,)</f>
        <v>0</v>
      </c>
      <c r="M48">
        <f t="shared" si="0"/>
        <v>34</v>
      </c>
      <c r="O48" s="24">
        <f>IF(AND('Stammdaten - Schwimmer'!$D48&lt;DATE(2011,7,20),'Stammdaten - Schwimmer'!$D48&gt;DATE(2007,7,19)),A48,)</f>
        <v>0</v>
      </c>
      <c r="P48" s="24">
        <f>IF(AND('Stammdaten - Schwimmer'!$D48&lt;DATE(2011,7,20),'Stammdaten - Schwimmer'!$D48&gt;DATE(2007,7,19)),B48,)</f>
        <v>0</v>
      </c>
      <c r="Q48" s="24">
        <f>IF(AND('Stammdaten - Schwimmer'!$D48&lt;DATE(2011,7,20),'Stammdaten - Schwimmer'!$D48&gt;DATE(2007,7,19)),C48,)</f>
        <v>0</v>
      </c>
      <c r="R48" s="22">
        <f>IF(AND('Stammdaten - Schwimmer'!$D48&lt;DATE(2011,7,20),'Stammdaten - Schwimmer'!$D48&gt;DATE(2007,7,19)),D48,)</f>
        <v>0</v>
      </c>
      <c r="S48" s="25">
        <f>IF(AND('Stammdaten - Schwimmer'!$D48&lt;DATE(2011,7,20),'Stammdaten - Schwimmer'!$D48&gt;DATE(2007,7,19)),'Stammdaten - Schwimmer'!F48,)</f>
        <v>0</v>
      </c>
      <c r="T48">
        <f t="shared" si="1"/>
        <v>11</v>
      </c>
      <c r="V48" s="24">
        <f>IF('Stammdaten - Schwimmer'!$D48&lt;DATE(2007,7,20),A48,)</f>
        <v>45</v>
      </c>
      <c r="W48" s="24" t="str">
        <f>IF('Stammdaten - Schwimmer'!$D48&lt;DATE(2007,7,20),B48,)</f>
        <v>Sehrt</v>
      </c>
      <c r="X48" s="24" t="str">
        <f>IF('Stammdaten - Schwimmer'!$D48&lt;DATE(2007,7,20),C48,)</f>
        <v>Fransiska</v>
      </c>
      <c r="Y48" s="22">
        <f>IF('Stammdaten - Schwimmer'!$D48&lt;DATE(2007,7,20),D48,)</f>
        <v>40</v>
      </c>
      <c r="Z48" s="25">
        <f>IF('Stammdaten - Schwimmer'!$D48&lt;DATE(2007,7,20),'Stammdaten - Schwimmer'!F48,)</f>
        <v>80</v>
      </c>
      <c r="AA48">
        <f t="shared" si="2"/>
        <v>4</v>
      </c>
    </row>
    <row r="49" spans="1:27" x14ac:dyDescent="0.35">
      <c r="A49" s="20">
        <f>'Stammdaten - Schwimmer'!A49</f>
        <v>46</v>
      </c>
      <c r="B49" s="21" t="str">
        <f>'Stammdaten - Schwimmer'!B49</f>
        <v>Warga</v>
      </c>
      <c r="C49" s="21" t="str">
        <f>'Stammdaten - Schwimmer'!C49</f>
        <v>Eva</v>
      </c>
      <c r="D49" s="22">
        <f>'Stammdaten - Schwimmer'!J49+'Stammdaten - Schwimmer'!N49+'Stammdaten - Schwimmer'!R49+'Stammdaten - Schwimmer'!V49+'Stammdaten - Schwimmer'!Z50</f>
        <v>170</v>
      </c>
      <c r="E49" s="25">
        <f>'Stammdaten - Schwimmer'!F49</f>
        <v>170</v>
      </c>
      <c r="H49" s="24">
        <f>IF('Stammdaten - Schwimmer'!D49&gt;DATE(2011,7,20),A49,)</f>
        <v>46</v>
      </c>
      <c r="I49" s="24" t="str">
        <f>IF('Stammdaten - Schwimmer'!$D49&gt;DATE(2011,7,20),B49,)</f>
        <v>Warga</v>
      </c>
      <c r="J49" s="24" t="str">
        <f>IF('Stammdaten - Schwimmer'!$D49&gt;DATE(2011,7,20),C49,)</f>
        <v>Eva</v>
      </c>
      <c r="K49" s="22">
        <f>IF('Stammdaten - Schwimmer'!$D49&gt;DATE(2011,7,20),D49,)</f>
        <v>170</v>
      </c>
      <c r="L49" s="24">
        <f>IF('Stammdaten - Schwimmer'!$D49&gt;DATE(2011,7,20),'Stammdaten - Schwimmer'!F49,)</f>
        <v>170</v>
      </c>
      <c r="M49">
        <f t="shared" si="0"/>
        <v>1</v>
      </c>
      <c r="O49" s="24">
        <f>IF(AND('Stammdaten - Schwimmer'!$D49&lt;DATE(2011,7,20),'Stammdaten - Schwimmer'!$D49&gt;DATE(2007,7,19)),A49,)</f>
        <v>0</v>
      </c>
      <c r="P49" s="24">
        <f>IF(AND('Stammdaten - Schwimmer'!$D49&lt;DATE(2011,7,20),'Stammdaten - Schwimmer'!$D49&gt;DATE(2007,7,19)),B49,)</f>
        <v>0</v>
      </c>
      <c r="Q49" s="24">
        <f>IF(AND('Stammdaten - Schwimmer'!$D49&lt;DATE(2011,7,20),'Stammdaten - Schwimmer'!$D49&gt;DATE(2007,7,19)),C49,)</f>
        <v>0</v>
      </c>
      <c r="R49" s="22">
        <f>IF(AND('Stammdaten - Schwimmer'!$D49&lt;DATE(2011,7,20),'Stammdaten - Schwimmer'!$D49&gt;DATE(2007,7,19)),D49,)</f>
        <v>0</v>
      </c>
      <c r="S49" s="25">
        <f>IF(AND('Stammdaten - Schwimmer'!$D49&lt;DATE(2011,7,20),'Stammdaten - Schwimmer'!$D49&gt;DATE(2007,7,19)),'Stammdaten - Schwimmer'!F49,)</f>
        <v>0</v>
      </c>
      <c r="T49">
        <f t="shared" si="1"/>
        <v>11</v>
      </c>
      <c r="V49" s="24">
        <f>IF('Stammdaten - Schwimmer'!$D49&lt;DATE(2007,7,20),A49,)</f>
        <v>0</v>
      </c>
      <c r="W49" s="24">
        <f>IF('Stammdaten - Schwimmer'!$D49&lt;DATE(2007,7,20),B49,)</f>
        <v>0</v>
      </c>
      <c r="X49" s="24">
        <f>IF('Stammdaten - Schwimmer'!$D49&lt;DATE(2007,7,20),C49,)</f>
        <v>0</v>
      </c>
      <c r="Y49" s="22">
        <f>IF('Stammdaten - Schwimmer'!$D49&lt;DATE(2007,7,20),D49,)</f>
        <v>0</v>
      </c>
      <c r="Z49" s="25">
        <f>IF('Stammdaten - Schwimmer'!$D49&lt;DATE(2007,7,20),'Stammdaten - Schwimmer'!F49,)</f>
        <v>0</v>
      </c>
      <c r="AA49">
        <f t="shared" si="2"/>
        <v>46</v>
      </c>
    </row>
    <row r="50" spans="1:27" x14ac:dyDescent="0.35">
      <c r="A50" s="20">
        <f>'Stammdaten - Schwimmer'!A50</f>
        <v>47</v>
      </c>
      <c r="B50" s="21" t="str">
        <f>'Stammdaten - Schwimmer'!B50</f>
        <v>Warga</v>
      </c>
      <c r="C50" s="21" t="str">
        <f>'Stammdaten - Schwimmer'!C50</f>
        <v>Christian</v>
      </c>
      <c r="D50" s="22">
        <f>'Stammdaten - Schwimmer'!J50+'Stammdaten - Schwimmer'!N50+'Stammdaten - Schwimmer'!R50+'Stammdaten - Schwimmer'!V50+'Stammdaten - Schwimmer'!Z51</f>
        <v>31</v>
      </c>
      <c r="E50" s="25">
        <f>'Stammdaten - Schwimmer'!F50</f>
        <v>62</v>
      </c>
      <c r="H50" s="24">
        <f>IF('Stammdaten - Schwimmer'!D50&gt;DATE(2011,7,20),A50,)</f>
        <v>0</v>
      </c>
      <c r="I50" s="24">
        <f>IF('Stammdaten - Schwimmer'!$D50&gt;DATE(2011,7,20),B50,)</f>
        <v>0</v>
      </c>
      <c r="J50" s="24">
        <f>IF('Stammdaten - Schwimmer'!$D50&gt;DATE(2011,7,20),C50,)</f>
        <v>0</v>
      </c>
      <c r="K50" s="22">
        <f>IF('Stammdaten - Schwimmer'!$D50&gt;DATE(2011,7,20),D50,)</f>
        <v>0</v>
      </c>
      <c r="L50" s="24">
        <f>IF('Stammdaten - Schwimmer'!$D50&gt;DATE(2011,7,20),'Stammdaten - Schwimmer'!F50,)</f>
        <v>0</v>
      </c>
      <c r="M50">
        <f t="shared" si="0"/>
        <v>34</v>
      </c>
      <c r="O50" s="24">
        <f>IF(AND('Stammdaten - Schwimmer'!$D50&lt;DATE(2011,7,20),'Stammdaten - Schwimmer'!$D50&gt;DATE(2007,7,19)),A50,)</f>
        <v>0</v>
      </c>
      <c r="P50" s="24">
        <f>IF(AND('Stammdaten - Schwimmer'!$D50&lt;DATE(2011,7,20),'Stammdaten - Schwimmer'!$D50&gt;DATE(2007,7,19)),B50,)</f>
        <v>0</v>
      </c>
      <c r="Q50" s="24">
        <f>IF(AND('Stammdaten - Schwimmer'!$D50&lt;DATE(2011,7,20),'Stammdaten - Schwimmer'!$D50&gt;DATE(2007,7,19)),C50,)</f>
        <v>0</v>
      </c>
      <c r="R50" s="22">
        <f>IF(AND('Stammdaten - Schwimmer'!$D50&lt;DATE(2011,7,20),'Stammdaten - Schwimmer'!$D50&gt;DATE(2007,7,19)),D50,)</f>
        <v>0</v>
      </c>
      <c r="S50" s="25">
        <f>IF(AND('Stammdaten - Schwimmer'!$D50&lt;DATE(2011,7,20),'Stammdaten - Schwimmer'!$D50&gt;DATE(2007,7,19)),'Stammdaten - Schwimmer'!F50,)</f>
        <v>0</v>
      </c>
      <c r="T50">
        <f t="shared" si="1"/>
        <v>11</v>
      </c>
      <c r="V50" s="24">
        <f>IF('Stammdaten - Schwimmer'!$D50&lt;DATE(2007,7,20),A50,)</f>
        <v>47</v>
      </c>
      <c r="W50" s="24" t="str">
        <f>IF('Stammdaten - Schwimmer'!$D50&lt;DATE(2007,7,20),B50,)</f>
        <v>Warga</v>
      </c>
      <c r="X50" s="24" t="str">
        <f>IF('Stammdaten - Schwimmer'!$D50&lt;DATE(2007,7,20),C50,)</f>
        <v>Christian</v>
      </c>
      <c r="Y50" s="22">
        <f>IF('Stammdaten - Schwimmer'!$D50&lt;DATE(2007,7,20),D50,)</f>
        <v>31</v>
      </c>
      <c r="Z50" s="25">
        <f>IF('Stammdaten - Schwimmer'!$D50&lt;DATE(2007,7,20),'Stammdaten - Schwimmer'!F50,)</f>
        <v>62</v>
      </c>
      <c r="AA50">
        <f t="shared" si="2"/>
        <v>10</v>
      </c>
    </row>
    <row r="51" spans="1:27" x14ac:dyDescent="0.35">
      <c r="A51" s="20">
        <f>'Stammdaten - Schwimmer'!A51</f>
        <v>48</v>
      </c>
      <c r="B51" s="21" t="str">
        <f>'Stammdaten - Schwimmer'!B51</f>
        <v>Warga</v>
      </c>
      <c r="C51" s="21" t="str">
        <f>'Stammdaten - Schwimmer'!C51</f>
        <v>Christina</v>
      </c>
      <c r="D51" s="22">
        <f>'Stammdaten - Schwimmer'!J51+'Stammdaten - Schwimmer'!N51+'Stammdaten - Schwimmer'!R51+'Stammdaten - Schwimmer'!V51+'Stammdaten - Schwimmer'!Z52</f>
        <v>64</v>
      </c>
      <c r="E51" s="25">
        <f>'Stammdaten - Schwimmer'!F51</f>
        <v>64</v>
      </c>
      <c r="H51" s="24">
        <f>IF('Stammdaten - Schwimmer'!D51&gt;DATE(2011,7,20),A51,)</f>
        <v>0</v>
      </c>
      <c r="I51" s="24">
        <f>IF('Stammdaten - Schwimmer'!$D51&gt;DATE(2011,7,20),B51,)</f>
        <v>0</v>
      </c>
      <c r="J51" s="24">
        <f>IF('Stammdaten - Schwimmer'!$D51&gt;DATE(2011,7,20),C51,)</f>
        <v>0</v>
      </c>
      <c r="K51" s="22">
        <f>IF('Stammdaten - Schwimmer'!$D51&gt;DATE(2011,7,20),D51,)</f>
        <v>0</v>
      </c>
      <c r="L51" s="24">
        <f>IF('Stammdaten - Schwimmer'!$D51&gt;DATE(2011,7,20),'Stammdaten - Schwimmer'!F51,)</f>
        <v>0</v>
      </c>
      <c r="M51">
        <f t="shared" si="0"/>
        <v>34</v>
      </c>
      <c r="O51" s="24">
        <f>IF(AND('Stammdaten - Schwimmer'!$D51&lt;DATE(2011,7,20),'Stammdaten - Schwimmer'!$D51&gt;DATE(2007,7,19)),A51,)</f>
        <v>0</v>
      </c>
      <c r="P51" s="24">
        <f>IF(AND('Stammdaten - Schwimmer'!$D51&lt;DATE(2011,7,20),'Stammdaten - Schwimmer'!$D51&gt;DATE(2007,7,19)),B51,)</f>
        <v>0</v>
      </c>
      <c r="Q51" s="24">
        <f>IF(AND('Stammdaten - Schwimmer'!$D51&lt;DATE(2011,7,20),'Stammdaten - Schwimmer'!$D51&gt;DATE(2007,7,19)),C51,)</f>
        <v>0</v>
      </c>
      <c r="R51" s="22">
        <f>IF(AND('Stammdaten - Schwimmer'!$D51&lt;DATE(2011,7,20),'Stammdaten - Schwimmer'!$D51&gt;DATE(2007,7,19)),D51,)</f>
        <v>0</v>
      </c>
      <c r="S51" s="25">
        <f>IF(AND('Stammdaten - Schwimmer'!$D51&lt;DATE(2011,7,20),'Stammdaten - Schwimmer'!$D51&gt;DATE(2007,7,19)),'Stammdaten - Schwimmer'!F51,)</f>
        <v>0</v>
      </c>
      <c r="T51">
        <f t="shared" si="1"/>
        <v>11</v>
      </c>
      <c r="V51" s="24">
        <f>IF('Stammdaten - Schwimmer'!$D51&lt;DATE(2007,7,20),A51,)</f>
        <v>48</v>
      </c>
      <c r="W51" s="24" t="str">
        <f>IF('Stammdaten - Schwimmer'!$D51&lt;DATE(2007,7,20),B51,)</f>
        <v>Warga</v>
      </c>
      <c r="X51" s="24" t="str">
        <f>IF('Stammdaten - Schwimmer'!$D51&lt;DATE(2007,7,20),C51,)</f>
        <v>Christina</v>
      </c>
      <c r="Y51" s="22">
        <f>IF('Stammdaten - Schwimmer'!$D51&lt;DATE(2007,7,20),D51,)</f>
        <v>64</v>
      </c>
      <c r="Z51" s="25">
        <f>IF('Stammdaten - Schwimmer'!$D51&lt;DATE(2007,7,20),'Stammdaten - Schwimmer'!F51,)</f>
        <v>64</v>
      </c>
      <c r="AA51">
        <f t="shared" si="2"/>
        <v>9</v>
      </c>
    </row>
    <row r="52" spans="1:27" x14ac:dyDescent="0.35">
      <c r="A52" s="20">
        <f>'Stammdaten - Schwimmer'!A52</f>
        <v>49</v>
      </c>
      <c r="B52" s="21" t="str">
        <f>'Stammdaten - Schwimmer'!B52</f>
        <v>Döber</v>
      </c>
      <c r="C52" s="21" t="str">
        <f>'Stammdaten - Schwimmer'!C52</f>
        <v>Sophie</v>
      </c>
      <c r="D52" s="22">
        <f>'Stammdaten - Schwimmer'!J52+'Stammdaten - Schwimmer'!N52+'Stammdaten - Schwimmer'!R52+'Stammdaten - Schwimmer'!V52+'Stammdaten - Schwimmer'!Z53</f>
        <v>138</v>
      </c>
      <c r="E52" s="25">
        <f>'Stammdaten - Schwimmer'!F52</f>
        <v>92</v>
      </c>
      <c r="H52" s="24">
        <f>IF('Stammdaten - Schwimmer'!D52&gt;DATE(2011,7,20),A52,)</f>
        <v>0</v>
      </c>
      <c r="I52" s="24">
        <f>IF('Stammdaten - Schwimmer'!$D52&gt;DATE(2011,7,20),B52,)</f>
        <v>0</v>
      </c>
      <c r="J52" s="24">
        <f>IF('Stammdaten - Schwimmer'!$D52&gt;DATE(2011,7,20),C52,)</f>
        <v>0</v>
      </c>
      <c r="K52" s="22">
        <f>IF('Stammdaten - Schwimmer'!$D52&gt;DATE(2011,7,20),D52,)</f>
        <v>0</v>
      </c>
      <c r="L52" s="24">
        <f>IF('Stammdaten - Schwimmer'!$D52&gt;DATE(2011,7,20),'Stammdaten - Schwimmer'!F52,)</f>
        <v>0</v>
      </c>
      <c r="M52">
        <f t="shared" si="0"/>
        <v>34</v>
      </c>
      <c r="O52" s="24">
        <f>IF(AND('Stammdaten - Schwimmer'!$D52&lt;DATE(2011,7,20),'Stammdaten - Schwimmer'!$D52&gt;DATE(2007,7,19)),A52,)</f>
        <v>49</v>
      </c>
      <c r="P52" s="24" t="str">
        <f>IF(AND('Stammdaten - Schwimmer'!$D52&lt;DATE(2011,7,20),'Stammdaten - Schwimmer'!$D52&gt;DATE(2007,7,19)),B52,)</f>
        <v>Döber</v>
      </c>
      <c r="Q52" s="24" t="str">
        <f>IF(AND('Stammdaten - Schwimmer'!$D52&lt;DATE(2011,7,20),'Stammdaten - Schwimmer'!$D52&gt;DATE(2007,7,19)),C52,)</f>
        <v>Sophie</v>
      </c>
      <c r="R52" s="22">
        <f>IF(AND('Stammdaten - Schwimmer'!$D52&lt;DATE(2011,7,20),'Stammdaten - Schwimmer'!$D52&gt;DATE(2007,7,19)),D52,)</f>
        <v>138</v>
      </c>
      <c r="S52" s="25">
        <f>IF(AND('Stammdaten - Schwimmer'!$D52&lt;DATE(2011,7,20),'Stammdaten - Schwimmer'!$D52&gt;DATE(2007,7,19)),'Stammdaten - Schwimmer'!F52,)</f>
        <v>92</v>
      </c>
      <c r="T52">
        <f t="shared" si="1"/>
        <v>3</v>
      </c>
      <c r="V52" s="24">
        <f>IF('Stammdaten - Schwimmer'!$D52&lt;DATE(2007,7,20),A52,)</f>
        <v>0</v>
      </c>
      <c r="W52" s="24">
        <f>IF('Stammdaten - Schwimmer'!$D52&lt;DATE(2007,7,20),B52,)</f>
        <v>0</v>
      </c>
      <c r="X52" s="24">
        <f>IF('Stammdaten - Schwimmer'!$D52&lt;DATE(2007,7,20),C52,)</f>
        <v>0</v>
      </c>
      <c r="Y52" s="22">
        <f>IF('Stammdaten - Schwimmer'!$D52&lt;DATE(2007,7,20),D52,)</f>
        <v>0</v>
      </c>
      <c r="Z52" s="25">
        <f>IF('Stammdaten - Schwimmer'!$D52&lt;DATE(2007,7,20),'Stammdaten - Schwimmer'!F52,)</f>
        <v>0</v>
      </c>
      <c r="AA52">
        <f t="shared" si="2"/>
        <v>46</v>
      </c>
    </row>
    <row r="53" spans="1:27" x14ac:dyDescent="0.35">
      <c r="A53" s="20">
        <f>'Stammdaten - Schwimmer'!A53</f>
        <v>50</v>
      </c>
      <c r="B53" s="21" t="str">
        <f>'Stammdaten - Schwimmer'!B53</f>
        <v>Baier</v>
      </c>
      <c r="C53" s="21" t="str">
        <f>'Stammdaten - Schwimmer'!C53</f>
        <v>Emily</v>
      </c>
      <c r="D53" s="22">
        <f>'Stammdaten - Schwimmer'!J53+'Stammdaten - Schwimmer'!N53+'Stammdaten - Schwimmer'!R53+'Stammdaten - Schwimmer'!V53+'Stammdaten - Schwimmer'!Z54</f>
        <v>116</v>
      </c>
      <c r="E53" s="25">
        <f>'Stammdaten - Schwimmer'!F53</f>
        <v>116</v>
      </c>
      <c r="H53" s="24">
        <f>IF('Stammdaten - Schwimmer'!D53&gt;DATE(2011,7,20),A53,)</f>
        <v>50</v>
      </c>
      <c r="I53" s="24" t="str">
        <f>IF('Stammdaten - Schwimmer'!$D53&gt;DATE(2011,7,20),B53,)</f>
        <v>Baier</v>
      </c>
      <c r="J53" s="24" t="str">
        <f>IF('Stammdaten - Schwimmer'!$D53&gt;DATE(2011,7,20),C53,)</f>
        <v>Emily</v>
      </c>
      <c r="K53" s="22">
        <f>IF('Stammdaten - Schwimmer'!$D53&gt;DATE(2011,7,20),D53,)</f>
        <v>116</v>
      </c>
      <c r="L53" s="24">
        <f>IF('Stammdaten - Schwimmer'!$D53&gt;DATE(2011,7,20),'Stammdaten - Schwimmer'!F53,)</f>
        <v>116</v>
      </c>
      <c r="M53">
        <f t="shared" si="0"/>
        <v>3</v>
      </c>
      <c r="O53" s="24">
        <f>IF(AND('Stammdaten - Schwimmer'!$D53&lt;DATE(2011,7,20),'Stammdaten - Schwimmer'!$D53&gt;DATE(2007,7,19)),A53,)</f>
        <v>0</v>
      </c>
      <c r="P53" s="24">
        <f>IF(AND('Stammdaten - Schwimmer'!$D53&lt;DATE(2011,7,20),'Stammdaten - Schwimmer'!$D53&gt;DATE(2007,7,19)),B53,)</f>
        <v>0</v>
      </c>
      <c r="Q53" s="24">
        <f>IF(AND('Stammdaten - Schwimmer'!$D53&lt;DATE(2011,7,20),'Stammdaten - Schwimmer'!$D53&gt;DATE(2007,7,19)),C53,)</f>
        <v>0</v>
      </c>
      <c r="R53" s="22">
        <f>IF(AND('Stammdaten - Schwimmer'!$D53&lt;DATE(2011,7,20),'Stammdaten - Schwimmer'!$D53&gt;DATE(2007,7,19)),D53,)</f>
        <v>0</v>
      </c>
      <c r="S53" s="25">
        <f>IF(AND('Stammdaten - Schwimmer'!$D53&lt;DATE(2011,7,20),'Stammdaten - Schwimmer'!$D53&gt;DATE(2007,7,19)),'Stammdaten - Schwimmer'!F53,)</f>
        <v>0</v>
      </c>
      <c r="T53">
        <f t="shared" si="1"/>
        <v>11</v>
      </c>
      <c r="V53" s="24">
        <f>IF('Stammdaten - Schwimmer'!$D53&lt;DATE(2007,7,20),A53,)</f>
        <v>0</v>
      </c>
      <c r="W53" s="24">
        <f>IF('Stammdaten - Schwimmer'!$D53&lt;DATE(2007,7,20),B53,)</f>
        <v>0</v>
      </c>
      <c r="X53" s="24">
        <f>IF('Stammdaten - Schwimmer'!$D53&lt;DATE(2007,7,20),C53,)</f>
        <v>0</v>
      </c>
      <c r="Y53" s="22">
        <f>IF('Stammdaten - Schwimmer'!$D53&lt;DATE(2007,7,20),D53,)</f>
        <v>0</v>
      </c>
      <c r="Z53" s="25">
        <f>IF('Stammdaten - Schwimmer'!$D53&lt;DATE(2007,7,20),'Stammdaten - Schwimmer'!F53,)</f>
        <v>0</v>
      </c>
      <c r="AA53">
        <f t="shared" si="2"/>
        <v>46</v>
      </c>
    </row>
    <row r="54" spans="1:27" x14ac:dyDescent="0.35">
      <c r="A54" s="20">
        <f>'Stammdaten - Schwimmer'!A54</f>
        <v>51</v>
      </c>
      <c r="B54" s="21" t="str">
        <f>'Stammdaten - Schwimmer'!B54</f>
        <v>Baier</v>
      </c>
      <c r="C54" s="21" t="str">
        <f>'Stammdaten - Schwimmer'!C54</f>
        <v>Louis</v>
      </c>
      <c r="D54" s="22">
        <f>'Stammdaten - Schwimmer'!J54+'Stammdaten - Schwimmer'!N54+'Stammdaten - Schwimmer'!R54+'Stammdaten - Schwimmer'!V54+'Stammdaten - Schwimmer'!Z55</f>
        <v>126</v>
      </c>
      <c r="E54" s="25">
        <f>'Stammdaten - Schwimmer'!F54</f>
        <v>126</v>
      </c>
      <c r="H54" s="24">
        <f>IF('Stammdaten - Schwimmer'!D54&gt;DATE(2011,7,20),A54,)</f>
        <v>51</v>
      </c>
      <c r="I54" s="24" t="str">
        <f>IF('Stammdaten - Schwimmer'!$D54&gt;DATE(2011,7,20),B54,)</f>
        <v>Baier</v>
      </c>
      <c r="J54" s="24" t="str">
        <f>IF('Stammdaten - Schwimmer'!$D54&gt;DATE(2011,7,20),C54,)</f>
        <v>Louis</v>
      </c>
      <c r="K54" s="22">
        <f>IF('Stammdaten - Schwimmer'!$D54&gt;DATE(2011,7,20),D54,)</f>
        <v>126</v>
      </c>
      <c r="L54" s="24">
        <f>IF('Stammdaten - Schwimmer'!$D54&gt;DATE(2011,7,20),'Stammdaten - Schwimmer'!F54,)</f>
        <v>126</v>
      </c>
      <c r="M54">
        <f t="shared" si="0"/>
        <v>2</v>
      </c>
      <c r="O54" s="24">
        <f>IF(AND('Stammdaten - Schwimmer'!$D54&lt;DATE(2011,7,20),'Stammdaten - Schwimmer'!$D54&gt;DATE(2007,7,19)),A54,)</f>
        <v>0</v>
      </c>
      <c r="P54" s="24">
        <f>IF(AND('Stammdaten - Schwimmer'!$D54&lt;DATE(2011,7,20),'Stammdaten - Schwimmer'!$D54&gt;DATE(2007,7,19)),B54,)</f>
        <v>0</v>
      </c>
      <c r="Q54" s="24">
        <f>IF(AND('Stammdaten - Schwimmer'!$D54&lt;DATE(2011,7,20),'Stammdaten - Schwimmer'!$D54&gt;DATE(2007,7,19)),C54,)</f>
        <v>0</v>
      </c>
      <c r="R54" s="22">
        <f>IF(AND('Stammdaten - Schwimmer'!$D54&lt;DATE(2011,7,20),'Stammdaten - Schwimmer'!$D54&gt;DATE(2007,7,19)),D54,)</f>
        <v>0</v>
      </c>
      <c r="S54" s="25">
        <f>IF(AND('Stammdaten - Schwimmer'!$D54&lt;DATE(2011,7,20),'Stammdaten - Schwimmer'!$D54&gt;DATE(2007,7,19)),'Stammdaten - Schwimmer'!F54,)</f>
        <v>0</v>
      </c>
      <c r="T54">
        <f t="shared" si="1"/>
        <v>11</v>
      </c>
      <c r="V54" s="24">
        <f>IF('Stammdaten - Schwimmer'!$D54&lt;DATE(2007,7,20),A54,)</f>
        <v>0</v>
      </c>
      <c r="W54" s="24">
        <f>IF('Stammdaten - Schwimmer'!$D54&lt;DATE(2007,7,20),B54,)</f>
        <v>0</v>
      </c>
      <c r="X54" s="24">
        <f>IF('Stammdaten - Schwimmer'!$D54&lt;DATE(2007,7,20),C54,)</f>
        <v>0</v>
      </c>
      <c r="Y54" s="22">
        <f>IF('Stammdaten - Schwimmer'!$D54&lt;DATE(2007,7,20),D54,)</f>
        <v>0</v>
      </c>
      <c r="Z54" s="25">
        <f>IF('Stammdaten - Schwimmer'!$D54&lt;DATE(2007,7,20),'Stammdaten - Schwimmer'!F54,)</f>
        <v>0</v>
      </c>
      <c r="AA54">
        <f t="shared" si="2"/>
        <v>46</v>
      </c>
    </row>
    <row r="55" spans="1:27" x14ac:dyDescent="0.35">
      <c r="A55" s="20">
        <f>'Stammdaten - Schwimmer'!A55</f>
        <v>52</v>
      </c>
      <c r="B55" s="21" t="str">
        <f>'Stammdaten - Schwimmer'!B55</f>
        <v>Theobald</v>
      </c>
      <c r="C55" s="21" t="str">
        <f>'Stammdaten - Schwimmer'!C55</f>
        <v>Ariane</v>
      </c>
      <c r="D55" s="22">
        <f>'Stammdaten - Schwimmer'!J55+'Stammdaten - Schwimmer'!N55+'Stammdaten - Schwimmer'!R55+'Stammdaten - Schwimmer'!V55+'Stammdaten - Schwimmer'!Z56</f>
        <v>24</v>
      </c>
      <c r="E55" s="25">
        <f>'Stammdaten - Schwimmer'!F55</f>
        <v>24</v>
      </c>
      <c r="H55" s="24">
        <f>IF('Stammdaten - Schwimmer'!D55&gt;DATE(2011,7,20),A55,)</f>
        <v>0</v>
      </c>
      <c r="I55" s="24">
        <f>IF('Stammdaten - Schwimmer'!$D55&gt;DATE(2011,7,20),B55,)</f>
        <v>0</v>
      </c>
      <c r="J55" s="24">
        <f>IF('Stammdaten - Schwimmer'!$D55&gt;DATE(2011,7,20),C55,)</f>
        <v>0</v>
      </c>
      <c r="K55" s="22">
        <f>IF('Stammdaten - Schwimmer'!$D55&gt;DATE(2011,7,20),D55,)</f>
        <v>0</v>
      </c>
      <c r="L55" s="24">
        <f>IF('Stammdaten - Schwimmer'!$D55&gt;DATE(2011,7,20),'Stammdaten - Schwimmer'!F55,)</f>
        <v>0</v>
      </c>
      <c r="M55">
        <f t="shared" si="0"/>
        <v>34</v>
      </c>
      <c r="O55" s="24">
        <f>IF(AND('Stammdaten - Schwimmer'!$D55&lt;DATE(2011,7,20),'Stammdaten - Schwimmer'!$D55&gt;DATE(2007,7,19)),A55,)</f>
        <v>0</v>
      </c>
      <c r="P55" s="24">
        <f>IF(AND('Stammdaten - Schwimmer'!$D55&lt;DATE(2011,7,20),'Stammdaten - Schwimmer'!$D55&gt;DATE(2007,7,19)),B55,)</f>
        <v>0</v>
      </c>
      <c r="Q55" s="24">
        <f>IF(AND('Stammdaten - Schwimmer'!$D55&lt;DATE(2011,7,20),'Stammdaten - Schwimmer'!$D55&gt;DATE(2007,7,19)),C55,)</f>
        <v>0</v>
      </c>
      <c r="R55" s="22">
        <f>IF(AND('Stammdaten - Schwimmer'!$D55&lt;DATE(2011,7,20),'Stammdaten - Schwimmer'!$D55&gt;DATE(2007,7,19)),D55,)</f>
        <v>0</v>
      </c>
      <c r="S55" s="25">
        <f>IF(AND('Stammdaten - Schwimmer'!$D55&lt;DATE(2011,7,20),'Stammdaten - Schwimmer'!$D55&gt;DATE(2007,7,19)),'Stammdaten - Schwimmer'!F55,)</f>
        <v>0</v>
      </c>
      <c r="T55">
        <f t="shared" si="1"/>
        <v>11</v>
      </c>
      <c r="V55" s="24">
        <f>IF('Stammdaten - Schwimmer'!$D55&lt;DATE(2007,7,20),A55,)</f>
        <v>52</v>
      </c>
      <c r="W55" s="24" t="str">
        <f>IF('Stammdaten - Schwimmer'!$D55&lt;DATE(2007,7,20),B55,)</f>
        <v>Theobald</v>
      </c>
      <c r="X55" s="24" t="str">
        <f>IF('Stammdaten - Schwimmer'!$D55&lt;DATE(2007,7,20),C55,)</f>
        <v>Ariane</v>
      </c>
      <c r="Y55" s="22">
        <f>IF('Stammdaten - Schwimmer'!$D55&lt;DATE(2007,7,20),D55,)</f>
        <v>24</v>
      </c>
      <c r="Z55" s="25">
        <f>IF('Stammdaten - Schwimmer'!$D55&lt;DATE(2007,7,20),'Stammdaten - Schwimmer'!F55,)</f>
        <v>24</v>
      </c>
      <c r="AA55">
        <f t="shared" si="2"/>
        <v>38</v>
      </c>
    </row>
    <row r="56" spans="1:27" x14ac:dyDescent="0.35">
      <c r="A56" s="20">
        <f>'Stammdaten - Schwimmer'!A56</f>
        <v>53</v>
      </c>
      <c r="B56" s="21" t="str">
        <f>'Stammdaten - Schwimmer'!B56</f>
        <v>Schulze</v>
      </c>
      <c r="C56" s="21" t="str">
        <f>'Stammdaten - Schwimmer'!C56</f>
        <v>Ulrike</v>
      </c>
      <c r="D56" s="22">
        <f>'Stammdaten - Schwimmer'!J56+'Stammdaten - Schwimmer'!N56+'Stammdaten - Schwimmer'!R56+'Stammdaten - Schwimmer'!V56+'Stammdaten - Schwimmer'!Z57</f>
        <v>62</v>
      </c>
      <c r="E56" s="25">
        <f>'Stammdaten - Schwimmer'!F56</f>
        <v>24</v>
      </c>
      <c r="H56" s="24">
        <f>IF('Stammdaten - Schwimmer'!D56&gt;DATE(2011,7,20),A56,)</f>
        <v>0</v>
      </c>
      <c r="I56" s="24">
        <f>IF('Stammdaten - Schwimmer'!$D56&gt;DATE(2011,7,20),B56,)</f>
        <v>0</v>
      </c>
      <c r="J56" s="24">
        <f>IF('Stammdaten - Schwimmer'!$D56&gt;DATE(2011,7,20),C56,)</f>
        <v>0</v>
      </c>
      <c r="K56" s="22">
        <f>IF('Stammdaten - Schwimmer'!$D56&gt;DATE(2011,7,20),D56,)</f>
        <v>0</v>
      </c>
      <c r="L56" s="24">
        <f>IF('Stammdaten - Schwimmer'!$D56&gt;DATE(2011,7,20),'Stammdaten - Schwimmer'!F56,)</f>
        <v>0</v>
      </c>
      <c r="M56">
        <f t="shared" si="0"/>
        <v>34</v>
      </c>
      <c r="O56" s="24">
        <f>IF(AND('Stammdaten - Schwimmer'!$D56&lt;DATE(2011,7,20),'Stammdaten - Schwimmer'!$D56&gt;DATE(2007,7,19)),A56,)</f>
        <v>0</v>
      </c>
      <c r="P56" s="24">
        <f>IF(AND('Stammdaten - Schwimmer'!$D56&lt;DATE(2011,7,20),'Stammdaten - Schwimmer'!$D56&gt;DATE(2007,7,19)),B56,)</f>
        <v>0</v>
      </c>
      <c r="Q56" s="24">
        <f>IF(AND('Stammdaten - Schwimmer'!$D56&lt;DATE(2011,7,20),'Stammdaten - Schwimmer'!$D56&gt;DATE(2007,7,19)),C56,)</f>
        <v>0</v>
      </c>
      <c r="R56" s="22">
        <f>IF(AND('Stammdaten - Schwimmer'!$D56&lt;DATE(2011,7,20),'Stammdaten - Schwimmer'!$D56&gt;DATE(2007,7,19)),D56,)</f>
        <v>0</v>
      </c>
      <c r="S56" s="25">
        <f>IF(AND('Stammdaten - Schwimmer'!$D56&lt;DATE(2011,7,20),'Stammdaten - Schwimmer'!$D56&gt;DATE(2007,7,19)),'Stammdaten - Schwimmer'!F56,)</f>
        <v>0</v>
      </c>
      <c r="T56">
        <f t="shared" si="1"/>
        <v>11</v>
      </c>
      <c r="V56" s="24">
        <f>IF('Stammdaten - Schwimmer'!$D56&lt;DATE(2007,7,20),A56,)</f>
        <v>53</v>
      </c>
      <c r="W56" s="24" t="str">
        <f>IF('Stammdaten - Schwimmer'!$D56&lt;DATE(2007,7,20),B56,)</f>
        <v>Schulze</v>
      </c>
      <c r="X56" s="24" t="str">
        <f>IF('Stammdaten - Schwimmer'!$D56&lt;DATE(2007,7,20),C56,)</f>
        <v>Ulrike</v>
      </c>
      <c r="Y56" s="22">
        <f>IF('Stammdaten - Schwimmer'!$D56&lt;DATE(2007,7,20),D56,)</f>
        <v>62</v>
      </c>
      <c r="Z56" s="25">
        <f>IF('Stammdaten - Schwimmer'!$D56&lt;DATE(2007,7,20),'Stammdaten - Schwimmer'!F56,)</f>
        <v>24</v>
      </c>
      <c r="AA56">
        <f t="shared" si="2"/>
        <v>38</v>
      </c>
    </row>
    <row r="57" spans="1:27" x14ac:dyDescent="0.35">
      <c r="A57" s="20">
        <f>'Stammdaten - Schwimmer'!A57</f>
        <v>54</v>
      </c>
      <c r="B57" s="21" t="str">
        <f>'Stammdaten - Schwimmer'!B57</f>
        <v>Künzemüller</v>
      </c>
      <c r="C57" s="21" t="str">
        <f>'Stammdaten - Schwimmer'!C57</f>
        <v>Klaus</v>
      </c>
      <c r="D57" s="22">
        <f>'Stammdaten - Schwimmer'!J57+'Stammdaten - Schwimmer'!N57+'Stammdaten - Schwimmer'!R57+'Stammdaten - Schwimmer'!V57+'Stammdaten - Schwimmer'!Z58</f>
        <v>22</v>
      </c>
      <c r="E57" s="25">
        <f>'Stammdaten - Schwimmer'!F57</f>
        <v>44</v>
      </c>
      <c r="H57" s="24">
        <f>IF('Stammdaten - Schwimmer'!D57&gt;DATE(2011,7,20),A57,)</f>
        <v>0</v>
      </c>
      <c r="I57" s="24">
        <f>IF('Stammdaten - Schwimmer'!$D57&gt;DATE(2011,7,20),B57,)</f>
        <v>0</v>
      </c>
      <c r="J57" s="24">
        <f>IF('Stammdaten - Schwimmer'!$D57&gt;DATE(2011,7,20),C57,)</f>
        <v>0</v>
      </c>
      <c r="K57" s="22">
        <f>IF('Stammdaten - Schwimmer'!$D57&gt;DATE(2011,7,20),D57,)</f>
        <v>0</v>
      </c>
      <c r="L57" s="24">
        <f>IF('Stammdaten - Schwimmer'!$D57&gt;DATE(2011,7,20),'Stammdaten - Schwimmer'!F57,)</f>
        <v>0</v>
      </c>
      <c r="M57">
        <f t="shared" si="0"/>
        <v>34</v>
      </c>
      <c r="O57" s="24">
        <f>IF(AND('Stammdaten - Schwimmer'!$D57&lt;DATE(2011,7,20),'Stammdaten - Schwimmer'!$D57&gt;DATE(2007,7,19)),A57,)</f>
        <v>0</v>
      </c>
      <c r="P57" s="24">
        <f>IF(AND('Stammdaten - Schwimmer'!$D57&lt;DATE(2011,7,20),'Stammdaten - Schwimmer'!$D57&gt;DATE(2007,7,19)),B57,)</f>
        <v>0</v>
      </c>
      <c r="Q57" s="24">
        <f>IF(AND('Stammdaten - Schwimmer'!$D57&lt;DATE(2011,7,20),'Stammdaten - Schwimmer'!$D57&gt;DATE(2007,7,19)),C57,)</f>
        <v>0</v>
      </c>
      <c r="R57" s="22">
        <f>IF(AND('Stammdaten - Schwimmer'!$D57&lt;DATE(2011,7,20),'Stammdaten - Schwimmer'!$D57&gt;DATE(2007,7,19)),D57,)</f>
        <v>0</v>
      </c>
      <c r="S57" s="25">
        <f>IF(AND('Stammdaten - Schwimmer'!$D57&lt;DATE(2011,7,20),'Stammdaten - Schwimmer'!$D57&gt;DATE(2007,7,19)),'Stammdaten - Schwimmer'!F57,)</f>
        <v>0</v>
      </c>
      <c r="T57">
        <f t="shared" si="1"/>
        <v>11</v>
      </c>
      <c r="V57" s="24">
        <f>IF('Stammdaten - Schwimmer'!$D57&lt;DATE(2007,7,20),A57,)</f>
        <v>54</v>
      </c>
      <c r="W57" s="24" t="str">
        <f>IF('Stammdaten - Schwimmer'!$D57&lt;DATE(2007,7,20),B57,)</f>
        <v>Künzemüller</v>
      </c>
      <c r="X57" s="24" t="str">
        <f>IF('Stammdaten - Schwimmer'!$D57&lt;DATE(2007,7,20),C57,)</f>
        <v>Klaus</v>
      </c>
      <c r="Y57" s="22">
        <f>IF('Stammdaten - Schwimmer'!$D57&lt;DATE(2007,7,20),D57,)</f>
        <v>22</v>
      </c>
      <c r="Z57" s="25">
        <f>IF('Stammdaten - Schwimmer'!$D57&lt;DATE(2007,7,20),'Stammdaten - Schwimmer'!F57,)</f>
        <v>44</v>
      </c>
      <c r="AA57">
        <f t="shared" si="2"/>
        <v>23</v>
      </c>
    </row>
    <row r="58" spans="1:27" x14ac:dyDescent="0.35">
      <c r="A58" s="20">
        <f>'Stammdaten - Schwimmer'!A58</f>
        <v>55</v>
      </c>
      <c r="B58" s="21" t="str">
        <f>'Stammdaten - Schwimmer'!B58</f>
        <v>Murschel</v>
      </c>
      <c r="C58" s="21" t="str">
        <f>'Stammdaten - Schwimmer'!C58</f>
        <v>Sophia</v>
      </c>
      <c r="D58" s="22">
        <f>'Stammdaten - Schwimmer'!J58+'Stammdaten - Schwimmer'!N58+'Stammdaten - Schwimmer'!R58+'Stammdaten - Schwimmer'!V58+'Stammdaten - Schwimmer'!Z59</f>
        <v>71</v>
      </c>
      <c r="E58" s="25">
        <f>'Stammdaten - Schwimmer'!F58</f>
        <v>42</v>
      </c>
      <c r="H58" s="24">
        <f>IF('Stammdaten - Schwimmer'!D58&gt;DATE(2011,7,20),A58,)</f>
        <v>0</v>
      </c>
      <c r="I58" s="24">
        <f>IF('Stammdaten - Schwimmer'!$D58&gt;DATE(2011,7,20),B58,)</f>
        <v>0</v>
      </c>
      <c r="J58" s="24">
        <f>IF('Stammdaten - Schwimmer'!$D58&gt;DATE(2011,7,20),C58,)</f>
        <v>0</v>
      </c>
      <c r="K58" s="22">
        <f>IF('Stammdaten - Schwimmer'!$D58&gt;DATE(2011,7,20),D58,)</f>
        <v>0</v>
      </c>
      <c r="L58" s="24">
        <f>IF('Stammdaten - Schwimmer'!$D58&gt;DATE(2011,7,20),'Stammdaten - Schwimmer'!F58,)</f>
        <v>0</v>
      </c>
      <c r="M58">
        <f t="shared" si="0"/>
        <v>34</v>
      </c>
      <c r="O58" s="24">
        <f>IF(AND('Stammdaten - Schwimmer'!$D58&lt;DATE(2011,7,20),'Stammdaten - Schwimmer'!$D58&gt;DATE(2007,7,19)),A58,)</f>
        <v>0</v>
      </c>
      <c r="P58" s="24">
        <f>IF(AND('Stammdaten - Schwimmer'!$D58&lt;DATE(2011,7,20),'Stammdaten - Schwimmer'!$D58&gt;DATE(2007,7,19)),B58,)</f>
        <v>0</v>
      </c>
      <c r="Q58" s="24">
        <f>IF(AND('Stammdaten - Schwimmer'!$D58&lt;DATE(2011,7,20),'Stammdaten - Schwimmer'!$D58&gt;DATE(2007,7,19)),C58,)</f>
        <v>0</v>
      </c>
      <c r="R58" s="22">
        <f>IF(AND('Stammdaten - Schwimmer'!$D58&lt;DATE(2011,7,20),'Stammdaten - Schwimmer'!$D58&gt;DATE(2007,7,19)),D58,)</f>
        <v>0</v>
      </c>
      <c r="S58" s="25">
        <f>IF(AND('Stammdaten - Schwimmer'!$D58&lt;DATE(2011,7,20),'Stammdaten - Schwimmer'!$D58&gt;DATE(2007,7,19)),'Stammdaten - Schwimmer'!F58,)</f>
        <v>0</v>
      </c>
      <c r="T58">
        <f t="shared" si="1"/>
        <v>11</v>
      </c>
      <c r="V58" s="24">
        <f>IF('Stammdaten - Schwimmer'!$D58&lt;DATE(2007,7,20),A58,)</f>
        <v>55</v>
      </c>
      <c r="W58" s="24" t="str">
        <f>IF('Stammdaten - Schwimmer'!$D58&lt;DATE(2007,7,20),B58,)</f>
        <v>Murschel</v>
      </c>
      <c r="X58" s="24" t="str">
        <f>IF('Stammdaten - Schwimmer'!$D58&lt;DATE(2007,7,20),C58,)</f>
        <v>Sophia</v>
      </c>
      <c r="Y58" s="22">
        <f>IF('Stammdaten - Schwimmer'!$D58&lt;DATE(2007,7,20),D58,)</f>
        <v>71</v>
      </c>
      <c r="Z58" s="25">
        <f>IF('Stammdaten - Schwimmer'!$D58&lt;DATE(2007,7,20),'Stammdaten - Schwimmer'!F58,)</f>
        <v>42</v>
      </c>
      <c r="AA58">
        <f t="shared" si="2"/>
        <v>25</v>
      </c>
    </row>
    <row r="59" spans="1:27" x14ac:dyDescent="0.35">
      <c r="A59" s="20">
        <f>'Stammdaten - Schwimmer'!A59</f>
        <v>56</v>
      </c>
      <c r="B59" s="21" t="str">
        <f>'Stammdaten - Schwimmer'!B59</f>
        <v>Buch</v>
      </c>
      <c r="C59" s="21" t="str">
        <f>'Stammdaten - Schwimmer'!C59</f>
        <v>Rüdiger</v>
      </c>
      <c r="D59" s="22">
        <f>'Stammdaten - Schwimmer'!J59+'Stammdaten - Schwimmer'!N59+'Stammdaten - Schwimmer'!R59+'Stammdaten - Schwimmer'!V59+'Stammdaten - Schwimmer'!Z60</f>
        <v>10</v>
      </c>
      <c r="E59" s="25">
        <f>'Stammdaten - Schwimmer'!F59</f>
        <v>12</v>
      </c>
      <c r="H59" s="24">
        <f>IF('Stammdaten - Schwimmer'!D59&gt;DATE(2011,7,20),A59,)</f>
        <v>0</v>
      </c>
      <c r="I59" s="24">
        <f>IF('Stammdaten - Schwimmer'!$D59&gt;DATE(2011,7,20),B59,)</f>
        <v>0</v>
      </c>
      <c r="J59" s="24">
        <f>IF('Stammdaten - Schwimmer'!$D59&gt;DATE(2011,7,20),C59,)</f>
        <v>0</v>
      </c>
      <c r="K59" s="22">
        <f>IF('Stammdaten - Schwimmer'!$D59&gt;DATE(2011,7,20),D59,)</f>
        <v>0</v>
      </c>
      <c r="L59" s="24">
        <f>IF('Stammdaten - Schwimmer'!$D59&gt;DATE(2011,7,20),'Stammdaten - Schwimmer'!F59,)</f>
        <v>0</v>
      </c>
      <c r="M59">
        <f t="shared" si="0"/>
        <v>34</v>
      </c>
      <c r="O59" s="24">
        <f>IF(AND('Stammdaten - Schwimmer'!$D59&lt;DATE(2011,7,20),'Stammdaten - Schwimmer'!$D59&gt;DATE(2007,7,19)),A59,)</f>
        <v>0</v>
      </c>
      <c r="P59" s="24">
        <f>IF(AND('Stammdaten - Schwimmer'!$D59&lt;DATE(2011,7,20),'Stammdaten - Schwimmer'!$D59&gt;DATE(2007,7,19)),B59,)</f>
        <v>0</v>
      </c>
      <c r="Q59" s="24">
        <f>IF(AND('Stammdaten - Schwimmer'!$D59&lt;DATE(2011,7,20),'Stammdaten - Schwimmer'!$D59&gt;DATE(2007,7,19)),C59,)</f>
        <v>0</v>
      </c>
      <c r="R59" s="22">
        <f>IF(AND('Stammdaten - Schwimmer'!$D59&lt;DATE(2011,7,20),'Stammdaten - Schwimmer'!$D59&gt;DATE(2007,7,19)),D59,)</f>
        <v>0</v>
      </c>
      <c r="S59" s="25">
        <f>IF(AND('Stammdaten - Schwimmer'!$D59&lt;DATE(2011,7,20),'Stammdaten - Schwimmer'!$D59&gt;DATE(2007,7,19)),'Stammdaten - Schwimmer'!F59,)</f>
        <v>0</v>
      </c>
      <c r="T59">
        <f t="shared" si="1"/>
        <v>11</v>
      </c>
      <c r="V59" s="24">
        <f>IF('Stammdaten - Schwimmer'!$D59&lt;DATE(2007,7,20),A59,)</f>
        <v>56</v>
      </c>
      <c r="W59" s="24" t="str">
        <f>IF('Stammdaten - Schwimmer'!$D59&lt;DATE(2007,7,20),B59,)</f>
        <v>Buch</v>
      </c>
      <c r="X59" s="24" t="str">
        <f>IF('Stammdaten - Schwimmer'!$D59&lt;DATE(2007,7,20),C59,)</f>
        <v>Rüdiger</v>
      </c>
      <c r="Y59" s="22">
        <f>IF('Stammdaten - Schwimmer'!$D59&lt;DATE(2007,7,20),D59,)</f>
        <v>10</v>
      </c>
      <c r="Z59" s="25">
        <f>IF('Stammdaten - Schwimmer'!$D59&lt;DATE(2007,7,20),'Stammdaten - Schwimmer'!F59,)</f>
        <v>12</v>
      </c>
      <c r="AA59">
        <f t="shared" si="2"/>
        <v>44</v>
      </c>
    </row>
    <row r="60" spans="1:27" x14ac:dyDescent="0.35">
      <c r="A60" s="20">
        <f>'Stammdaten - Schwimmer'!A60</f>
        <v>57</v>
      </c>
      <c r="B60" s="21" t="str">
        <f>'Stammdaten - Schwimmer'!B60</f>
        <v>Hecker</v>
      </c>
      <c r="C60" s="21" t="str">
        <f>'Stammdaten - Schwimmer'!C60</f>
        <v>Floyd</v>
      </c>
      <c r="D60" s="22">
        <f>'Stammdaten - Schwimmer'!J60+'Stammdaten - Schwimmer'!N60+'Stammdaten - Schwimmer'!R60+'Stammdaten - Schwimmer'!V60+'Stammdaten - Schwimmer'!Z61</f>
        <v>0</v>
      </c>
      <c r="E60" s="25">
        <f>'Stammdaten - Schwimmer'!F60</f>
        <v>0</v>
      </c>
      <c r="H60" s="24">
        <f>IF('Stammdaten - Schwimmer'!D60&gt;DATE(2011,7,20),A60,)</f>
        <v>57</v>
      </c>
      <c r="I60" s="24" t="str">
        <f>IF('Stammdaten - Schwimmer'!$D60&gt;DATE(2011,7,20),B60,)</f>
        <v>Hecker</v>
      </c>
      <c r="J60" s="24" t="str">
        <f>IF('Stammdaten - Schwimmer'!$D60&gt;DATE(2011,7,20),C60,)</f>
        <v>Floyd</v>
      </c>
      <c r="K60" s="22">
        <f>IF('Stammdaten - Schwimmer'!$D60&gt;DATE(2011,7,20),D60,)</f>
        <v>0</v>
      </c>
      <c r="L60" s="24">
        <f>IF('Stammdaten - Schwimmer'!$D60&gt;DATE(2011,7,20),'Stammdaten - Schwimmer'!F60,)</f>
        <v>0</v>
      </c>
      <c r="M60">
        <f t="shared" si="0"/>
        <v>34</v>
      </c>
      <c r="O60" s="24">
        <f>IF(AND('Stammdaten - Schwimmer'!$D60&lt;DATE(2011,7,20),'Stammdaten - Schwimmer'!$D60&gt;DATE(2007,7,19)),A60,)</f>
        <v>0</v>
      </c>
      <c r="P60" s="24">
        <f>IF(AND('Stammdaten - Schwimmer'!$D60&lt;DATE(2011,7,20),'Stammdaten - Schwimmer'!$D60&gt;DATE(2007,7,19)),B60,)</f>
        <v>0</v>
      </c>
      <c r="Q60" s="24">
        <f>IF(AND('Stammdaten - Schwimmer'!$D60&lt;DATE(2011,7,20),'Stammdaten - Schwimmer'!$D60&gt;DATE(2007,7,19)),C60,)</f>
        <v>0</v>
      </c>
      <c r="R60" s="22">
        <f>IF(AND('Stammdaten - Schwimmer'!$D60&lt;DATE(2011,7,20),'Stammdaten - Schwimmer'!$D60&gt;DATE(2007,7,19)),D60,)</f>
        <v>0</v>
      </c>
      <c r="S60" s="25">
        <f>IF(AND('Stammdaten - Schwimmer'!$D60&lt;DATE(2011,7,20),'Stammdaten - Schwimmer'!$D60&gt;DATE(2007,7,19)),'Stammdaten - Schwimmer'!F60,)</f>
        <v>0</v>
      </c>
      <c r="T60">
        <f t="shared" si="1"/>
        <v>11</v>
      </c>
      <c r="V60" s="24">
        <f>IF('Stammdaten - Schwimmer'!$D60&lt;DATE(2007,7,20),A60,)</f>
        <v>0</v>
      </c>
      <c r="W60" s="24">
        <f>IF('Stammdaten - Schwimmer'!$D60&lt;DATE(2007,7,20),B60,)</f>
        <v>0</v>
      </c>
      <c r="X60" s="24">
        <f>IF('Stammdaten - Schwimmer'!$D60&lt;DATE(2007,7,20),C60,)</f>
        <v>0</v>
      </c>
      <c r="Y60" s="22">
        <f>IF('Stammdaten - Schwimmer'!$D60&lt;DATE(2007,7,20),D60,)</f>
        <v>0</v>
      </c>
      <c r="Z60" s="25">
        <f>IF('Stammdaten - Schwimmer'!$D60&lt;DATE(2007,7,20),'Stammdaten - Schwimmer'!F60,)</f>
        <v>0</v>
      </c>
      <c r="AA60">
        <f t="shared" si="2"/>
        <v>46</v>
      </c>
    </row>
    <row r="61" spans="1:27" x14ac:dyDescent="0.35">
      <c r="A61" s="20">
        <f>'Stammdaten - Schwimmer'!A61</f>
        <v>58</v>
      </c>
      <c r="B61" s="21" t="str">
        <f>'Stammdaten - Schwimmer'!B61</f>
        <v>Zu</v>
      </c>
      <c r="C61" s="21" t="str">
        <f>'Stammdaten - Schwimmer'!C61</f>
        <v>Yanqi</v>
      </c>
      <c r="D61" s="22">
        <f>'Stammdaten - Schwimmer'!J61+'Stammdaten - Schwimmer'!N61+'Stammdaten - Schwimmer'!R61+'Stammdaten - Schwimmer'!V61+'Stammdaten - Schwimmer'!Z62</f>
        <v>16</v>
      </c>
      <c r="E61" s="25">
        <f>'Stammdaten - Schwimmer'!F61</f>
        <v>16</v>
      </c>
      <c r="H61" s="24">
        <f>IF('Stammdaten - Schwimmer'!D61&gt;DATE(2011,7,20),A61,)</f>
        <v>0</v>
      </c>
      <c r="I61" s="24">
        <f>IF('Stammdaten - Schwimmer'!$D61&gt;DATE(2011,7,20),B61,)</f>
        <v>0</v>
      </c>
      <c r="J61" s="24">
        <f>IF('Stammdaten - Schwimmer'!$D61&gt;DATE(2011,7,20),C61,)</f>
        <v>0</v>
      </c>
      <c r="K61" s="22">
        <f>IF('Stammdaten - Schwimmer'!$D61&gt;DATE(2011,7,20),D61,)</f>
        <v>0</v>
      </c>
      <c r="L61" s="24">
        <f>IF('Stammdaten - Schwimmer'!$D61&gt;DATE(2011,7,20),'Stammdaten - Schwimmer'!F61,)</f>
        <v>0</v>
      </c>
      <c r="M61">
        <f t="shared" si="0"/>
        <v>34</v>
      </c>
      <c r="O61" s="24">
        <f>IF(AND('Stammdaten - Schwimmer'!$D61&lt;DATE(2011,7,20),'Stammdaten - Schwimmer'!$D61&gt;DATE(2007,7,19)),A61,)</f>
        <v>0</v>
      </c>
      <c r="P61" s="24">
        <f>IF(AND('Stammdaten - Schwimmer'!$D61&lt;DATE(2011,7,20),'Stammdaten - Schwimmer'!$D61&gt;DATE(2007,7,19)),B61,)</f>
        <v>0</v>
      </c>
      <c r="Q61" s="24">
        <f>IF(AND('Stammdaten - Schwimmer'!$D61&lt;DATE(2011,7,20),'Stammdaten - Schwimmer'!$D61&gt;DATE(2007,7,19)),C61,)</f>
        <v>0</v>
      </c>
      <c r="R61" s="22">
        <f>IF(AND('Stammdaten - Schwimmer'!$D61&lt;DATE(2011,7,20),'Stammdaten - Schwimmer'!$D61&gt;DATE(2007,7,19)),D61,)</f>
        <v>0</v>
      </c>
      <c r="S61" s="25">
        <f>IF(AND('Stammdaten - Schwimmer'!$D61&lt;DATE(2011,7,20),'Stammdaten - Schwimmer'!$D61&gt;DATE(2007,7,19)),'Stammdaten - Schwimmer'!F61,)</f>
        <v>0</v>
      </c>
      <c r="T61">
        <f t="shared" si="1"/>
        <v>11</v>
      </c>
      <c r="V61" s="24">
        <f>IF('Stammdaten - Schwimmer'!$D61&lt;DATE(2007,7,20),A61,)</f>
        <v>58</v>
      </c>
      <c r="W61" s="24" t="str">
        <f>IF('Stammdaten - Schwimmer'!$D61&lt;DATE(2007,7,20),B61,)</f>
        <v>Zu</v>
      </c>
      <c r="X61" s="24" t="str">
        <f>IF('Stammdaten - Schwimmer'!$D61&lt;DATE(2007,7,20),C61,)</f>
        <v>Yanqi</v>
      </c>
      <c r="Y61" s="22">
        <f>IF('Stammdaten - Schwimmer'!$D61&lt;DATE(2007,7,20),D61,)</f>
        <v>16</v>
      </c>
      <c r="Z61" s="25">
        <f>IF('Stammdaten - Schwimmer'!$D61&lt;DATE(2007,7,20),'Stammdaten - Schwimmer'!F61,)</f>
        <v>16</v>
      </c>
      <c r="AA61">
        <f t="shared" si="2"/>
        <v>43</v>
      </c>
    </row>
    <row r="62" spans="1:27" x14ac:dyDescent="0.35">
      <c r="A62" s="20">
        <f>'Stammdaten - Schwimmer'!A62</f>
        <v>59</v>
      </c>
      <c r="B62" s="21" t="str">
        <f>'Stammdaten - Schwimmer'!B62</f>
        <v>Zimmermann</v>
      </c>
      <c r="C62" s="21" t="str">
        <f>'Stammdaten - Schwimmer'!C62</f>
        <v>Inge</v>
      </c>
      <c r="D62" s="22">
        <f>'Stammdaten - Schwimmer'!J62+'Stammdaten - Schwimmer'!N62+'Stammdaten - Schwimmer'!R62+'Stammdaten - Schwimmer'!V62+'Stammdaten - Schwimmer'!Z63</f>
        <v>22</v>
      </c>
      <c r="E62" s="25">
        <f>'Stammdaten - Schwimmer'!F62</f>
        <v>22</v>
      </c>
      <c r="H62" s="24">
        <f>IF('Stammdaten - Schwimmer'!D62&gt;DATE(2011,7,20),A62,)</f>
        <v>0</v>
      </c>
      <c r="I62" s="24">
        <f>IF('Stammdaten - Schwimmer'!$D62&gt;DATE(2011,7,20),B62,)</f>
        <v>0</v>
      </c>
      <c r="J62" s="24">
        <f>IF('Stammdaten - Schwimmer'!$D62&gt;DATE(2011,7,20),C62,)</f>
        <v>0</v>
      </c>
      <c r="K62" s="22">
        <f>IF('Stammdaten - Schwimmer'!$D62&gt;DATE(2011,7,20),D62,)</f>
        <v>0</v>
      </c>
      <c r="L62" s="24">
        <f>IF('Stammdaten - Schwimmer'!$D62&gt;DATE(2011,7,20),'Stammdaten - Schwimmer'!F62,)</f>
        <v>0</v>
      </c>
      <c r="M62">
        <f t="shared" si="0"/>
        <v>34</v>
      </c>
      <c r="O62" s="24">
        <f>IF(AND('Stammdaten - Schwimmer'!$D62&lt;DATE(2011,7,20),'Stammdaten - Schwimmer'!$D62&gt;DATE(2007,7,19)),A62,)</f>
        <v>0</v>
      </c>
      <c r="P62" s="24">
        <f>IF(AND('Stammdaten - Schwimmer'!$D62&lt;DATE(2011,7,20),'Stammdaten - Schwimmer'!$D62&gt;DATE(2007,7,19)),B62,)</f>
        <v>0</v>
      </c>
      <c r="Q62" s="24">
        <f>IF(AND('Stammdaten - Schwimmer'!$D62&lt;DATE(2011,7,20),'Stammdaten - Schwimmer'!$D62&gt;DATE(2007,7,19)),C62,)</f>
        <v>0</v>
      </c>
      <c r="R62" s="22">
        <f>IF(AND('Stammdaten - Schwimmer'!$D62&lt;DATE(2011,7,20),'Stammdaten - Schwimmer'!$D62&gt;DATE(2007,7,19)),D62,)</f>
        <v>0</v>
      </c>
      <c r="S62" s="25">
        <f>IF(AND('Stammdaten - Schwimmer'!$D62&lt;DATE(2011,7,20),'Stammdaten - Schwimmer'!$D62&gt;DATE(2007,7,19)),'Stammdaten - Schwimmer'!F62,)</f>
        <v>0</v>
      </c>
      <c r="T62">
        <f t="shared" si="1"/>
        <v>11</v>
      </c>
      <c r="V62" s="24">
        <f>IF('Stammdaten - Schwimmer'!$D62&lt;DATE(2007,7,20),A62,)</f>
        <v>59</v>
      </c>
      <c r="W62" s="24" t="str">
        <f>IF('Stammdaten - Schwimmer'!$D62&lt;DATE(2007,7,20),B62,)</f>
        <v>Zimmermann</v>
      </c>
      <c r="X62" s="24" t="str">
        <f>IF('Stammdaten - Schwimmer'!$D62&lt;DATE(2007,7,20),C62,)</f>
        <v>Inge</v>
      </c>
      <c r="Y62" s="22">
        <f>IF('Stammdaten - Schwimmer'!$D62&lt;DATE(2007,7,20),D62,)</f>
        <v>22</v>
      </c>
      <c r="Z62" s="25">
        <f>IF('Stammdaten - Schwimmer'!$D62&lt;DATE(2007,7,20),'Stammdaten - Schwimmer'!F62,)</f>
        <v>22</v>
      </c>
      <c r="AA62">
        <f t="shared" si="2"/>
        <v>40</v>
      </c>
    </row>
    <row r="63" spans="1:27" x14ac:dyDescent="0.35">
      <c r="A63" s="20">
        <f>'Stammdaten - Schwimmer'!A63</f>
        <v>60</v>
      </c>
      <c r="B63" s="21" t="str">
        <f>'Stammdaten - Schwimmer'!B63</f>
        <v>Vorreiter</v>
      </c>
      <c r="C63" s="21" t="str">
        <f>'Stammdaten - Schwimmer'!C63</f>
        <v>Pia</v>
      </c>
      <c r="D63" s="22">
        <f>'Stammdaten - Schwimmer'!J63+'Stammdaten - Schwimmer'!N63+'Stammdaten - Schwimmer'!R63+'Stammdaten - Schwimmer'!V63+'Stammdaten - Schwimmer'!Z64</f>
        <v>48</v>
      </c>
      <c r="E63" s="25">
        <f>'Stammdaten - Schwimmer'!F63</f>
        <v>96</v>
      </c>
      <c r="H63" s="24">
        <f>IF('Stammdaten - Schwimmer'!D63&gt;DATE(2011,7,20),A63,)</f>
        <v>60</v>
      </c>
      <c r="I63" s="24" t="str">
        <f>IF('Stammdaten - Schwimmer'!$D63&gt;DATE(2011,7,20),B63,)</f>
        <v>Vorreiter</v>
      </c>
      <c r="J63" s="24" t="str">
        <f>IF('Stammdaten - Schwimmer'!$D63&gt;DATE(2011,7,20),C63,)</f>
        <v>Pia</v>
      </c>
      <c r="K63" s="22">
        <f>IF('Stammdaten - Schwimmer'!$D63&gt;DATE(2011,7,20),D63,)</f>
        <v>48</v>
      </c>
      <c r="L63" s="24">
        <f>IF('Stammdaten - Schwimmer'!$D63&gt;DATE(2011,7,20),'Stammdaten - Schwimmer'!F63,)</f>
        <v>96</v>
      </c>
      <c r="M63">
        <f t="shared" si="0"/>
        <v>5</v>
      </c>
      <c r="O63" s="24">
        <f>IF(AND('Stammdaten - Schwimmer'!$D63&lt;DATE(2011,7,20),'Stammdaten - Schwimmer'!$D63&gt;DATE(2007,7,19)),A63,)</f>
        <v>0</v>
      </c>
      <c r="P63" s="24">
        <f>IF(AND('Stammdaten - Schwimmer'!$D63&lt;DATE(2011,7,20),'Stammdaten - Schwimmer'!$D63&gt;DATE(2007,7,19)),B63,)</f>
        <v>0</v>
      </c>
      <c r="Q63" s="24">
        <f>IF(AND('Stammdaten - Schwimmer'!$D63&lt;DATE(2011,7,20),'Stammdaten - Schwimmer'!$D63&gt;DATE(2007,7,19)),C63,)</f>
        <v>0</v>
      </c>
      <c r="R63" s="22">
        <f>IF(AND('Stammdaten - Schwimmer'!$D63&lt;DATE(2011,7,20),'Stammdaten - Schwimmer'!$D63&gt;DATE(2007,7,19)),D63,)</f>
        <v>0</v>
      </c>
      <c r="S63" s="25">
        <f>IF(AND('Stammdaten - Schwimmer'!$D63&lt;DATE(2011,7,20),'Stammdaten - Schwimmer'!$D63&gt;DATE(2007,7,19)),'Stammdaten - Schwimmer'!F63,)</f>
        <v>0</v>
      </c>
      <c r="T63">
        <f t="shared" si="1"/>
        <v>11</v>
      </c>
      <c r="V63" s="24">
        <f>IF('Stammdaten - Schwimmer'!$D63&lt;DATE(2007,7,20),A63,)</f>
        <v>0</v>
      </c>
      <c r="W63" s="24">
        <f>IF('Stammdaten - Schwimmer'!$D63&lt;DATE(2007,7,20),B63,)</f>
        <v>0</v>
      </c>
      <c r="X63" s="24">
        <f>IF('Stammdaten - Schwimmer'!$D63&lt;DATE(2007,7,20),C63,)</f>
        <v>0</v>
      </c>
      <c r="Y63" s="22">
        <f>IF('Stammdaten - Schwimmer'!$D63&lt;DATE(2007,7,20),D63,)</f>
        <v>0</v>
      </c>
      <c r="Z63" s="25">
        <f>IF('Stammdaten - Schwimmer'!$D63&lt;DATE(2007,7,20),'Stammdaten - Schwimmer'!F63,)</f>
        <v>0</v>
      </c>
      <c r="AA63">
        <f t="shared" si="2"/>
        <v>46</v>
      </c>
    </row>
    <row r="64" spans="1:27" x14ac:dyDescent="0.35">
      <c r="A64" s="20">
        <f>'Stammdaten - Schwimmer'!A64</f>
        <v>61</v>
      </c>
      <c r="B64" s="21" t="str">
        <f>'Stammdaten - Schwimmer'!B64</f>
        <v>Vorreiter</v>
      </c>
      <c r="C64" s="21" t="str">
        <f>'Stammdaten - Schwimmer'!C64</f>
        <v>Lene</v>
      </c>
      <c r="D64" s="22">
        <f>'Stammdaten - Schwimmer'!J64+'Stammdaten - Schwimmer'!N64+'Stammdaten - Schwimmer'!R64+'Stammdaten - Schwimmer'!V64+'Stammdaten - Schwimmer'!Z65</f>
        <v>34</v>
      </c>
      <c r="E64" s="25">
        <f>'Stammdaten - Schwimmer'!F64</f>
        <v>68</v>
      </c>
      <c r="H64" s="24">
        <f>IF('Stammdaten - Schwimmer'!D64&gt;DATE(2011,7,20),A64,)</f>
        <v>0</v>
      </c>
      <c r="I64" s="24">
        <f>IF('Stammdaten - Schwimmer'!$D64&gt;DATE(2011,7,20),B64,)</f>
        <v>0</v>
      </c>
      <c r="J64" s="24">
        <f>IF('Stammdaten - Schwimmer'!$D64&gt;DATE(2011,7,20),C64,)</f>
        <v>0</v>
      </c>
      <c r="K64" s="22">
        <f>IF('Stammdaten - Schwimmer'!$D64&gt;DATE(2011,7,20),D64,)</f>
        <v>0</v>
      </c>
      <c r="L64" s="24">
        <f>IF('Stammdaten - Schwimmer'!$D64&gt;DATE(2011,7,20),'Stammdaten - Schwimmer'!F64,)</f>
        <v>0</v>
      </c>
      <c r="M64">
        <f t="shared" si="0"/>
        <v>34</v>
      </c>
      <c r="O64" s="24">
        <f>IF(AND('Stammdaten - Schwimmer'!$D64&lt;DATE(2011,7,20),'Stammdaten - Schwimmer'!$D64&gt;DATE(2007,7,19)),A64,)</f>
        <v>61</v>
      </c>
      <c r="P64" s="24" t="str">
        <f>IF(AND('Stammdaten - Schwimmer'!$D64&lt;DATE(2011,7,20),'Stammdaten - Schwimmer'!$D64&gt;DATE(2007,7,19)),B64,)</f>
        <v>Vorreiter</v>
      </c>
      <c r="Q64" s="24" t="str">
        <f>IF(AND('Stammdaten - Schwimmer'!$D64&lt;DATE(2011,7,20),'Stammdaten - Schwimmer'!$D64&gt;DATE(2007,7,19)),C64,)</f>
        <v>Lene</v>
      </c>
      <c r="R64" s="22">
        <f>IF(AND('Stammdaten - Schwimmer'!$D64&lt;DATE(2011,7,20),'Stammdaten - Schwimmer'!$D64&gt;DATE(2007,7,19)),D64,)</f>
        <v>34</v>
      </c>
      <c r="S64" s="25">
        <f>IF(AND('Stammdaten - Schwimmer'!$D64&lt;DATE(2011,7,20),'Stammdaten - Schwimmer'!$D64&gt;DATE(2007,7,19)),'Stammdaten - Schwimmer'!F64,)</f>
        <v>68</v>
      </c>
      <c r="T64">
        <f t="shared" si="1"/>
        <v>4</v>
      </c>
      <c r="V64" s="24">
        <f>IF('Stammdaten - Schwimmer'!$D64&lt;DATE(2007,7,20),A64,)</f>
        <v>0</v>
      </c>
      <c r="W64" s="24">
        <f>IF('Stammdaten - Schwimmer'!$D64&lt;DATE(2007,7,20),B64,)</f>
        <v>0</v>
      </c>
      <c r="X64" s="24">
        <f>IF('Stammdaten - Schwimmer'!$D64&lt;DATE(2007,7,20),C64,)</f>
        <v>0</v>
      </c>
      <c r="Y64" s="22">
        <f>IF('Stammdaten - Schwimmer'!$D64&lt;DATE(2007,7,20),D64,)</f>
        <v>0</v>
      </c>
      <c r="Z64" s="25">
        <f>IF('Stammdaten - Schwimmer'!$D64&lt;DATE(2007,7,20),'Stammdaten - Schwimmer'!F64,)</f>
        <v>0</v>
      </c>
      <c r="AA64">
        <f t="shared" si="2"/>
        <v>46</v>
      </c>
    </row>
    <row r="65" spans="1:27" x14ac:dyDescent="0.35">
      <c r="A65" s="20">
        <f>'Stammdaten - Schwimmer'!A65</f>
        <v>62</v>
      </c>
      <c r="B65" s="21" t="str">
        <f>'Stammdaten - Schwimmer'!B65</f>
        <v>Rink</v>
      </c>
      <c r="C65" s="21" t="str">
        <f>'Stammdaten - Schwimmer'!C65</f>
        <v>Bärbel</v>
      </c>
      <c r="D65" s="22">
        <f>'Stammdaten - Schwimmer'!J65+'Stammdaten - Schwimmer'!N65+'Stammdaten - Schwimmer'!R65+'Stammdaten - Schwimmer'!V65+'Stammdaten - Schwimmer'!Z66</f>
        <v>23</v>
      </c>
      <c r="E65" s="25">
        <f>'Stammdaten - Schwimmer'!F65</f>
        <v>46</v>
      </c>
      <c r="H65" s="24">
        <f>IF('Stammdaten - Schwimmer'!D65&gt;DATE(2011,7,20),A65,)</f>
        <v>0</v>
      </c>
      <c r="I65" s="24">
        <f>IF('Stammdaten - Schwimmer'!$D65&gt;DATE(2011,7,20),B65,)</f>
        <v>0</v>
      </c>
      <c r="J65" s="24">
        <f>IF('Stammdaten - Schwimmer'!$D65&gt;DATE(2011,7,20),C65,)</f>
        <v>0</v>
      </c>
      <c r="K65" s="22">
        <f>IF('Stammdaten - Schwimmer'!$D65&gt;DATE(2011,7,20),D65,)</f>
        <v>0</v>
      </c>
      <c r="L65" s="24">
        <f>IF('Stammdaten - Schwimmer'!$D65&gt;DATE(2011,7,20),'Stammdaten - Schwimmer'!F65,)</f>
        <v>0</v>
      </c>
      <c r="M65">
        <f t="shared" si="0"/>
        <v>34</v>
      </c>
      <c r="O65" s="24">
        <f>IF(AND('Stammdaten - Schwimmer'!$D65&lt;DATE(2011,7,20),'Stammdaten - Schwimmer'!$D65&gt;DATE(2007,7,19)),A65,)</f>
        <v>0</v>
      </c>
      <c r="P65" s="24">
        <f>IF(AND('Stammdaten - Schwimmer'!$D65&lt;DATE(2011,7,20),'Stammdaten - Schwimmer'!$D65&gt;DATE(2007,7,19)),B65,)</f>
        <v>0</v>
      </c>
      <c r="Q65" s="24">
        <f>IF(AND('Stammdaten - Schwimmer'!$D65&lt;DATE(2011,7,20),'Stammdaten - Schwimmer'!$D65&gt;DATE(2007,7,19)),C65,)</f>
        <v>0</v>
      </c>
      <c r="R65" s="22">
        <f>IF(AND('Stammdaten - Schwimmer'!$D65&lt;DATE(2011,7,20),'Stammdaten - Schwimmer'!$D65&gt;DATE(2007,7,19)),D65,)</f>
        <v>0</v>
      </c>
      <c r="S65" s="25">
        <f>IF(AND('Stammdaten - Schwimmer'!$D65&lt;DATE(2011,7,20),'Stammdaten - Schwimmer'!$D65&gt;DATE(2007,7,19)),'Stammdaten - Schwimmer'!F65,)</f>
        <v>0</v>
      </c>
      <c r="T65">
        <f t="shared" si="1"/>
        <v>11</v>
      </c>
      <c r="V65" s="24">
        <f>IF('Stammdaten - Schwimmer'!$D65&lt;DATE(2007,7,20),A65,)</f>
        <v>62</v>
      </c>
      <c r="W65" s="24" t="str">
        <f>IF('Stammdaten - Schwimmer'!$D65&lt;DATE(2007,7,20),B65,)</f>
        <v>Rink</v>
      </c>
      <c r="X65" s="24" t="str">
        <f>IF('Stammdaten - Schwimmer'!$D65&lt;DATE(2007,7,20),C65,)</f>
        <v>Bärbel</v>
      </c>
      <c r="Y65" s="22">
        <f>IF('Stammdaten - Schwimmer'!$D65&lt;DATE(2007,7,20),D65,)</f>
        <v>23</v>
      </c>
      <c r="Z65" s="25">
        <f>IF('Stammdaten - Schwimmer'!$D65&lt;DATE(2007,7,20),'Stammdaten - Schwimmer'!F65,)</f>
        <v>46</v>
      </c>
      <c r="AA65">
        <f t="shared" si="2"/>
        <v>20</v>
      </c>
    </row>
    <row r="66" spans="1:27" x14ac:dyDescent="0.35">
      <c r="A66" s="20">
        <f>'Stammdaten - Schwimmer'!A66</f>
        <v>63</v>
      </c>
      <c r="B66" s="21" t="str">
        <f>'Stammdaten - Schwimmer'!B66</f>
        <v>Rink</v>
      </c>
      <c r="C66" s="21" t="str">
        <f>'Stammdaten - Schwimmer'!C66</f>
        <v>Wiebke</v>
      </c>
      <c r="D66" s="22">
        <f>'Stammdaten - Schwimmer'!J66+'Stammdaten - Schwimmer'!N66+'Stammdaten - Schwimmer'!R66+'Stammdaten - Schwimmer'!V66+'Stammdaten - Schwimmer'!Z67</f>
        <v>95</v>
      </c>
      <c r="E66" s="25">
        <f>'Stammdaten - Schwimmer'!F66</f>
        <v>76</v>
      </c>
      <c r="H66" s="24">
        <f>IF('Stammdaten - Schwimmer'!D66&gt;DATE(2011,7,20),A66,)</f>
        <v>0</v>
      </c>
      <c r="I66" s="24">
        <f>IF('Stammdaten - Schwimmer'!$D66&gt;DATE(2011,7,20),B66,)</f>
        <v>0</v>
      </c>
      <c r="J66" s="24">
        <f>IF('Stammdaten - Schwimmer'!$D66&gt;DATE(2011,7,20),C66,)</f>
        <v>0</v>
      </c>
      <c r="K66" s="22">
        <f>IF('Stammdaten - Schwimmer'!$D66&gt;DATE(2011,7,20),D66,)</f>
        <v>0</v>
      </c>
      <c r="L66" s="24">
        <f>IF('Stammdaten - Schwimmer'!$D66&gt;DATE(2011,7,20),'Stammdaten - Schwimmer'!F66,)</f>
        <v>0</v>
      </c>
      <c r="M66">
        <f t="shared" si="0"/>
        <v>34</v>
      </c>
      <c r="O66" s="24">
        <f>IF(AND('Stammdaten - Schwimmer'!$D66&lt;DATE(2011,7,20),'Stammdaten - Schwimmer'!$D66&gt;DATE(2007,7,19)),A66,)</f>
        <v>0</v>
      </c>
      <c r="P66" s="24">
        <f>IF(AND('Stammdaten - Schwimmer'!$D66&lt;DATE(2011,7,20),'Stammdaten - Schwimmer'!$D66&gt;DATE(2007,7,19)),B66,)</f>
        <v>0</v>
      </c>
      <c r="Q66" s="24">
        <f>IF(AND('Stammdaten - Schwimmer'!$D66&lt;DATE(2011,7,20),'Stammdaten - Schwimmer'!$D66&gt;DATE(2007,7,19)),C66,)</f>
        <v>0</v>
      </c>
      <c r="R66" s="22">
        <f>IF(AND('Stammdaten - Schwimmer'!$D66&lt;DATE(2011,7,20),'Stammdaten - Schwimmer'!$D66&gt;DATE(2007,7,19)),D66,)</f>
        <v>0</v>
      </c>
      <c r="S66" s="25">
        <f>IF(AND('Stammdaten - Schwimmer'!$D66&lt;DATE(2011,7,20),'Stammdaten - Schwimmer'!$D66&gt;DATE(2007,7,19)),'Stammdaten - Schwimmer'!F66,)</f>
        <v>0</v>
      </c>
      <c r="T66">
        <f t="shared" si="1"/>
        <v>11</v>
      </c>
      <c r="V66" s="24">
        <f>IF('Stammdaten - Schwimmer'!$D66&lt;DATE(2007,7,20),A66,)</f>
        <v>63</v>
      </c>
      <c r="W66" s="24" t="str">
        <f>IF('Stammdaten - Schwimmer'!$D66&lt;DATE(2007,7,20),B66,)</f>
        <v>Rink</v>
      </c>
      <c r="X66" s="24" t="str">
        <f>IF('Stammdaten - Schwimmer'!$D66&lt;DATE(2007,7,20),C66,)</f>
        <v>Wiebke</v>
      </c>
      <c r="Y66" s="22">
        <f>IF('Stammdaten - Schwimmer'!$D66&lt;DATE(2007,7,20),D66,)</f>
        <v>95</v>
      </c>
      <c r="Z66" s="25">
        <f>IF('Stammdaten - Schwimmer'!$D66&lt;DATE(2007,7,20),'Stammdaten - Schwimmer'!F66,)</f>
        <v>76</v>
      </c>
      <c r="AA66">
        <f t="shared" si="2"/>
        <v>5</v>
      </c>
    </row>
    <row r="67" spans="1:27" x14ac:dyDescent="0.35">
      <c r="A67" s="20">
        <f>'Stammdaten - Schwimmer'!A67</f>
        <v>64</v>
      </c>
      <c r="B67" s="21" t="str">
        <f>'Stammdaten - Schwimmer'!B67</f>
        <v>Rink</v>
      </c>
      <c r="C67" s="21" t="str">
        <f>'Stammdaten - Schwimmer'!C67</f>
        <v>Henrik</v>
      </c>
      <c r="D67" s="22">
        <f>'Stammdaten - Schwimmer'!J67+'Stammdaten - Schwimmer'!N67+'Stammdaten - Schwimmer'!R67+'Stammdaten - Schwimmer'!V67+'Stammdaten - Schwimmer'!Z68</f>
        <v>17.5</v>
      </c>
      <c r="E67" s="25">
        <f>'Stammdaten - Schwimmer'!F67</f>
        <v>14</v>
      </c>
      <c r="H67" s="24">
        <f>IF('Stammdaten - Schwimmer'!D67&gt;DATE(2011,7,20),A67,)</f>
        <v>64</v>
      </c>
      <c r="I67" s="24" t="str">
        <f>IF('Stammdaten - Schwimmer'!$D67&gt;DATE(2011,7,20),B67,)</f>
        <v>Rink</v>
      </c>
      <c r="J67" s="24" t="str">
        <f>IF('Stammdaten - Schwimmer'!$D67&gt;DATE(2011,7,20),C67,)</f>
        <v>Henrik</v>
      </c>
      <c r="K67" s="22">
        <f>IF('Stammdaten - Schwimmer'!$D67&gt;DATE(2011,7,20),D67,)</f>
        <v>17.5</v>
      </c>
      <c r="L67" s="24">
        <f>IF('Stammdaten - Schwimmer'!$D67&gt;DATE(2011,7,20),'Stammdaten - Schwimmer'!F67,)</f>
        <v>14</v>
      </c>
      <c r="M67">
        <f t="shared" si="0"/>
        <v>30</v>
      </c>
      <c r="O67" s="24">
        <f>IF(AND('Stammdaten - Schwimmer'!$D67&lt;DATE(2011,7,20),'Stammdaten - Schwimmer'!$D67&gt;DATE(2007,7,19)),A67,)</f>
        <v>0</v>
      </c>
      <c r="P67" s="24">
        <f>IF(AND('Stammdaten - Schwimmer'!$D67&lt;DATE(2011,7,20),'Stammdaten - Schwimmer'!$D67&gt;DATE(2007,7,19)),B67,)</f>
        <v>0</v>
      </c>
      <c r="Q67" s="24">
        <f>IF(AND('Stammdaten - Schwimmer'!$D67&lt;DATE(2011,7,20),'Stammdaten - Schwimmer'!$D67&gt;DATE(2007,7,19)),C67,)</f>
        <v>0</v>
      </c>
      <c r="R67" s="22">
        <f>IF(AND('Stammdaten - Schwimmer'!$D67&lt;DATE(2011,7,20),'Stammdaten - Schwimmer'!$D67&gt;DATE(2007,7,19)),D67,)</f>
        <v>0</v>
      </c>
      <c r="S67" s="25">
        <f>IF(AND('Stammdaten - Schwimmer'!$D67&lt;DATE(2011,7,20),'Stammdaten - Schwimmer'!$D67&gt;DATE(2007,7,19)),'Stammdaten - Schwimmer'!F67,)</f>
        <v>0</v>
      </c>
      <c r="T67">
        <f t="shared" si="1"/>
        <v>11</v>
      </c>
      <c r="V67" s="24">
        <f>IF('Stammdaten - Schwimmer'!$D67&lt;DATE(2007,7,20),A67,)</f>
        <v>0</v>
      </c>
      <c r="W67" s="24">
        <f>IF('Stammdaten - Schwimmer'!$D67&lt;DATE(2007,7,20),B67,)</f>
        <v>0</v>
      </c>
      <c r="X67" s="24">
        <f>IF('Stammdaten - Schwimmer'!$D67&lt;DATE(2007,7,20),C67,)</f>
        <v>0</v>
      </c>
      <c r="Y67" s="22">
        <f>IF('Stammdaten - Schwimmer'!$D67&lt;DATE(2007,7,20),D67,)</f>
        <v>0</v>
      </c>
      <c r="Z67" s="25">
        <f>IF('Stammdaten - Schwimmer'!$D67&lt;DATE(2007,7,20),'Stammdaten - Schwimmer'!F67,)</f>
        <v>0</v>
      </c>
      <c r="AA67">
        <f t="shared" si="2"/>
        <v>46</v>
      </c>
    </row>
    <row r="68" spans="1:27" x14ac:dyDescent="0.35">
      <c r="A68" s="20">
        <f>'Stammdaten - Schwimmer'!A68</f>
        <v>65</v>
      </c>
      <c r="B68" s="21" t="str">
        <f>'Stammdaten - Schwimmer'!B68</f>
        <v>Faller</v>
      </c>
      <c r="C68" s="21" t="str">
        <f>'Stammdaten - Schwimmer'!C68</f>
        <v>Petra</v>
      </c>
      <c r="D68" s="22">
        <f>'Stammdaten - Schwimmer'!J68+'Stammdaten - Schwimmer'!N68+'Stammdaten - Schwimmer'!R68+'Stammdaten - Schwimmer'!V68+'Stammdaten - Schwimmer'!Z69</f>
        <v>26</v>
      </c>
      <c r="E68" s="25">
        <f>'Stammdaten - Schwimmer'!F68</f>
        <v>52</v>
      </c>
      <c r="H68" s="24">
        <f>IF('Stammdaten - Schwimmer'!D68&gt;DATE(2011,7,20),A68,)</f>
        <v>0</v>
      </c>
      <c r="I68" s="24">
        <f>IF('Stammdaten - Schwimmer'!$D68&gt;DATE(2011,7,20),B68,)</f>
        <v>0</v>
      </c>
      <c r="J68" s="24">
        <f>IF('Stammdaten - Schwimmer'!$D68&gt;DATE(2011,7,20),C68,)</f>
        <v>0</v>
      </c>
      <c r="K68" s="22">
        <f>IF('Stammdaten - Schwimmer'!$D68&gt;DATE(2011,7,20),D68,)</f>
        <v>0</v>
      </c>
      <c r="L68" s="24">
        <f>IF('Stammdaten - Schwimmer'!$D68&gt;DATE(2011,7,20),'Stammdaten - Schwimmer'!F68,)</f>
        <v>0</v>
      </c>
      <c r="M68">
        <f t="shared" si="0"/>
        <v>34</v>
      </c>
      <c r="O68" s="24">
        <f>IF(AND('Stammdaten - Schwimmer'!$D68&lt;DATE(2011,7,20),'Stammdaten - Schwimmer'!$D68&gt;DATE(2007,7,19)),A68,)</f>
        <v>0</v>
      </c>
      <c r="P68" s="24">
        <f>IF(AND('Stammdaten - Schwimmer'!$D68&lt;DATE(2011,7,20),'Stammdaten - Schwimmer'!$D68&gt;DATE(2007,7,19)),B68,)</f>
        <v>0</v>
      </c>
      <c r="Q68" s="24">
        <f>IF(AND('Stammdaten - Schwimmer'!$D68&lt;DATE(2011,7,20),'Stammdaten - Schwimmer'!$D68&gt;DATE(2007,7,19)),C68,)</f>
        <v>0</v>
      </c>
      <c r="R68" s="22">
        <f>IF(AND('Stammdaten - Schwimmer'!$D68&lt;DATE(2011,7,20),'Stammdaten - Schwimmer'!$D68&gt;DATE(2007,7,19)),D68,)</f>
        <v>0</v>
      </c>
      <c r="S68" s="25">
        <f>IF(AND('Stammdaten - Schwimmer'!$D68&lt;DATE(2011,7,20),'Stammdaten - Schwimmer'!$D68&gt;DATE(2007,7,19)),'Stammdaten - Schwimmer'!F68,)</f>
        <v>0</v>
      </c>
      <c r="T68">
        <f t="shared" si="1"/>
        <v>11</v>
      </c>
      <c r="V68" s="24">
        <f>IF('Stammdaten - Schwimmer'!$D68&lt;DATE(2007,7,20),A68,)</f>
        <v>65</v>
      </c>
      <c r="W68" s="24" t="str">
        <f>IF('Stammdaten - Schwimmer'!$D68&lt;DATE(2007,7,20),B68,)</f>
        <v>Faller</v>
      </c>
      <c r="X68" s="24" t="str">
        <f>IF('Stammdaten - Schwimmer'!$D68&lt;DATE(2007,7,20),C68,)</f>
        <v>Petra</v>
      </c>
      <c r="Y68" s="22">
        <f>IF('Stammdaten - Schwimmer'!$D68&lt;DATE(2007,7,20),D68,)</f>
        <v>26</v>
      </c>
      <c r="Z68" s="25">
        <f>IF('Stammdaten - Schwimmer'!$D68&lt;DATE(2007,7,20),'Stammdaten - Schwimmer'!F68,)</f>
        <v>52</v>
      </c>
      <c r="AA68">
        <f t="shared" si="2"/>
        <v>15</v>
      </c>
    </row>
    <row r="69" spans="1:27" x14ac:dyDescent="0.35">
      <c r="A69" s="20">
        <f>'Stammdaten - Schwimmer'!A69</f>
        <v>66</v>
      </c>
      <c r="B69" s="21" t="str">
        <f>'Stammdaten - Schwimmer'!B69</f>
        <v>Faller</v>
      </c>
      <c r="C69" s="21" t="str">
        <f>'Stammdaten - Schwimmer'!C69</f>
        <v>Simon</v>
      </c>
      <c r="D69" s="22">
        <f>'Stammdaten - Schwimmer'!J69+'Stammdaten - Schwimmer'!N69+'Stammdaten - Schwimmer'!R69+'Stammdaten - Schwimmer'!V69+'Stammdaten - Schwimmer'!Z70</f>
        <v>20</v>
      </c>
      <c r="E69" s="25">
        <f>'Stammdaten - Schwimmer'!F69</f>
        <v>40</v>
      </c>
      <c r="H69" s="24">
        <f>IF('Stammdaten - Schwimmer'!D69&gt;DATE(2011,7,20),A69,)</f>
        <v>0</v>
      </c>
      <c r="I69" s="24">
        <f>IF('Stammdaten - Schwimmer'!$D69&gt;DATE(2011,7,20),B69,)</f>
        <v>0</v>
      </c>
      <c r="J69" s="24">
        <f>IF('Stammdaten - Schwimmer'!$D69&gt;DATE(2011,7,20),C69,)</f>
        <v>0</v>
      </c>
      <c r="K69" s="22">
        <f>IF('Stammdaten - Schwimmer'!$D69&gt;DATE(2011,7,20),D69,)</f>
        <v>0</v>
      </c>
      <c r="L69" s="24">
        <f>IF('Stammdaten - Schwimmer'!$D69&gt;DATE(2011,7,20),'Stammdaten - Schwimmer'!F69,)</f>
        <v>0</v>
      </c>
      <c r="M69">
        <f t="shared" ref="M69:M103" si="3">_xlfn.RANK.EQ(L69,L$4:L$103,0)</f>
        <v>34</v>
      </c>
      <c r="O69" s="24">
        <f>IF(AND('Stammdaten - Schwimmer'!$D69&lt;DATE(2011,7,20),'Stammdaten - Schwimmer'!$D69&gt;DATE(2007,7,19)),A69,)</f>
        <v>66</v>
      </c>
      <c r="P69" s="24" t="str">
        <f>IF(AND('Stammdaten - Schwimmer'!$D69&lt;DATE(2011,7,20),'Stammdaten - Schwimmer'!$D69&gt;DATE(2007,7,19)),B69,)</f>
        <v>Faller</v>
      </c>
      <c r="Q69" s="24" t="str">
        <f>IF(AND('Stammdaten - Schwimmer'!$D69&lt;DATE(2011,7,20),'Stammdaten - Schwimmer'!$D69&gt;DATE(2007,7,19)),C69,)</f>
        <v>Simon</v>
      </c>
      <c r="R69" s="22">
        <f>IF(AND('Stammdaten - Schwimmer'!$D69&lt;DATE(2011,7,20),'Stammdaten - Schwimmer'!$D69&gt;DATE(2007,7,19)),D69,)</f>
        <v>20</v>
      </c>
      <c r="S69" s="25">
        <f>IF(AND('Stammdaten - Schwimmer'!$D69&lt;DATE(2011,7,20),'Stammdaten - Schwimmer'!$D69&gt;DATE(2007,7,19)),'Stammdaten - Schwimmer'!F69,)</f>
        <v>40</v>
      </c>
      <c r="T69">
        <f t="shared" ref="T69:T103" si="4">_xlfn.RANK.EQ(S69,S$4:S$103,0)</f>
        <v>7</v>
      </c>
      <c r="V69" s="24">
        <f>IF('Stammdaten - Schwimmer'!$D69&lt;DATE(2007,7,20),A69,)</f>
        <v>0</v>
      </c>
      <c r="W69" s="24">
        <f>IF('Stammdaten - Schwimmer'!$D69&lt;DATE(2007,7,20),B69,)</f>
        <v>0</v>
      </c>
      <c r="X69" s="24">
        <f>IF('Stammdaten - Schwimmer'!$D69&lt;DATE(2007,7,20),C69,)</f>
        <v>0</v>
      </c>
      <c r="Y69" s="22">
        <f>IF('Stammdaten - Schwimmer'!$D69&lt;DATE(2007,7,20),D69,)</f>
        <v>0</v>
      </c>
      <c r="Z69" s="25">
        <f>IF('Stammdaten - Schwimmer'!$D69&lt;DATE(2007,7,20),'Stammdaten - Schwimmer'!F69,)</f>
        <v>0</v>
      </c>
      <c r="AA69">
        <f t="shared" ref="AA69:AA103" si="5">_xlfn.RANK.EQ(Z69,Z$4:Z$103,0)</f>
        <v>46</v>
      </c>
    </row>
    <row r="70" spans="1:27" x14ac:dyDescent="0.35">
      <c r="A70" s="20">
        <f>'Stammdaten - Schwimmer'!A70</f>
        <v>67</v>
      </c>
      <c r="B70" s="21" t="str">
        <f>'Stammdaten - Schwimmer'!B70</f>
        <v>Fam. Müller</v>
      </c>
      <c r="C70" s="21">
        <f>'Stammdaten - Schwimmer'!C70</f>
        <v>4</v>
      </c>
      <c r="D70" s="22">
        <f>'Stammdaten - Schwimmer'!J70+'Stammdaten - Schwimmer'!N70+'Stammdaten - Schwimmer'!R70+'Stammdaten - Schwimmer'!V70+'Stammdaten - Schwimmer'!Z71</f>
        <v>20</v>
      </c>
      <c r="E70" s="25">
        <f>'Stammdaten - Schwimmer'!F70</f>
        <v>36</v>
      </c>
      <c r="H70" s="24">
        <f>IF('Stammdaten - Schwimmer'!D70&gt;DATE(2011,7,20),A70,)</f>
        <v>0</v>
      </c>
      <c r="I70" s="24">
        <f>IF('Stammdaten - Schwimmer'!$D70&gt;DATE(2011,7,20),B70,)</f>
        <v>0</v>
      </c>
      <c r="J70" s="24">
        <f>IF('Stammdaten - Schwimmer'!$D70&gt;DATE(2011,7,20),C70,)</f>
        <v>0</v>
      </c>
      <c r="K70" s="22">
        <f>IF('Stammdaten - Schwimmer'!$D70&gt;DATE(2011,7,20),D70,)</f>
        <v>0</v>
      </c>
      <c r="L70" s="24">
        <f>IF('Stammdaten - Schwimmer'!$D70&gt;DATE(2011,7,20),'Stammdaten - Schwimmer'!F70,)</f>
        <v>0</v>
      </c>
      <c r="M70">
        <f t="shared" si="3"/>
        <v>34</v>
      </c>
      <c r="O70" s="24">
        <f>IF(AND('Stammdaten - Schwimmer'!$D70&lt;DATE(2011,7,20),'Stammdaten - Schwimmer'!$D70&gt;DATE(2007,7,19)),A70,)</f>
        <v>0</v>
      </c>
      <c r="P70" s="24">
        <f>IF(AND('Stammdaten - Schwimmer'!$D70&lt;DATE(2011,7,20),'Stammdaten - Schwimmer'!$D70&gt;DATE(2007,7,19)),B70,)</f>
        <v>0</v>
      </c>
      <c r="Q70" s="24">
        <f>IF(AND('Stammdaten - Schwimmer'!$D70&lt;DATE(2011,7,20),'Stammdaten - Schwimmer'!$D70&gt;DATE(2007,7,19)),C70,)</f>
        <v>0</v>
      </c>
      <c r="R70" s="22">
        <f>IF(AND('Stammdaten - Schwimmer'!$D70&lt;DATE(2011,7,20),'Stammdaten - Schwimmer'!$D70&gt;DATE(2007,7,19)),D70,)</f>
        <v>0</v>
      </c>
      <c r="S70" s="25">
        <f>IF(AND('Stammdaten - Schwimmer'!$D70&lt;DATE(2011,7,20),'Stammdaten - Schwimmer'!$D70&gt;DATE(2007,7,19)),'Stammdaten - Schwimmer'!F70,)</f>
        <v>0</v>
      </c>
      <c r="T70">
        <f t="shared" si="4"/>
        <v>11</v>
      </c>
      <c r="V70" s="24">
        <f>IF('Stammdaten - Schwimmer'!$D70&lt;DATE(2007,7,20),A70,)</f>
        <v>67</v>
      </c>
      <c r="W70" s="24" t="str">
        <f>IF('Stammdaten - Schwimmer'!$D70&lt;DATE(2007,7,20),B70,)</f>
        <v>Fam. Müller</v>
      </c>
      <c r="X70" s="24">
        <f>IF('Stammdaten - Schwimmer'!$D70&lt;DATE(2007,7,20),C70,)</f>
        <v>4</v>
      </c>
      <c r="Y70" s="22">
        <f>IF('Stammdaten - Schwimmer'!$D70&lt;DATE(2007,7,20),D70,)</f>
        <v>20</v>
      </c>
      <c r="Z70" s="25">
        <f>IF('Stammdaten - Schwimmer'!$D70&lt;DATE(2007,7,20),'Stammdaten - Schwimmer'!F70,)</f>
        <v>36</v>
      </c>
      <c r="AA70">
        <f t="shared" si="5"/>
        <v>35</v>
      </c>
    </row>
    <row r="71" spans="1:27" x14ac:dyDescent="0.35">
      <c r="A71" s="20">
        <f>'Stammdaten - Schwimmer'!A71</f>
        <v>68</v>
      </c>
      <c r="B71" s="21" t="str">
        <f>'Stammdaten - Schwimmer'!B71</f>
        <v>Kombacher</v>
      </c>
      <c r="C71" s="21" t="str">
        <f>'Stammdaten - Schwimmer'!C71</f>
        <v>Sara</v>
      </c>
      <c r="D71" s="22">
        <f>'Stammdaten - Schwimmer'!J71+'Stammdaten - Schwimmer'!N71+'Stammdaten - Schwimmer'!R71+'Stammdaten - Schwimmer'!V71+'Stammdaten - Schwimmer'!Z72</f>
        <v>136</v>
      </c>
      <c r="E71" s="25">
        <f>'Stammdaten - Schwimmer'!F71</f>
        <v>68</v>
      </c>
      <c r="H71" s="24">
        <f>IF('Stammdaten - Schwimmer'!D71&gt;DATE(2011,7,20),A71,)</f>
        <v>68</v>
      </c>
      <c r="I71" s="24" t="str">
        <f>IF('Stammdaten - Schwimmer'!$D71&gt;DATE(2011,7,20),B71,)</f>
        <v>Kombacher</v>
      </c>
      <c r="J71" s="24" t="str">
        <f>IF('Stammdaten - Schwimmer'!$D71&gt;DATE(2011,7,20),C71,)</f>
        <v>Sara</v>
      </c>
      <c r="K71" s="22">
        <f>IF('Stammdaten - Schwimmer'!$D71&gt;DATE(2011,7,20),D71,)</f>
        <v>136</v>
      </c>
      <c r="L71" s="24">
        <f>IF('Stammdaten - Schwimmer'!$D71&gt;DATE(2011,7,20),'Stammdaten - Schwimmer'!F71,)</f>
        <v>68</v>
      </c>
      <c r="M71">
        <f t="shared" si="3"/>
        <v>16</v>
      </c>
      <c r="O71" s="24">
        <f>IF(AND('Stammdaten - Schwimmer'!$D71&lt;DATE(2011,7,20),'Stammdaten - Schwimmer'!$D71&gt;DATE(2007,7,19)),A71,)</f>
        <v>0</v>
      </c>
      <c r="P71" s="24">
        <f>IF(AND('Stammdaten - Schwimmer'!$D71&lt;DATE(2011,7,20),'Stammdaten - Schwimmer'!$D71&gt;DATE(2007,7,19)),B71,)</f>
        <v>0</v>
      </c>
      <c r="Q71" s="24">
        <f>IF(AND('Stammdaten - Schwimmer'!$D71&lt;DATE(2011,7,20),'Stammdaten - Schwimmer'!$D71&gt;DATE(2007,7,19)),C71,)</f>
        <v>0</v>
      </c>
      <c r="R71" s="22">
        <f>IF(AND('Stammdaten - Schwimmer'!$D71&lt;DATE(2011,7,20),'Stammdaten - Schwimmer'!$D71&gt;DATE(2007,7,19)),D71,)</f>
        <v>0</v>
      </c>
      <c r="S71" s="25">
        <f>IF(AND('Stammdaten - Schwimmer'!$D71&lt;DATE(2011,7,20),'Stammdaten - Schwimmer'!$D71&gt;DATE(2007,7,19)),'Stammdaten - Schwimmer'!F71,)</f>
        <v>0</v>
      </c>
      <c r="T71">
        <f t="shared" si="4"/>
        <v>11</v>
      </c>
      <c r="V71" s="24">
        <f>IF('Stammdaten - Schwimmer'!$D71&lt;DATE(2007,7,20),A71,)</f>
        <v>0</v>
      </c>
      <c r="W71" s="24">
        <f>IF('Stammdaten - Schwimmer'!$D71&lt;DATE(2007,7,20),B71,)</f>
        <v>0</v>
      </c>
      <c r="X71" s="24">
        <f>IF('Stammdaten - Schwimmer'!$D71&lt;DATE(2007,7,20),C71,)</f>
        <v>0</v>
      </c>
      <c r="Y71" s="22">
        <f>IF('Stammdaten - Schwimmer'!$D71&lt;DATE(2007,7,20),D71,)</f>
        <v>0</v>
      </c>
      <c r="Z71" s="25">
        <f>IF('Stammdaten - Schwimmer'!$D71&lt;DATE(2007,7,20),'Stammdaten - Schwimmer'!F71,)</f>
        <v>0</v>
      </c>
      <c r="AA71">
        <f t="shared" si="5"/>
        <v>46</v>
      </c>
    </row>
    <row r="72" spans="1:27" x14ac:dyDescent="0.35">
      <c r="A72" s="20">
        <f>'Stammdaten - Schwimmer'!A72</f>
        <v>69</v>
      </c>
      <c r="B72" s="21" t="str">
        <f>'Stammdaten - Schwimmer'!B72</f>
        <v>Schuppler</v>
      </c>
      <c r="C72" s="21" t="str">
        <f>'Stammdaten - Schwimmer'!C72</f>
        <v>Christian</v>
      </c>
      <c r="D72" s="22">
        <f>'Stammdaten - Schwimmer'!J72+'Stammdaten - Schwimmer'!N72+'Stammdaten - Schwimmer'!R72+'Stammdaten - Schwimmer'!V72+'Stammdaten - Schwimmer'!Z73</f>
        <v>50</v>
      </c>
      <c r="E72" s="25">
        <f>'Stammdaten - Schwimmer'!F72</f>
        <v>50</v>
      </c>
      <c r="H72" s="24">
        <f>IF('Stammdaten - Schwimmer'!D72&gt;DATE(2011,7,20),A72,)</f>
        <v>0</v>
      </c>
      <c r="I72" s="24">
        <f>IF('Stammdaten - Schwimmer'!$D72&gt;DATE(2011,7,20),B72,)</f>
        <v>0</v>
      </c>
      <c r="J72" s="24">
        <f>IF('Stammdaten - Schwimmer'!$D72&gt;DATE(2011,7,20),C72,)</f>
        <v>0</v>
      </c>
      <c r="K72" s="22">
        <f>IF('Stammdaten - Schwimmer'!$D72&gt;DATE(2011,7,20),D72,)</f>
        <v>0</v>
      </c>
      <c r="L72" s="24">
        <f>IF('Stammdaten - Schwimmer'!$D72&gt;DATE(2011,7,20),'Stammdaten - Schwimmer'!F72,)</f>
        <v>0</v>
      </c>
      <c r="M72">
        <f t="shared" si="3"/>
        <v>34</v>
      </c>
      <c r="O72" s="24">
        <f>IF(AND('Stammdaten - Schwimmer'!$D72&lt;DATE(2011,7,20),'Stammdaten - Schwimmer'!$D72&gt;DATE(2007,7,19)),A72,)</f>
        <v>0</v>
      </c>
      <c r="P72" s="24">
        <f>IF(AND('Stammdaten - Schwimmer'!$D72&lt;DATE(2011,7,20),'Stammdaten - Schwimmer'!$D72&gt;DATE(2007,7,19)),B72,)</f>
        <v>0</v>
      </c>
      <c r="Q72" s="24">
        <f>IF(AND('Stammdaten - Schwimmer'!$D72&lt;DATE(2011,7,20),'Stammdaten - Schwimmer'!$D72&gt;DATE(2007,7,19)),C72,)</f>
        <v>0</v>
      </c>
      <c r="R72" s="22">
        <f>IF(AND('Stammdaten - Schwimmer'!$D72&lt;DATE(2011,7,20),'Stammdaten - Schwimmer'!$D72&gt;DATE(2007,7,19)),D72,)</f>
        <v>0</v>
      </c>
      <c r="S72" s="25">
        <f>IF(AND('Stammdaten - Schwimmer'!$D72&lt;DATE(2011,7,20),'Stammdaten - Schwimmer'!$D72&gt;DATE(2007,7,19)),'Stammdaten - Schwimmer'!F72,)</f>
        <v>0</v>
      </c>
      <c r="T72">
        <f t="shared" si="4"/>
        <v>11</v>
      </c>
      <c r="V72" s="24">
        <f>IF('Stammdaten - Schwimmer'!$D72&lt;DATE(2007,7,20),A72,)</f>
        <v>69</v>
      </c>
      <c r="W72" s="24" t="str">
        <f>IF('Stammdaten - Schwimmer'!$D72&lt;DATE(2007,7,20),B72,)</f>
        <v>Schuppler</v>
      </c>
      <c r="X72" s="24" t="str">
        <f>IF('Stammdaten - Schwimmer'!$D72&lt;DATE(2007,7,20),C72,)</f>
        <v>Christian</v>
      </c>
      <c r="Y72" s="22">
        <f>IF('Stammdaten - Schwimmer'!$D72&lt;DATE(2007,7,20),D72,)</f>
        <v>50</v>
      </c>
      <c r="Z72" s="25">
        <f>IF('Stammdaten - Schwimmer'!$D72&lt;DATE(2007,7,20),'Stammdaten - Schwimmer'!F72,)</f>
        <v>50</v>
      </c>
      <c r="AA72">
        <f t="shared" si="5"/>
        <v>16</v>
      </c>
    </row>
    <row r="73" spans="1:27" x14ac:dyDescent="0.35">
      <c r="A73" s="20">
        <f>'Stammdaten - Schwimmer'!A73</f>
        <v>70</v>
      </c>
      <c r="B73" s="21" t="str">
        <f>'Stammdaten - Schwimmer'!B73</f>
        <v>Bronner</v>
      </c>
      <c r="C73" s="21" t="str">
        <f>'Stammdaten - Schwimmer'!C73</f>
        <v>Camie</v>
      </c>
      <c r="D73" s="22">
        <f>'Stammdaten - Schwimmer'!J73+'Stammdaten - Schwimmer'!N73+'Stammdaten - Schwimmer'!R73+'Stammdaten - Schwimmer'!V73+'Stammdaten - Schwimmer'!Z74</f>
        <v>30</v>
      </c>
      <c r="E73" s="25">
        <f>'Stammdaten - Schwimmer'!F73</f>
        <v>60</v>
      </c>
      <c r="H73" s="24">
        <f>IF('Stammdaten - Schwimmer'!D73&gt;DATE(2011,7,20),A73,)</f>
        <v>0</v>
      </c>
      <c r="I73" s="24">
        <f>IF('Stammdaten - Schwimmer'!$D73&gt;DATE(2011,7,20),B73,)</f>
        <v>0</v>
      </c>
      <c r="J73" s="24">
        <f>IF('Stammdaten - Schwimmer'!$D73&gt;DATE(2011,7,20),C73,)</f>
        <v>0</v>
      </c>
      <c r="K73" s="22">
        <f>IF('Stammdaten - Schwimmer'!$D73&gt;DATE(2011,7,20),D73,)</f>
        <v>0</v>
      </c>
      <c r="L73" s="24">
        <f>IF('Stammdaten - Schwimmer'!$D73&gt;DATE(2011,7,20),'Stammdaten - Schwimmer'!F73,)</f>
        <v>0</v>
      </c>
      <c r="M73">
        <f t="shared" si="3"/>
        <v>34</v>
      </c>
      <c r="O73" s="24">
        <f>IF(AND('Stammdaten - Schwimmer'!$D73&lt;DATE(2011,7,20),'Stammdaten - Schwimmer'!$D73&gt;DATE(2007,7,19)),A73,)</f>
        <v>70</v>
      </c>
      <c r="P73" s="24" t="str">
        <f>IF(AND('Stammdaten - Schwimmer'!$D73&lt;DATE(2011,7,20),'Stammdaten - Schwimmer'!$D73&gt;DATE(2007,7,19)),B73,)</f>
        <v>Bronner</v>
      </c>
      <c r="Q73" s="24" t="str">
        <f>IF(AND('Stammdaten - Schwimmer'!$D73&lt;DATE(2011,7,20),'Stammdaten - Schwimmer'!$D73&gt;DATE(2007,7,19)),C73,)</f>
        <v>Camie</v>
      </c>
      <c r="R73" s="22">
        <f>IF(AND('Stammdaten - Schwimmer'!$D73&lt;DATE(2011,7,20),'Stammdaten - Schwimmer'!$D73&gt;DATE(2007,7,19)),D73,)</f>
        <v>30</v>
      </c>
      <c r="S73" s="25">
        <f>IF(AND('Stammdaten - Schwimmer'!$D73&lt;DATE(2011,7,20),'Stammdaten - Schwimmer'!$D73&gt;DATE(2007,7,19)),'Stammdaten - Schwimmer'!F73,)</f>
        <v>60</v>
      </c>
      <c r="T73">
        <f t="shared" si="4"/>
        <v>5</v>
      </c>
      <c r="V73" s="24">
        <f>IF('Stammdaten - Schwimmer'!$D73&lt;DATE(2007,7,20),A73,)</f>
        <v>0</v>
      </c>
      <c r="W73" s="24">
        <f>IF('Stammdaten - Schwimmer'!$D73&lt;DATE(2007,7,20),B73,)</f>
        <v>0</v>
      </c>
      <c r="X73" s="24">
        <f>IF('Stammdaten - Schwimmer'!$D73&lt;DATE(2007,7,20),C73,)</f>
        <v>0</v>
      </c>
      <c r="Y73" s="22">
        <f>IF('Stammdaten - Schwimmer'!$D73&lt;DATE(2007,7,20),D73,)</f>
        <v>0</v>
      </c>
      <c r="Z73" s="25">
        <f>IF('Stammdaten - Schwimmer'!$D73&lt;DATE(2007,7,20),'Stammdaten - Schwimmer'!F73,)</f>
        <v>0</v>
      </c>
      <c r="AA73">
        <f t="shared" si="5"/>
        <v>46</v>
      </c>
    </row>
    <row r="74" spans="1:27" x14ac:dyDescent="0.35">
      <c r="A74" s="20">
        <f>'Stammdaten - Schwimmer'!A74</f>
        <v>71</v>
      </c>
      <c r="B74" s="21" t="str">
        <f>'Stammdaten - Schwimmer'!B74</f>
        <v>Schmid</v>
      </c>
      <c r="C74" s="21" t="str">
        <f>'Stammdaten - Schwimmer'!C74</f>
        <v>Katherina</v>
      </c>
      <c r="D74" s="22">
        <f>'Stammdaten - Schwimmer'!J74+'Stammdaten - Schwimmer'!N74+'Stammdaten - Schwimmer'!R74+'Stammdaten - Schwimmer'!V74+'Stammdaten - Schwimmer'!Z75</f>
        <v>69</v>
      </c>
      <c r="E74" s="25">
        <f>'Stammdaten - Schwimmer'!F74</f>
        <v>46</v>
      </c>
      <c r="H74" s="24">
        <f>IF('Stammdaten - Schwimmer'!D74&gt;DATE(2011,7,20),A74,)</f>
        <v>0</v>
      </c>
      <c r="I74" s="24">
        <f>IF('Stammdaten - Schwimmer'!$D74&gt;DATE(2011,7,20),B74,)</f>
        <v>0</v>
      </c>
      <c r="J74" s="24">
        <f>IF('Stammdaten - Schwimmer'!$D74&gt;DATE(2011,7,20),C74,)</f>
        <v>0</v>
      </c>
      <c r="K74" s="22">
        <f>IF('Stammdaten - Schwimmer'!$D74&gt;DATE(2011,7,20),D74,)</f>
        <v>0</v>
      </c>
      <c r="L74" s="24">
        <f>IF('Stammdaten - Schwimmer'!$D74&gt;DATE(2011,7,20),'Stammdaten - Schwimmer'!F74,)</f>
        <v>0</v>
      </c>
      <c r="M74">
        <f t="shared" si="3"/>
        <v>34</v>
      </c>
      <c r="O74" s="24">
        <f>IF(AND('Stammdaten - Schwimmer'!$D74&lt;DATE(2011,7,20),'Stammdaten - Schwimmer'!$D74&gt;DATE(2007,7,19)),A74,)</f>
        <v>0</v>
      </c>
      <c r="P74" s="24">
        <f>IF(AND('Stammdaten - Schwimmer'!$D74&lt;DATE(2011,7,20),'Stammdaten - Schwimmer'!$D74&gt;DATE(2007,7,19)),B74,)</f>
        <v>0</v>
      </c>
      <c r="Q74" s="24">
        <f>IF(AND('Stammdaten - Schwimmer'!$D74&lt;DATE(2011,7,20),'Stammdaten - Schwimmer'!$D74&gt;DATE(2007,7,19)),C74,)</f>
        <v>0</v>
      </c>
      <c r="R74" s="22">
        <f>IF(AND('Stammdaten - Schwimmer'!$D74&lt;DATE(2011,7,20),'Stammdaten - Schwimmer'!$D74&gt;DATE(2007,7,19)),D74,)</f>
        <v>0</v>
      </c>
      <c r="S74" s="25">
        <f>IF(AND('Stammdaten - Schwimmer'!$D74&lt;DATE(2011,7,20),'Stammdaten - Schwimmer'!$D74&gt;DATE(2007,7,19)),'Stammdaten - Schwimmer'!F74,)</f>
        <v>0</v>
      </c>
      <c r="T74">
        <f t="shared" si="4"/>
        <v>11</v>
      </c>
      <c r="V74" s="24">
        <f>IF('Stammdaten - Schwimmer'!$D74&lt;DATE(2007,7,20),A74,)</f>
        <v>71</v>
      </c>
      <c r="W74" s="24" t="str">
        <f>IF('Stammdaten - Schwimmer'!$D74&lt;DATE(2007,7,20),B74,)</f>
        <v>Schmid</v>
      </c>
      <c r="X74" s="24" t="str">
        <f>IF('Stammdaten - Schwimmer'!$D74&lt;DATE(2007,7,20),C74,)</f>
        <v>Katherina</v>
      </c>
      <c r="Y74" s="22">
        <f>IF('Stammdaten - Schwimmer'!$D74&lt;DATE(2007,7,20),D74,)</f>
        <v>69</v>
      </c>
      <c r="Z74" s="25">
        <f>IF('Stammdaten - Schwimmer'!$D74&lt;DATE(2007,7,20),'Stammdaten - Schwimmer'!F74,)</f>
        <v>46</v>
      </c>
      <c r="AA74">
        <f t="shared" si="5"/>
        <v>20</v>
      </c>
    </row>
    <row r="75" spans="1:27" x14ac:dyDescent="0.35">
      <c r="A75" s="20">
        <f>'Stammdaten - Schwimmer'!A75</f>
        <v>72</v>
      </c>
      <c r="B75" s="21" t="str">
        <f>'Stammdaten - Schwimmer'!B75</f>
        <v>Maier</v>
      </c>
      <c r="C75" s="21" t="str">
        <f>'Stammdaten - Schwimmer'!C75</f>
        <v>Elisa</v>
      </c>
      <c r="D75" s="22">
        <f>'Stammdaten - Schwimmer'!J75+'Stammdaten - Schwimmer'!N75+'Stammdaten - Schwimmer'!R75+'Stammdaten - Schwimmer'!V75+'Stammdaten - Schwimmer'!Z76</f>
        <v>48</v>
      </c>
      <c r="E75" s="25">
        <f>'Stammdaten - Schwimmer'!F75</f>
        <v>96</v>
      </c>
      <c r="H75" s="24">
        <f>IF('Stammdaten - Schwimmer'!D75&gt;DATE(2011,7,20),A75,)</f>
        <v>72</v>
      </c>
      <c r="I75" s="24" t="str">
        <f>IF('Stammdaten - Schwimmer'!$D75&gt;DATE(2011,7,20),B75,)</f>
        <v>Maier</v>
      </c>
      <c r="J75" s="24" t="str">
        <f>IF('Stammdaten - Schwimmer'!$D75&gt;DATE(2011,7,20),C75,)</f>
        <v>Elisa</v>
      </c>
      <c r="K75" s="22">
        <f>IF('Stammdaten - Schwimmer'!$D75&gt;DATE(2011,7,20),D75,)</f>
        <v>48</v>
      </c>
      <c r="L75" s="24">
        <f>IF('Stammdaten - Schwimmer'!$D75&gt;DATE(2011,7,20),'Stammdaten - Schwimmer'!F75,)</f>
        <v>96</v>
      </c>
      <c r="M75">
        <f t="shared" si="3"/>
        <v>5</v>
      </c>
      <c r="O75" s="24">
        <f>IF(AND('Stammdaten - Schwimmer'!$D75&lt;DATE(2011,7,20),'Stammdaten - Schwimmer'!$D75&gt;DATE(2007,7,19)),A75,)</f>
        <v>0</v>
      </c>
      <c r="P75" s="24">
        <f>IF(AND('Stammdaten - Schwimmer'!$D75&lt;DATE(2011,7,20),'Stammdaten - Schwimmer'!$D75&gt;DATE(2007,7,19)),B75,)</f>
        <v>0</v>
      </c>
      <c r="Q75" s="24">
        <f>IF(AND('Stammdaten - Schwimmer'!$D75&lt;DATE(2011,7,20),'Stammdaten - Schwimmer'!$D75&gt;DATE(2007,7,19)),C75,)</f>
        <v>0</v>
      </c>
      <c r="R75" s="22">
        <f>IF(AND('Stammdaten - Schwimmer'!$D75&lt;DATE(2011,7,20),'Stammdaten - Schwimmer'!$D75&gt;DATE(2007,7,19)),D75,)</f>
        <v>0</v>
      </c>
      <c r="S75" s="25">
        <f>IF(AND('Stammdaten - Schwimmer'!$D75&lt;DATE(2011,7,20),'Stammdaten - Schwimmer'!$D75&gt;DATE(2007,7,19)),'Stammdaten - Schwimmer'!F75,)</f>
        <v>0</v>
      </c>
      <c r="T75">
        <f t="shared" si="4"/>
        <v>11</v>
      </c>
      <c r="V75" s="24">
        <f>IF('Stammdaten - Schwimmer'!$D75&lt;DATE(2007,7,20),A75,)</f>
        <v>0</v>
      </c>
      <c r="W75" s="24">
        <f>IF('Stammdaten - Schwimmer'!$D75&lt;DATE(2007,7,20),B75,)</f>
        <v>0</v>
      </c>
      <c r="X75" s="24">
        <f>IF('Stammdaten - Schwimmer'!$D75&lt;DATE(2007,7,20),C75,)</f>
        <v>0</v>
      </c>
      <c r="Y75" s="22">
        <f>IF('Stammdaten - Schwimmer'!$D75&lt;DATE(2007,7,20),D75,)</f>
        <v>0</v>
      </c>
      <c r="Z75" s="25">
        <f>IF('Stammdaten - Schwimmer'!$D75&lt;DATE(2007,7,20),'Stammdaten - Schwimmer'!F75,)</f>
        <v>0</v>
      </c>
      <c r="AA75">
        <f t="shared" si="5"/>
        <v>46</v>
      </c>
    </row>
    <row r="76" spans="1:27" x14ac:dyDescent="0.35">
      <c r="A76" s="20">
        <f>'Stammdaten - Schwimmer'!A76</f>
        <v>73</v>
      </c>
      <c r="B76" s="21" t="str">
        <f>'Stammdaten - Schwimmer'!C76</f>
        <v>Amelie</v>
      </c>
      <c r="C76" s="21" t="e">
        <f>'Stammdaten - Schwimmer'!#REF!</f>
        <v>#REF!</v>
      </c>
      <c r="D76" s="22">
        <f>'Stammdaten - Schwimmer'!J76+'Stammdaten - Schwimmer'!N76+'Stammdaten - Schwimmer'!R76+'Stammdaten - Schwimmer'!V76+'Stammdaten - Schwimmer'!Z77</f>
        <v>33</v>
      </c>
      <c r="E76" s="25">
        <f>'Stammdaten - Schwimmer'!F76</f>
        <v>66</v>
      </c>
      <c r="H76" s="24">
        <f>IF('Stammdaten - Schwimmer'!D76&gt;DATE(2011,7,20),A76,)</f>
        <v>0</v>
      </c>
      <c r="I76" s="24">
        <f>IF('Stammdaten - Schwimmer'!$D76&gt;DATE(2011,7,20),B76,)</f>
        <v>0</v>
      </c>
      <c r="J76" s="24">
        <f>IF('Stammdaten - Schwimmer'!$D76&gt;DATE(2011,7,20),C76,)</f>
        <v>0</v>
      </c>
      <c r="K76" s="22">
        <f>IF('Stammdaten - Schwimmer'!$D76&gt;DATE(2011,7,20),D76,)</f>
        <v>0</v>
      </c>
      <c r="L76" s="24">
        <f>IF('Stammdaten - Schwimmer'!$D76&gt;DATE(2011,7,20),'Stammdaten - Schwimmer'!F76,)</f>
        <v>0</v>
      </c>
      <c r="M76">
        <f t="shared" si="3"/>
        <v>34</v>
      </c>
      <c r="O76" s="24">
        <f>IF(AND('Stammdaten - Schwimmer'!$D76&lt;DATE(2011,7,20),'Stammdaten - Schwimmer'!$D76&gt;DATE(2007,7,19)),A76,)</f>
        <v>0</v>
      </c>
      <c r="P76" s="24">
        <f>IF(AND('Stammdaten - Schwimmer'!$D76&lt;DATE(2011,7,20),'Stammdaten - Schwimmer'!$D76&gt;DATE(2007,7,19)),B76,)</f>
        <v>0</v>
      </c>
      <c r="Q76" s="24">
        <f>IF(AND('Stammdaten - Schwimmer'!$D76&lt;DATE(2011,7,20),'Stammdaten - Schwimmer'!$D76&gt;DATE(2007,7,19)),C76,)</f>
        <v>0</v>
      </c>
      <c r="R76" s="22">
        <f>IF(AND('Stammdaten - Schwimmer'!$D76&lt;DATE(2011,7,20),'Stammdaten - Schwimmer'!$D76&gt;DATE(2007,7,19)),D76,)</f>
        <v>0</v>
      </c>
      <c r="S76" s="25">
        <f>IF(AND('Stammdaten - Schwimmer'!$D76&lt;DATE(2011,7,20),'Stammdaten - Schwimmer'!$D76&gt;DATE(2007,7,19)),'Stammdaten - Schwimmer'!F76,)</f>
        <v>0</v>
      </c>
      <c r="T76">
        <f t="shared" si="4"/>
        <v>11</v>
      </c>
      <c r="V76" s="24">
        <f>IF('Stammdaten - Schwimmer'!$D76&lt;DATE(2007,7,20),A76,)</f>
        <v>73</v>
      </c>
      <c r="W76" s="24" t="str">
        <f>IF('Stammdaten - Schwimmer'!$D76&lt;DATE(2007,7,20),B76,)</f>
        <v>Amelie</v>
      </c>
      <c r="X76" s="24" t="e">
        <f>IF('Stammdaten - Schwimmer'!$D76&lt;DATE(2007,7,20),C76,)</f>
        <v>#REF!</v>
      </c>
      <c r="Y76" s="22">
        <f>IF('Stammdaten - Schwimmer'!$D76&lt;DATE(2007,7,20),D76,)</f>
        <v>33</v>
      </c>
      <c r="Z76" s="25">
        <f>IF('Stammdaten - Schwimmer'!$D76&lt;DATE(2007,7,20),'Stammdaten - Schwimmer'!F76,)</f>
        <v>66</v>
      </c>
      <c r="AA76">
        <f t="shared" si="5"/>
        <v>8</v>
      </c>
    </row>
    <row r="77" spans="1:27" x14ac:dyDescent="0.35">
      <c r="A77" s="20">
        <f>'Stammdaten - Schwimmer'!A77</f>
        <v>74</v>
      </c>
      <c r="B77" s="21" t="str">
        <f>'Stammdaten - Schwimmer'!B77</f>
        <v>Holste</v>
      </c>
      <c r="C77" s="21" t="str">
        <f>'Stammdaten - Schwimmer'!C77</f>
        <v>Oscar</v>
      </c>
      <c r="D77" s="22">
        <f>'Stammdaten - Schwimmer'!J77+'Stammdaten - Schwimmer'!N77+'Stammdaten - Schwimmer'!R77+'Stammdaten - Schwimmer'!V77+'Stammdaten - Schwimmer'!Z78</f>
        <v>68</v>
      </c>
      <c r="E77" s="25">
        <f>'Stammdaten - Schwimmer'!F77</f>
        <v>68</v>
      </c>
      <c r="H77" s="24">
        <f>IF('Stammdaten - Schwimmer'!D77&gt;DATE(2011,7,20),A77,)</f>
        <v>74</v>
      </c>
      <c r="I77" s="24" t="str">
        <f>IF('Stammdaten - Schwimmer'!$D77&gt;DATE(2011,7,20),B77,)</f>
        <v>Holste</v>
      </c>
      <c r="J77" s="24" t="str">
        <f>IF('Stammdaten - Schwimmer'!$D77&gt;DATE(2011,7,20),C77,)</f>
        <v>Oscar</v>
      </c>
      <c r="K77" s="22">
        <f>IF('Stammdaten - Schwimmer'!$D77&gt;DATE(2011,7,20),D77,)</f>
        <v>68</v>
      </c>
      <c r="L77" s="24">
        <f>IF('Stammdaten - Schwimmer'!$D77&gt;DATE(2011,7,20),'Stammdaten - Schwimmer'!F77,)</f>
        <v>68</v>
      </c>
      <c r="M77">
        <f t="shared" si="3"/>
        <v>16</v>
      </c>
      <c r="O77" s="24">
        <f>IF(AND('Stammdaten - Schwimmer'!$D77&lt;DATE(2011,7,20),'Stammdaten - Schwimmer'!$D77&gt;DATE(2007,7,19)),A77,)</f>
        <v>0</v>
      </c>
      <c r="P77" s="24">
        <f>IF(AND('Stammdaten - Schwimmer'!$D77&lt;DATE(2011,7,20),'Stammdaten - Schwimmer'!$D77&gt;DATE(2007,7,19)),B77,)</f>
        <v>0</v>
      </c>
      <c r="Q77" s="24">
        <f>IF(AND('Stammdaten - Schwimmer'!$D77&lt;DATE(2011,7,20),'Stammdaten - Schwimmer'!$D77&gt;DATE(2007,7,19)),C77,)</f>
        <v>0</v>
      </c>
      <c r="R77" s="22">
        <f>IF(AND('Stammdaten - Schwimmer'!$D77&lt;DATE(2011,7,20),'Stammdaten - Schwimmer'!$D77&gt;DATE(2007,7,19)),D77,)</f>
        <v>0</v>
      </c>
      <c r="S77" s="25">
        <f>IF(AND('Stammdaten - Schwimmer'!$D77&lt;DATE(2011,7,20),'Stammdaten - Schwimmer'!$D77&gt;DATE(2007,7,19)),'Stammdaten - Schwimmer'!F77,)</f>
        <v>0</v>
      </c>
      <c r="T77">
        <f t="shared" si="4"/>
        <v>11</v>
      </c>
      <c r="V77" s="24">
        <f>IF('Stammdaten - Schwimmer'!$D77&lt;DATE(2007,7,20),A77,)</f>
        <v>0</v>
      </c>
      <c r="W77" s="24">
        <f>IF('Stammdaten - Schwimmer'!$D77&lt;DATE(2007,7,20),B77,)</f>
        <v>0</v>
      </c>
      <c r="X77" s="24">
        <f>IF('Stammdaten - Schwimmer'!$D77&lt;DATE(2007,7,20),C77,)</f>
        <v>0</v>
      </c>
      <c r="Y77" s="22">
        <f>IF('Stammdaten - Schwimmer'!$D77&lt;DATE(2007,7,20),D77,)</f>
        <v>0</v>
      </c>
      <c r="Z77" s="25">
        <f>IF('Stammdaten - Schwimmer'!$D77&lt;DATE(2007,7,20),'Stammdaten - Schwimmer'!F77,)</f>
        <v>0</v>
      </c>
      <c r="AA77">
        <f t="shared" si="5"/>
        <v>46</v>
      </c>
    </row>
    <row r="78" spans="1:27" x14ac:dyDescent="0.35">
      <c r="A78" s="20">
        <f>'Stammdaten - Schwimmer'!A78</f>
        <v>75</v>
      </c>
      <c r="B78" s="21" t="str">
        <f>'Stammdaten - Schwimmer'!B78</f>
        <v>Holste</v>
      </c>
      <c r="C78" s="21" t="str">
        <f>'Stammdaten - Schwimmer'!C78</f>
        <v>Lotte</v>
      </c>
      <c r="D78" s="22">
        <f>'Stammdaten - Schwimmer'!J78+'Stammdaten - Schwimmer'!N78+'Stammdaten - Schwimmer'!R78+'Stammdaten - Schwimmer'!V78+'Stammdaten - Schwimmer'!Z79</f>
        <v>84</v>
      </c>
      <c r="E78" s="25">
        <f>'Stammdaten - Schwimmer'!F78</f>
        <v>84</v>
      </c>
      <c r="H78" s="24">
        <f>IF('Stammdaten - Schwimmer'!D78&gt;DATE(2011,7,20),A78,)</f>
        <v>75</v>
      </c>
      <c r="I78" s="24" t="str">
        <f>IF('Stammdaten - Schwimmer'!$D78&gt;DATE(2011,7,20),B78,)</f>
        <v>Holste</v>
      </c>
      <c r="J78" s="24" t="str">
        <f>IF('Stammdaten - Schwimmer'!$D78&gt;DATE(2011,7,20),C78,)</f>
        <v>Lotte</v>
      </c>
      <c r="K78" s="22">
        <f>IF('Stammdaten - Schwimmer'!$D78&gt;DATE(2011,7,20),D78,)</f>
        <v>84</v>
      </c>
      <c r="L78" s="24">
        <f>IF('Stammdaten - Schwimmer'!$D78&gt;DATE(2011,7,20),'Stammdaten - Schwimmer'!F78,)</f>
        <v>84</v>
      </c>
      <c r="M78">
        <f t="shared" si="3"/>
        <v>8</v>
      </c>
      <c r="O78" s="24">
        <f>IF(AND('Stammdaten - Schwimmer'!$D78&lt;DATE(2011,7,20),'Stammdaten - Schwimmer'!$D78&gt;DATE(2007,7,19)),A78,)</f>
        <v>0</v>
      </c>
      <c r="P78" s="24">
        <f>IF(AND('Stammdaten - Schwimmer'!$D78&lt;DATE(2011,7,20),'Stammdaten - Schwimmer'!$D78&gt;DATE(2007,7,19)),B78,)</f>
        <v>0</v>
      </c>
      <c r="Q78" s="24">
        <f>IF(AND('Stammdaten - Schwimmer'!$D78&lt;DATE(2011,7,20),'Stammdaten - Schwimmer'!$D78&gt;DATE(2007,7,19)),C78,)</f>
        <v>0</v>
      </c>
      <c r="R78" s="22">
        <f>IF(AND('Stammdaten - Schwimmer'!$D78&lt;DATE(2011,7,20),'Stammdaten - Schwimmer'!$D78&gt;DATE(2007,7,19)),D78,)</f>
        <v>0</v>
      </c>
      <c r="S78" s="25">
        <f>IF(AND('Stammdaten - Schwimmer'!$D78&lt;DATE(2011,7,20),'Stammdaten - Schwimmer'!$D78&gt;DATE(2007,7,19)),'Stammdaten - Schwimmer'!F78,)</f>
        <v>0</v>
      </c>
      <c r="T78">
        <f t="shared" si="4"/>
        <v>11</v>
      </c>
      <c r="V78" s="24">
        <f>IF('Stammdaten - Schwimmer'!$D78&lt;DATE(2007,7,20),A78,)</f>
        <v>0</v>
      </c>
      <c r="W78" s="24">
        <f>IF('Stammdaten - Schwimmer'!$D78&lt;DATE(2007,7,20),B78,)</f>
        <v>0</v>
      </c>
      <c r="X78" s="24">
        <f>IF('Stammdaten - Schwimmer'!$D78&lt;DATE(2007,7,20),C78,)</f>
        <v>0</v>
      </c>
      <c r="Y78" s="22">
        <f>IF('Stammdaten - Schwimmer'!$D78&lt;DATE(2007,7,20),D78,)</f>
        <v>0</v>
      </c>
      <c r="Z78" s="25">
        <f>IF('Stammdaten - Schwimmer'!$D78&lt;DATE(2007,7,20),'Stammdaten - Schwimmer'!F78,)</f>
        <v>0</v>
      </c>
      <c r="AA78">
        <f t="shared" si="5"/>
        <v>46</v>
      </c>
    </row>
    <row r="79" spans="1:27" x14ac:dyDescent="0.35">
      <c r="A79" s="20">
        <f>'Stammdaten - Schwimmer'!A79</f>
        <v>76</v>
      </c>
      <c r="B79" s="21" t="str">
        <f>'Stammdaten - Schwimmer'!B79</f>
        <v>Holste</v>
      </c>
      <c r="C79" s="21" t="str">
        <f>'Stammdaten - Schwimmer'!C79</f>
        <v>Ruban</v>
      </c>
      <c r="D79" s="22">
        <f>'Stammdaten - Schwimmer'!J79+'Stammdaten - Schwimmer'!N79+'Stammdaten - Schwimmer'!R79+'Stammdaten - Schwimmer'!V79+'Stammdaten - Schwimmer'!Z80</f>
        <v>68</v>
      </c>
      <c r="E79" s="25">
        <f>'Stammdaten - Schwimmer'!F79</f>
        <v>68</v>
      </c>
      <c r="H79" s="24">
        <f>IF('Stammdaten - Schwimmer'!D79&gt;DATE(2011,7,20),A79,)</f>
        <v>0</v>
      </c>
      <c r="I79" s="24">
        <f>IF('Stammdaten - Schwimmer'!$D79&gt;DATE(2011,7,20),B79,)</f>
        <v>0</v>
      </c>
      <c r="J79" s="24">
        <f>IF('Stammdaten - Schwimmer'!$D79&gt;DATE(2011,7,20),C79,)</f>
        <v>0</v>
      </c>
      <c r="K79" s="22">
        <f>IF('Stammdaten - Schwimmer'!$D79&gt;DATE(2011,7,20),D79,)</f>
        <v>0</v>
      </c>
      <c r="L79" s="24">
        <f>IF('Stammdaten - Schwimmer'!$D79&gt;DATE(2011,7,20),'Stammdaten - Schwimmer'!F79,)</f>
        <v>0</v>
      </c>
      <c r="M79">
        <f t="shared" si="3"/>
        <v>34</v>
      </c>
      <c r="O79" s="24">
        <f>IF(AND('Stammdaten - Schwimmer'!$D79&lt;DATE(2011,7,20),'Stammdaten - Schwimmer'!$D79&gt;DATE(2007,7,19)),A79,)</f>
        <v>0</v>
      </c>
      <c r="P79" s="24">
        <f>IF(AND('Stammdaten - Schwimmer'!$D79&lt;DATE(2011,7,20),'Stammdaten - Schwimmer'!$D79&gt;DATE(2007,7,19)),B79,)</f>
        <v>0</v>
      </c>
      <c r="Q79" s="24">
        <f>IF(AND('Stammdaten - Schwimmer'!$D79&lt;DATE(2011,7,20),'Stammdaten - Schwimmer'!$D79&gt;DATE(2007,7,19)),C79,)</f>
        <v>0</v>
      </c>
      <c r="R79" s="22">
        <f>IF(AND('Stammdaten - Schwimmer'!$D79&lt;DATE(2011,7,20),'Stammdaten - Schwimmer'!$D79&gt;DATE(2007,7,19)),D79,)</f>
        <v>0</v>
      </c>
      <c r="S79" s="25">
        <f>IF(AND('Stammdaten - Schwimmer'!$D79&lt;DATE(2011,7,20),'Stammdaten - Schwimmer'!$D79&gt;DATE(2007,7,19)),'Stammdaten - Schwimmer'!F79,)</f>
        <v>0</v>
      </c>
      <c r="T79">
        <f t="shared" si="4"/>
        <v>11</v>
      </c>
      <c r="V79" s="24">
        <f>IF('Stammdaten - Schwimmer'!$D79&lt;DATE(2007,7,20),A79,)</f>
        <v>76</v>
      </c>
      <c r="W79" s="24" t="str">
        <f>IF('Stammdaten - Schwimmer'!$D79&lt;DATE(2007,7,20),B79,)</f>
        <v>Holste</v>
      </c>
      <c r="X79" s="24" t="str">
        <f>IF('Stammdaten - Schwimmer'!$D79&lt;DATE(2007,7,20),C79,)</f>
        <v>Ruban</v>
      </c>
      <c r="Y79" s="22">
        <f>IF('Stammdaten - Schwimmer'!$D79&lt;DATE(2007,7,20),D79,)</f>
        <v>68</v>
      </c>
      <c r="Z79" s="25">
        <f>IF('Stammdaten - Schwimmer'!$D79&lt;DATE(2007,7,20),'Stammdaten - Schwimmer'!F79,)</f>
        <v>68</v>
      </c>
      <c r="AA79">
        <f t="shared" si="5"/>
        <v>7</v>
      </c>
    </row>
    <row r="80" spans="1:27" x14ac:dyDescent="0.35">
      <c r="A80" s="20">
        <f>'Stammdaten - Schwimmer'!A80</f>
        <v>77</v>
      </c>
      <c r="B80" s="21" t="str">
        <f>'Stammdaten - Schwimmer'!B80</f>
        <v>Holste</v>
      </c>
      <c r="C80" s="21" t="str">
        <f>'Stammdaten - Schwimmer'!C80</f>
        <v>Maxi</v>
      </c>
      <c r="D80" s="22">
        <f>'Stammdaten - Schwimmer'!J80+'Stammdaten - Schwimmer'!N80+'Stammdaten - Schwimmer'!R80+'Stammdaten - Schwimmer'!V80+'Stammdaten - Schwimmer'!Z81</f>
        <v>30</v>
      </c>
      <c r="E80" s="25">
        <f>'Stammdaten - Schwimmer'!F80</f>
        <v>30</v>
      </c>
      <c r="H80" s="24">
        <f>IF('Stammdaten - Schwimmer'!D80&gt;DATE(2011,7,20),A80,)</f>
        <v>0</v>
      </c>
      <c r="I80" s="24">
        <f>IF('Stammdaten - Schwimmer'!$D80&gt;DATE(2011,7,20),B80,)</f>
        <v>0</v>
      </c>
      <c r="J80" s="24">
        <f>IF('Stammdaten - Schwimmer'!$D80&gt;DATE(2011,7,20),C80,)</f>
        <v>0</v>
      </c>
      <c r="K80" s="22">
        <f>IF('Stammdaten - Schwimmer'!$D80&gt;DATE(2011,7,20),D80,)</f>
        <v>0</v>
      </c>
      <c r="L80" s="24">
        <f>IF('Stammdaten - Schwimmer'!$D80&gt;DATE(2011,7,20),'Stammdaten - Schwimmer'!F80,)</f>
        <v>0</v>
      </c>
      <c r="M80">
        <f t="shared" si="3"/>
        <v>34</v>
      </c>
      <c r="O80" s="24">
        <f>IF(AND('Stammdaten - Schwimmer'!$D80&lt;DATE(2011,7,20),'Stammdaten - Schwimmer'!$D80&gt;DATE(2007,7,19)),A80,)</f>
        <v>77</v>
      </c>
      <c r="P80" s="24" t="str">
        <f>IF(AND('Stammdaten - Schwimmer'!$D80&lt;DATE(2011,7,20),'Stammdaten - Schwimmer'!$D80&gt;DATE(2007,7,19)),B80,)</f>
        <v>Holste</v>
      </c>
      <c r="Q80" s="24" t="str">
        <f>IF(AND('Stammdaten - Schwimmer'!$D80&lt;DATE(2011,7,20),'Stammdaten - Schwimmer'!$D80&gt;DATE(2007,7,19)),C80,)</f>
        <v>Maxi</v>
      </c>
      <c r="R80" s="22">
        <f>IF(AND('Stammdaten - Schwimmer'!$D80&lt;DATE(2011,7,20),'Stammdaten - Schwimmer'!$D80&gt;DATE(2007,7,19)),D80,)</f>
        <v>30</v>
      </c>
      <c r="S80" s="25">
        <f>IF(AND('Stammdaten - Schwimmer'!$D80&lt;DATE(2011,7,20),'Stammdaten - Schwimmer'!$D80&gt;DATE(2007,7,19)),'Stammdaten - Schwimmer'!F80,)</f>
        <v>30</v>
      </c>
      <c r="T80">
        <f t="shared" si="4"/>
        <v>8</v>
      </c>
      <c r="V80" s="24">
        <f>IF('Stammdaten - Schwimmer'!$D80&lt;DATE(2007,7,20),A80,)</f>
        <v>0</v>
      </c>
      <c r="W80" s="24">
        <f>IF('Stammdaten - Schwimmer'!$D80&lt;DATE(2007,7,20),B80,)</f>
        <v>0</v>
      </c>
      <c r="X80" s="24">
        <f>IF('Stammdaten - Schwimmer'!$D80&lt;DATE(2007,7,20),C80,)</f>
        <v>0</v>
      </c>
      <c r="Y80" s="22">
        <f>IF('Stammdaten - Schwimmer'!$D80&lt;DATE(2007,7,20),D80,)</f>
        <v>0</v>
      </c>
      <c r="Z80" s="25">
        <f>IF('Stammdaten - Schwimmer'!$D80&lt;DATE(2007,7,20),'Stammdaten - Schwimmer'!F80,)</f>
        <v>0</v>
      </c>
      <c r="AA80">
        <f t="shared" si="5"/>
        <v>46</v>
      </c>
    </row>
    <row r="81" spans="1:27" x14ac:dyDescent="0.35">
      <c r="A81" s="20">
        <f>'Stammdaten - Schwimmer'!A81</f>
        <v>78</v>
      </c>
      <c r="B81" s="21" t="str">
        <f>'Stammdaten - Schwimmer'!B81</f>
        <v>Kalamaris</v>
      </c>
      <c r="C81" s="21" t="str">
        <f>'Stammdaten - Schwimmer'!C81</f>
        <v>Christina</v>
      </c>
      <c r="D81" s="22">
        <f>'Stammdaten - Schwimmer'!J81+'Stammdaten - Schwimmer'!N81+'Stammdaten - Schwimmer'!R81+'Stammdaten - Schwimmer'!V81+'Stammdaten - Schwimmer'!Z82</f>
        <v>110</v>
      </c>
      <c r="E81" s="25">
        <f>'Stammdaten - Schwimmer'!F81</f>
        <v>40</v>
      </c>
      <c r="H81" s="24">
        <f>IF('Stammdaten - Schwimmer'!D81&gt;DATE(2011,7,20),A81,)</f>
        <v>0</v>
      </c>
      <c r="I81" s="24">
        <f>IF('Stammdaten - Schwimmer'!$D81&gt;DATE(2011,7,20),B81,)</f>
        <v>0</v>
      </c>
      <c r="J81" s="24">
        <f>IF('Stammdaten - Schwimmer'!$D81&gt;DATE(2011,7,20),C81,)</f>
        <v>0</v>
      </c>
      <c r="K81" s="22">
        <f>IF('Stammdaten - Schwimmer'!$D81&gt;DATE(2011,7,20),D81,)</f>
        <v>0</v>
      </c>
      <c r="L81" s="24">
        <f>IF('Stammdaten - Schwimmer'!$D81&gt;DATE(2011,7,20),'Stammdaten - Schwimmer'!F81,)</f>
        <v>0</v>
      </c>
      <c r="M81">
        <f t="shared" si="3"/>
        <v>34</v>
      </c>
      <c r="O81" s="24">
        <f>IF(AND('Stammdaten - Schwimmer'!$D81&lt;DATE(2011,7,20),'Stammdaten - Schwimmer'!$D81&gt;DATE(2007,7,19)),A81,)</f>
        <v>0</v>
      </c>
      <c r="P81" s="24">
        <f>IF(AND('Stammdaten - Schwimmer'!$D81&lt;DATE(2011,7,20),'Stammdaten - Schwimmer'!$D81&gt;DATE(2007,7,19)),B81,)</f>
        <v>0</v>
      </c>
      <c r="Q81" s="24">
        <f>IF(AND('Stammdaten - Schwimmer'!$D81&lt;DATE(2011,7,20),'Stammdaten - Schwimmer'!$D81&gt;DATE(2007,7,19)),C81,)</f>
        <v>0</v>
      </c>
      <c r="R81" s="22">
        <f>IF(AND('Stammdaten - Schwimmer'!$D81&lt;DATE(2011,7,20),'Stammdaten - Schwimmer'!$D81&gt;DATE(2007,7,19)),D81,)</f>
        <v>0</v>
      </c>
      <c r="S81" s="25">
        <f>IF(AND('Stammdaten - Schwimmer'!$D81&lt;DATE(2011,7,20),'Stammdaten - Schwimmer'!$D81&gt;DATE(2007,7,19)),'Stammdaten - Schwimmer'!F81,)</f>
        <v>0</v>
      </c>
      <c r="T81">
        <f t="shared" si="4"/>
        <v>11</v>
      </c>
      <c r="V81" s="24">
        <f>IF('Stammdaten - Schwimmer'!$D81&lt;DATE(2007,7,20),A81,)</f>
        <v>78</v>
      </c>
      <c r="W81" s="24" t="str">
        <f>IF('Stammdaten - Schwimmer'!$D81&lt;DATE(2007,7,20),B81,)</f>
        <v>Kalamaris</v>
      </c>
      <c r="X81" s="24" t="str">
        <f>IF('Stammdaten - Schwimmer'!$D81&lt;DATE(2007,7,20),C81,)</f>
        <v>Christina</v>
      </c>
      <c r="Y81" s="22">
        <f>IF('Stammdaten - Schwimmer'!$D81&lt;DATE(2007,7,20),D81,)</f>
        <v>110</v>
      </c>
      <c r="Z81" s="25">
        <f>IF('Stammdaten - Schwimmer'!$D81&lt;DATE(2007,7,20),'Stammdaten - Schwimmer'!F81,)</f>
        <v>40</v>
      </c>
      <c r="AA81">
        <f t="shared" si="5"/>
        <v>27</v>
      </c>
    </row>
    <row r="82" spans="1:27" x14ac:dyDescent="0.35">
      <c r="A82" s="20">
        <f>'Stammdaten - Schwimmer'!A82</f>
        <v>79</v>
      </c>
      <c r="B82" s="21" t="str">
        <f>'Stammdaten - Schwimmer'!B82</f>
        <v>Bossert De Paz</v>
      </c>
      <c r="C82" s="21" t="str">
        <f>'Stammdaten - Schwimmer'!C82</f>
        <v>Noah Javier</v>
      </c>
      <c r="D82" s="22">
        <f>'Stammdaten - Schwimmer'!J82+'Stammdaten - Schwimmer'!N82+'Stammdaten - Schwimmer'!R82+'Stammdaten - Schwimmer'!V82+'Stammdaten - Schwimmer'!Z83</f>
        <v>210</v>
      </c>
      <c r="E82" s="25">
        <f>'Stammdaten - Schwimmer'!F82</f>
        <v>60</v>
      </c>
      <c r="H82" s="24">
        <f>IF('Stammdaten - Schwimmer'!D82&gt;DATE(2011,7,20),A82,)</f>
        <v>79</v>
      </c>
      <c r="I82" s="24" t="str">
        <f>IF('Stammdaten - Schwimmer'!$D82&gt;DATE(2011,7,20),B82,)</f>
        <v>Bossert De Paz</v>
      </c>
      <c r="J82" s="24" t="str">
        <f>IF('Stammdaten - Schwimmer'!$D82&gt;DATE(2011,7,20),C82,)</f>
        <v>Noah Javier</v>
      </c>
      <c r="K82" s="22">
        <f>IF('Stammdaten - Schwimmer'!$D82&gt;DATE(2011,7,20),D82,)</f>
        <v>210</v>
      </c>
      <c r="L82" s="24">
        <f>IF('Stammdaten - Schwimmer'!$D82&gt;DATE(2011,7,20),'Stammdaten - Schwimmer'!F82,)</f>
        <v>60</v>
      </c>
      <c r="M82">
        <f t="shared" si="3"/>
        <v>20</v>
      </c>
      <c r="O82" s="24">
        <f>IF(AND('Stammdaten - Schwimmer'!$D82&lt;DATE(2011,7,20),'Stammdaten - Schwimmer'!$D82&gt;DATE(2007,7,19)),A82,)</f>
        <v>0</v>
      </c>
      <c r="P82" s="24">
        <f>IF(AND('Stammdaten - Schwimmer'!$D82&lt;DATE(2011,7,20),'Stammdaten - Schwimmer'!$D82&gt;DATE(2007,7,19)),B82,)</f>
        <v>0</v>
      </c>
      <c r="Q82" s="24">
        <f>IF(AND('Stammdaten - Schwimmer'!$D82&lt;DATE(2011,7,20),'Stammdaten - Schwimmer'!$D82&gt;DATE(2007,7,19)),C82,)</f>
        <v>0</v>
      </c>
      <c r="R82" s="22">
        <f>IF(AND('Stammdaten - Schwimmer'!$D82&lt;DATE(2011,7,20),'Stammdaten - Schwimmer'!$D82&gt;DATE(2007,7,19)),D82,)</f>
        <v>0</v>
      </c>
      <c r="S82" s="25">
        <f>IF(AND('Stammdaten - Schwimmer'!$D82&lt;DATE(2011,7,20),'Stammdaten - Schwimmer'!$D82&gt;DATE(2007,7,19)),'Stammdaten - Schwimmer'!F82,)</f>
        <v>0</v>
      </c>
      <c r="T82">
        <f t="shared" si="4"/>
        <v>11</v>
      </c>
      <c r="V82" s="24">
        <f>IF('Stammdaten - Schwimmer'!$D82&lt;DATE(2007,7,20),A82,)</f>
        <v>0</v>
      </c>
      <c r="W82" s="24">
        <f>IF('Stammdaten - Schwimmer'!$D82&lt;DATE(2007,7,20),B82,)</f>
        <v>0</v>
      </c>
      <c r="X82" s="24">
        <f>IF('Stammdaten - Schwimmer'!$D82&lt;DATE(2007,7,20),C82,)</f>
        <v>0</v>
      </c>
      <c r="Y82" s="22">
        <f>IF('Stammdaten - Schwimmer'!$D82&lt;DATE(2007,7,20),D82,)</f>
        <v>0</v>
      </c>
      <c r="Z82" s="25">
        <f>IF('Stammdaten - Schwimmer'!$D82&lt;DATE(2007,7,20),'Stammdaten - Schwimmer'!F82,)</f>
        <v>0</v>
      </c>
      <c r="AA82">
        <f t="shared" si="5"/>
        <v>46</v>
      </c>
    </row>
    <row r="83" spans="1:27" x14ac:dyDescent="0.35">
      <c r="A83" s="20">
        <f>'Stammdaten - Schwimmer'!A83</f>
        <v>80</v>
      </c>
      <c r="B83" s="21" t="str">
        <f>'Stammdaten - Schwimmer'!B83</f>
        <v>Zhou</v>
      </c>
      <c r="C83" s="21" t="str">
        <f>'Stammdaten - Schwimmer'!C83</f>
        <v>Fiona</v>
      </c>
      <c r="D83" s="22">
        <f>'Stammdaten - Schwimmer'!J83+'Stammdaten - Schwimmer'!N83+'Stammdaten - Schwimmer'!R83+'Stammdaten - Schwimmer'!V83+'Stammdaten - Schwimmer'!Z84</f>
        <v>24</v>
      </c>
      <c r="E83" s="25">
        <f>'Stammdaten - Schwimmer'!F83</f>
        <v>16</v>
      </c>
      <c r="H83" s="24">
        <f>IF('Stammdaten - Schwimmer'!D83&gt;DATE(2011,7,20),A83,)</f>
        <v>80</v>
      </c>
      <c r="I83" s="24" t="str">
        <f>IF('Stammdaten - Schwimmer'!$D83&gt;DATE(2011,7,20),B83,)</f>
        <v>Zhou</v>
      </c>
      <c r="J83" s="24" t="str">
        <f>IF('Stammdaten - Schwimmer'!$D83&gt;DATE(2011,7,20),C83,)</f>
        <v>Fiona</v>
      </c>
      <c r="K83" s="22">
        <f>IF('Stammdaten - Schwimmer'!$D83&gt;DATE(2011,7,20),D83,)</f>
        <v>24</v>
      </c>
      <c r="L83" s="24">
        <f>IF('Stammdaten - Schwimmer'!$D83&gt;DATE(2011,7,20),'Stammdaten - Schwimmer'!F83,)</f>
        <v>16</v>
      </c>
      <c r="M83">
        <f t="shared" si="3"/>
        <v>29</v>
      </c>
      <c r="O83" s="24">
        <f>IF(AND('Stammdaten - Schwimmer'!$D83&lt;DATE(2011,7,20),'Stammdaten - Schwimmer'!$D83&gt;DATE(2007,7,19)),A83,)</f>
        <v>0</v>
      </c>
      <c r="P83" s="24">
        <f>IF(AND('Stammdaten - Schwimmer'!$D83&lt;DATE(2011,7,20),'Stammdaten - Schwimmer'!$D83&gt;DATE(2007,7,19)),B83,)</f>
        <v>0</v>
      </c>
      <c r="Q83" s="24">
        <f>IF(AND('Stammdaten - Schwimmer'!$D83&lt;DATE(2011,7,20),'Stammdaten - Schwimmer'!$D83&gt;DATE(2007,7,19)),C83,)</f>
        <v>0</v>
      </c>
      <c r="R83" s="22">
        <f>IF(AND('Stammdaten - Schwimmer'!$D83&lt;DATE(2011,7,20),'Stammdaten - Schwimmer'!$D83&gt;DATE(2007,7,19)),D83,)</f>
        <v>0</v>
      </c>
      <c r="S83" s="25">
        <f>IF(AND('Stammdaten - Schwimmer'!$D83&lt;DATE(2011,7,20),'Stammdaten - Schwimmer'!$D83&gt;DATE(2007,7,19)),'Stammdaten - Schwimmer'!F83,)</f>
        <v>0</v>
      </c>
      <c r="T83">
        <f t="shared" si="4"/>
        <v>11</v>
      </c>
      <c r="V83" s="24">
        <f>IF('Stammdaten - Schwimmer'!$D83&lt;DATE(2007,7,20),A83,)</f>
        <v>0</v>
      </c>
      <c r="W83" s="24">
        <f>IF('Stammdaten - Schwimmer'!$D83&lt;DATE(2007,7,20),B83,)</f>
        <v>0</v>
      </c>
      <c r="X83" s="24">
        <f>IF('Stammdaten - Schwimmer'!$D83&lt;DATE(2007,7,20),C83,)</f>
        <v>0</v>
      </c>
      <c r="Y83" s="22">
        <f>IF('Stammdaten - Schwimmer'!$D83&lt;DATE(2007,7,20),D83,)</f>
        <v>0</v>
      </c>
      <c r="Z83" s="25">
        <f>IF('Stammdaten - Schwimmer'!$D83&lt;DATE(2007,7,20),'Stammdaten - Schwimmer'!F83,)</f>
        <v>0</v>
      </c>
      <c r="AA83">
        <f t="shared" si="5"/>
        <v>46</v>
      </c>
    </row>
    <row r="84" spans="1:27" x14ac:dyDescent="0.35">
      <c r="A84" s="20">
        <f>'Stammdaten - Schwimmer'!A84</f>
        <v>81</v>
      </c>
      <c r="B84" s="21" t="str">
        <f>'Stammdaten - Schwimmer'!B84</f>
        <v>Zhou</v>
      </c>
      <c r="C84" s="21" t="str">
        <f>'Stammdaten - Schwimmer'!C84</f>
        <v>Robin</v>
      </c>
      <c r="D84" s="22">
        <f>'Stammdaten - Schwimmer'!J84+'Stammdaten - Schwimmer'!N84+'Stammdaten - Schwimmer'!R84+'Stammdaten - Schwimmer'!V84+'Stammdaten - Schwimmer'!Z85</f>
        <v>120</v>
      </c>
      <c r="E84" s="25">
        <f>'Stammdaten - Schwimmer'!F84</f>
        <v>80</v>
      </c>
      <c r="H84" s="24">
        <f>IF('Stammdaten - Schwimmer'!D84&gt;DATE(2011,7,20),A84,)</f>
        <v>81</v>
      </c>
      <c r="I84" s="24" t="str">
        <f>IF('Stammdaten - Schwimmer'!$D84&gt;DATE(2011,7,20),B84,)</f>
        <v>Zhou</v>
      </c>
      <c r="J84" s="24" t="str">
        <f>IF('Stammdaten - Schwimmer'!$D84&gt;DATE(2011,7,20),C84,)</f>
        <v>Robin</v>
      </c>
      <c r="K84" s="22">
        <f>IF('Stammdaten - Schwimmer'!$D84&gt;DATE(2011,7,20),D84,)</f>
        <v>120</v>
      </c>
      <c r="L84" s="24">
        <f>IF('Stammdaten - Schwimmer'!$D84&gt;DATE(2011,7,20),'Stammdaten - Schwimmer'!F84,)</f>
        <v>80</v>
      </c>
      <c r="M84">
        <f t="shared" si="3"/>
        <v>10</v>
      </c>
      <c r="O84" s="24">
        <f>IF(AND('Stammdaten - Schwimmer'!$D84&lt;DATE(2011,7,20),'Stammdaten - Schwimmer'!$D84&gt;DATE(2007,7,19)),A84,)</f>
        <v>0</v>
      </c>
      <c r="P84" s="24">
        <f>IF(AND('Stammdaten - Schwimmer'!$D84&lt;DATE(2011,7,20),'Stammdaten - Schwimmer'!$D84&gt;DATE(2007,7,19)),B84,)</f>
        <v>0</v>
      </c>
      <c r="Q84" s="24">
        <f>IF(AND('Stammdaten - Schwimmer'!$D84&lt;DATE(2011,7,20),'Stammdaten - Schwimmer'!$D84&gt;DATE(2007,7,19)),C84,)</f>
        <v>0</v>
      </c>
      <c r="R84" s="22">
        <f>IF(AND('Stammdaten - Schwimmer'!$D84&lt;DATE(2011,7,20),'Stammdaten - Schwimmer'!$D84&gt;DATE(2007,7,19)),D84,)</f>
        <v>0</v>
      </c>
      <c r="S84" s="25">
        <f>IF(AND('Stammdaten - Schwimmer'!$D84&lt;DATE(2011,7,20),'Stammdaten - Schwimmer'!$D84&gt;DATE(2007,7,19)),'Stammdaten - Schwimmer'!F84,)</f>
        <v>0</v>
      </c>
      <c r="T84">
        <f t="shared" si="4"/>
        <v>11</v>
      </c>
      <c r="V84" s="24">
        <f>IF('Stammdaten - Schwimmer'!$D84&lt;DATE(2007,7,20),A84,)</f>
        <v>0</v>
      </c>
      <c r="W84" s="24">
        <f>IF('Stammdaten - Schwimmer'!$D84&lt;DATE(2007,7,20),B84,)</f>
        <v>0</v>
      </c>
      <c r="X84" s="24">
        <f>IF('Stammdaten - Schwimmer'!$D84&lt;DATE(2007,7,20),C84,)</f>
        <v>0</v>
      </c>
      <c r="Y84" s="22">
        <f>IF('Stammdaten - Schwimmer'!$D84&lt;DATE(2007,7,20),D84,)</f>
        <v>0</v>
      </c>
      <c r="Z84" s="25">
        <f>IF('Stammdaten - Schwimmer'!$D84&lt;DATE(2007,7,20),'Stammdaten - Schwimmer'!F84,)</f>
        <v>0</v>
      </c>
      <c r="AA84">
        <f t="shared" si="5"/>
        <v>46</v>
      </c>
    </row>
    <row r="85" spans="1:27" x14ac:dyDescent="0.35">
      <c r="A85" s="20">
        <f>'Stammdaten - Schwimmer'!A85</f>
        <v>82</v>
      </c>
      <c r="B85" s="21" t="str">
        <f>'Stammdaten - Schwimmer'!B85</f>
        <v>Göpel</v>
      </c>
      <c r="C85" s="21" t="str">
        <f>'Stammdaten - Schwimmer'!C85</f>
        <v>Mark-Franz</v>
      </c>
      <c r="D85" s="22">
        <f>'Stammdaten - Schwimmer'!J85+'Stammdaten - Schwimmer'!N85+'Stammdaten - Schwimmer'!R85+'Stammdaten - Schwimmer'!V85+'Stammdaten - Schwimmer'!Z86</f>
        <v>102</v>
      </c>
      <c r="E85" s="25">
        <f>'Stammdaten - Schwimmer'!F85</f>
        <v>34</v>
      </c>
      <c r="H85" s="24">
        <f>IF('Stammdaten - Schwimmer'!D85&gt;DATE(2011,7,20),A85,)</f>
        <v>0</v>
      </c>
      <c r="I85" s="24">
        <f>IF('Stammdaten - Schwimmer'!$D85&gt;DATE(2011,7,20),B85,)</f>
        <v>0</v>
      </c>
      <c r="J85" s="24">
        <f>IF('Stammdaten - Schwimmer'!$D85&gt;DATE(2011,7,20),C85,)</f>
        <v>0</v>
      </c>
      <c r="K85" s="22">
        <f>IF('Stammdaten - Schwimmer'!$D85&gt;DATE(2011,7,20),D85,)</f>
        <v>0</v>
      </c>
      <c r="L85" s="24">
        <f>IF('Stammdaten - Schwimmer'!$D85&gt;DATE(2011,7,20),'Stammdaten - Schwimmer'!F85,)</f>
        <v>0</v>
      </c>
      <c r="M85">
        <f t="shared" si="3"/>
        <v>34</v>
      </c>
      <c r="O85" s="24">
        <f>IF(AND('Stammdaten - Schwimmer'!$D85&lt;DATE(2011,7,20),'Stammdaten - Schwimmer'!$D85&gt;DATE(2007,7,19)),A85,)</f>
        <v>0</v>
      </c>
      <c r="P85" s="24">
        <f>IF(AND('Stammdaten - Schwimmer'!$D85&lt;DATE(2011,7,20),'Stammdaten - Schwimmer'!$D85&gt;DATE(2007,7,19)),B85,)</f>
        <v>0</v>
      </c>
      <c r="Q85" s="24">
        <f>IF(AND('Stammdaten - Schwimmer'!$D85&lt;DATE(2011,7,20),'Stammdaten - Schwimmer'!$D85&gt;DATE(2007,7,19)),C85,)</f>
        <v>0</v>
      </c>
      <c r="R85" s="22">
        <f>IF(AND('Stammdaten - Schwimmer'!$D85&lt;DATE(2011,7,20),'Stammdaten - Schwimmer'!$D85&gt;DATE(2007,7,19)),D85,)</f>
        <v>0</v>
      </c>
      <c r="S85" s="25">
        <f>IF(AND('Stammdaten - Schwimmer'!$D85&lt;DATE(2011,7,20),'Stammdaten - Schwimmer'!$D85&gt;DATE(2007,7,19)),'Stammdaten - Schwimmer'!F85,)</f>
        <v>0</v>
      </c>
      <c r="T85">
        <f t="shared" si="4"/>
        <v>11</v>
      </c>
      <c r="V85" s="24">
        <f>IF('Stammdaten - Schwimmer'!$D85&lt;DATE(2007,7,20),A85,)</f>
        <v>82</v>
      </c>
      <c r="W85" s="24" t="str">
        <f>IF('Stammdaten - Schwimmer'!$D85&lt;DATE(2007,7,20),B85,)</f>
        <v>Göpel</v>
      </c>
      <c r="X85" s="24" t="str">
        <f>IF('Stammdaten - Schwimmer'!$D85&lt;DATE(2007,7,20),C85,)</f>
        <v>Mark-Franz</v>
      </c>
      <c r="Y85" s="22">
        <f>IF('Stammdaten - Schwimmer'!$D85&lt;DATE(2007,7,20),D85,)</f>
        <v>102</v>
      </c>
      <c r="Z85" s="25">
        <f>IF('Stammdaten - Schwimmer'!$D85&lt;DATE(2007,7,20),'Stammdaten - Schwimmer'!F85,)</f>
        <v>34</v>
      </c>
      <c r="AA85">
        <f t="shared" si="5"/>
        <v>36</v>
      </c>
    </row>
    <row r="86" spans="1:27" x14ac:dyDescent="0.35">
      <c r="A86" s="20">
        <f>'Stammdaten - Schwimmer'!A86</f>
        <v>83</v>
      </c>
      <c r="B86" s="21" t="str">
        <f>'Stammdaten - Schwimmer'!B86</f>
        <v>Krause</v>
      </c>
      <c r="C86" s="21" t="str">
        <f>'Stammdaten - Schwimmer'!C86</f>
        <v>Florian</v>
      </c>
      <c r="D86" s="22">
        <f>'Stammdaten - Schwimmer'!J86+'Stammdaten - Schwimmer'!N86+'Stammdaten - Schwimmer'!R86+'Stammdaten - Schwimmer'!V86+'Stammdaten - Schwimmer'!Z87</f>
        <v>125</v>
      </c>
      <c r="E86" s="25">
        <f>'Stammdaten - Schwimmer'!F86</f>
        <v>50</v>
      </c>
      <c r="H86" s="24">
        <f>IF('Stammdaten - Schwimmer'!D86&gt;DATE(2011,7,20),A86,)</f>
        <v>0</v>
      </c>
      <c r="I86" s="24">
        <f>IF('Stammdaten - Schwimmer'!$D86&gt;DATE(2011,7,20),B86,)</f>
        <v>0</v>
      </c>
      <c r="J86" s="24">
        <f>IF('Stammdaten - Schwimmer'!$D86&gt;DATE(2011,7,20),C86,)</f>
        <v>0</v>
      </c>
      <c r="K86" s="22">
        <f>IF('Stammdaten - Schwimmer'!$D86&gt;DATE(2011,7,20),D86,)</f>
        <v>0</v>
      </c>
      <c r="L86" s="24">
        <f>IF('Stammdaten - Schwimmer'!$D86&gt;DATE(2011,7,20),'Stammdaten - Schwimmer'!F86,)</f>
        <v>0</v>
      </c>
      <c r="M86">
        <f t="shared" si="3"/>
        <v>34</v>
      </c>
      <c r="O86" s="24">
        <f>IF(AND('Stammdaten - Schwimmer'!$D86&lt;DATE(2011,7,20),'Stammdaten - Schwimmer'!$D86&gt;DATE(2007,7,19)),A86,)</f>
        <v>0</v>
      </c>
      <c r="P86" s="24">
        <f>IF(AND('Stammdaten - Schwimmer'!$D86&lt;DATE(2011,7,20),'Stammdaten - Schwimmer'!$D86&gt;DATE(2007,7,19)),B86,)</f>
        <v>0</v>
      </c>
      <c r="Q86" s="24">
        <f>IF(AND('Stammdaten - Schwimmer'!$D86&lt;DATE(2011,7,20),'Stammdaten - Schwimmer'!$D86&gt;DATE(2007,7,19)),C86,)</f>
        <v>0</v>
      </c>
      <c r="R86" s="22">
        <f>IF(AND('Stammdaten - Schwimmer'!$D86&lt;DATE(2011,7,20),'Stammdaten - Schwimmer'!$D86&gt;DATE(2007,7,19)),D86,)</f>
        <v>0</v>
      </c>
      <c r="S86" s="25">
        <f>IF(AND('Stammdaten - Schwimmer'!$D86&lt;DATE(2011,7,20),'Stammdaten - Schwimmer'!$D86&gt;DATE(2007,7,19)),'Stammdaten - Schwimmer'!F86,)</f>
        <v>0</v>
      </c>
      <c r="T86">
        <f t="shared" si="4"/>
        <v>11</v>
      </c>
      <c r="V86" s="24">
        <f>IF('Stammdaten - Schwimmer'!$D86&lt;DATE(2007,7,20),A86,)</f>
        <v>83</v>
      </c>
      <c r="W86" s="24" t="str">
        <f>IF('Stammdaten - Schwimmer'!$D86&lt;DATE(2007,7,20),B86,)</f>
        <v>Krause</v>
      </c>
      <c r="X86" s="24" t="str">
        <f>IF('Stammdaten - Schwimmer'!$D86&lt;DATE(2007,7,20),C86,)</f>
        <v>Florian</v>
      </c>
      <c r="Y86" s="22">
        <f>IF('Stammdaten - Schwimmer'!$D86&lt;DATE(2007,7,20),D86,)</f>
        <v>125</v>
      </c>
      <c r="Z86" s="25">
        <f>IF('Stammdaten - Schwimmer'!$D86&lt;DATE(2007,7,20),'Stammdaten - Schwimmer'!F86,)</f>
        <v>50</v>
      </c>
      <c r="AA86">
        <f t="shared" si="5"/>
        <v>16</v>
      </c>
    </row>
    <row r="87" spans="1:27" x14ac:dyDescent="0.35">
      <c r="A87" s="20">
        <f>'Stammdaten - Schwimmer'!A87</f>
        <v>84</v>
      </c>
      <c r="B87" s="21" t="str">
        <f>'Stammdaten - Schwimmer'!B87</f>
        <v>Pauls</v>
      </c>
      <c r="C87" s="21" t="str">
        <f>'Stammdaten - Schwimmer'!C87</f>
        <v xml:space="preserve">Anton </v>
      </c>
      <c r="D87" s="22">
        <f>'Stammdaten - Schwimmer'!J87+'Stammdaten - Schwimmer'!N87+'Stammdaten - Schwimmer'!R87+'Stammdaten - Schwimmer'!V87+'Stammdaten - Schwimmer'!Z88</f>
        <v>52</v>
      </c>
      <c r="E87" s="25">
        <f>'Stammdaten - Schwimmer'!F87</f>
        <v>52</v>
      </c>
      <c r="H87" s="24">
        <f>IF('Stammdaten - Schwimmer'!D87&gt;DATE(2011,7,20),A87,)</f>
        <v>84</v>
      </c>
      <c r="I87" s="24" t="str">
        <f>IF('Stammdaten - Schwimmer'!$D87&gt;DATE(2011,7,20),B87,)</f>
        <v>Pauls</v>
      </c>
      <c r="J87" s="24" t="str">
        <f>IF('Stammdaten - Schwimmer'!$D87&gt;DATE(2011,7,20),C87,)</f>
        <v xml:space="preserve">Anton </v>
      </c>
      <c r="K87" s="22">
        <f>IF('Stammdaten - Schwimmer'!$D87&gt;DATE(2011,7,20),D87,)</f>
        <v>52</v>
      </c>
      <c r="L87" s="24">
        <f>IF('Stammdaten - Schwimmer'!$D87&gt;DATE(2011,7,20),'Stammdaten - Schwimmer'!F87,)</f>
        <v>52</v>
      </c>
      <c r="M87">
        <f t="shared" si="3"/>
        <v>23</v>
      </c>
      <c r="O87" s="24">
        <f>IF(AND('Stammdaten - Schwimmer'!$D87&lt;DATE(2011,7,20),'Stammdaten - Schwimmer'!$D87&gt;DATE(2007,7,19)),A87,)</f>
        <v>0</v>
      </c>
      <c r="P87" s="24">
        <f>IF(AND('Stammdaten - Schwimmer'!$D87&lt;DATE(2011,7,20),'Stammdaten - Schwimmer'!$D87&gt;DATE(2007,7,19)),B87,)</f>
        <v>0</v>
      </c>
      <c r="Q87" s="24">
        <f>IF(AND('Stammdaten - Schwimmer'!$D87&lt;DATE(2011,7,20),'Stammdaten - Schwimmer'!$D87&gt;DATE(2007,7,19)),C87,)</f>
        <v>0</v>
      </c>
      <c r="R87" s="22">
        <f>IF(AND('Stammdaten - Schwimmer'!$D87&lt;DATE(2011,7,20),'Stammdaten - Schwimmer'!$D87&gt;DATE(2007,7,19)),D87,)</f>
        <v>0</v>
      </c>
      <c r="S87" s="25">
        <f>IF(AND('Stammdaten - Schwimmer'!$D87&lt;DATE(2011,7,20),'Stammdaten - Schwimmer'!$D87&gt;DATE(2007,7,19)),'Stammdaten - Schwimmer'!F87,)</f>
        <v>0</v>
      </c>
      <c r="T87">
        <f t="shared" si="4"/>
        <v>11</v>
      </c>
      <c r="V87" s="24">
        <f>IF('Stammdaten - Schwimmer'!$D87&lt;DATE(2007,7,20),A87,)</f>
        <v>0</v>
      </c>
      <c r="W87" s="24">
        <f>IF('Stammdaten - Schwimmer'!$D87&lt;DATE(2007,7,20),B87,)</f>
        <v>0</v>
      </c>
      <c r="X87" s="24">
        <f>IF('Stammdaten - Schwimmer'!$D87&lt;DATE(2007,7,20),C87,)</f>
        <v>0</v>
      </c>
      <c r="Y87" s="22">
        <f>IF('Stammdaten - Schwimmer'!$D87&lt;DATE(2007,7,20),D87,)</f>
        <v>0</v>
      </c>
      <c r="Z87" s="25">
        <f>IF('Stammdaten - Schwimmer'!$D87&lt;DATE(2007,7,20),'Stammdaten - Schwimmer'!F87,)</f>
        <v>0</v>
      </c>
      <c r="AA87">
        <f t="shared" si="5"/>
        <v>46</v>
      </c>
    </row>
    <row r="88" spans="1:27" x14ac:dyDescent="0.35">
      <c r="A88" s="20">
        <f>'Stammdaten - Schwimmer'!A88</f>
        <v>85</v>
      </c>
      <c r="B88" s="21" t="str">
        <f>'Stammdaten - Schwimmer'!B88</f>
        <v>Holzworth</v>
      </c>
      <c r="C88" s="21" t="str">
        <f>'Stammdaten - Schwimmer'!C88</f>
        <v>Zoe Hanna</v>
      </c>
      <c r="D88" s="22">
        <f>'Stammdaten - Schwimmer'!J88+'Stammdaten - Schwimmer'!N88+'Stammdaten - Schwimmer'!R88+'Stammdaten - Schwimmer'!V88+'Stammdaten - Schwimmer'!Z89</f>
        <v>124</v>
      </c>
      <c r="E88" s="25">
        <f>'Stammdaten - Schwimmer'!F88</f>
        <v>62</v>
      </c>
      <c r="H88" s="24">
        <f>IF('Stammdaten - Schwimmer'!D88&gt;DATE(2011,7,20),A88,)</f>
        <v>85</v>
      </c>
      <c r="I88" s="24" t="str">
        <f>IF('Stammdaten - Schwimmer'!$D88&gt;DATE(2011,7,20),B88,)</f>
        <v>Holzworth</v>
      </c>
      <c r="J88" s="24" t="str">
        <f>IF('Stammdaten - Schwimmer'!$D88&gt;DATE(2011,7,20),C88,)</f>
        <v>Zoe Hanna</v>
      </c>
      <c r="K88" s="22">
        <f>IF('Stammdaten - Schwimmer'!$D88&gt;DATE(2011,7,20),D88,)</f>
        <v>124</v>
      </c>
      <c r="L88" s="24">
        <f>IF('Stammdaten - Schwimmer'!$D88&gt;DATE(2011,7,20),'Stammdaten - Schwimmer'!F88,)</f>
        <v>62</v>
      </c>
      <c r="M88">
        <f t="shared" si="3"/>
        <v>19</v>
      </c>
      <c r="O88" s="24">
        <f>IF(AND('Stammdaten - Schwimmer'!$D88&lt;DATE(2011,7,20),'Stammdaten - Schwimmer'!$D88&gt;DATE(2007,7,19)),A88,)</f>
        <v>0</v>
      </c>
      <c r="P88" s="24">
        <f>IF(AND('Stammdaten - Schwimmer'!$D88&lt;DATE(2011,7,20),'Stammdaten - Schwimmer'!$D88&gt;DATE(2007,7,19)),B88,)</f>
        <v>0</v>
      </c>
      <c r="Q88" s="24">
        <f>IF(AND('Stammdaten - Schwimmer'!$D88&lt;DATE(2011,7,20),'Stammdaten - Schwimmer'!$D88&gt;DATE(2007,7,19)),C88,)</f>
        <v>0</v>
      </c>
      <c r="R88" s="22">
        <f>IF(AND('Stammdaten - Schwimmer'!$D88&lt;DATE(2011,7,20),'Stammdaten - Schwimmer'!$D88&gt;DATE(2007,7,19)),D88,)</f>
        <v>0</v>
      </c>
      <c r="S88" s="25">
        <f>IF(AND('Stammdaten - Schwimmer'!$D88&lt;DATE(2011,7,20),'Stammdaten - Schwimmer'!$D88&gt;DATE(2007,7,19)),'Stammdaten - Schwimmer'!F88,)</f>
        <v>0</v>
      </c>
      <c r="T88">
        <f t="shared" si="4"/>
        <v>11</v>
      </c>
      <c r="V88" s="24">
        <f>IF('Stammdaten - Schwimmer'!$D88&lt;DATE(2007,7,20),A88,)</f>
        <v>0</v>
      </c>
      <c r="W88" s="24">
        <f>IF('Stammdaten - Schwimmer'!$D88&lt;DATE(2007,7,20),B88,)</f>
        <v>0</v>
      </c>
      <c r="X88" s="24">
        <f>IF('Stammdaten - Schwimmer'!$D88&lt;DATE(2007,7,20),C88,)</f>
        <v>0</v>
      </c>
      <c r="Y88" s="22">
        <f>IF('Stammdaten - Schwimmer'!$D88&lt;DATE(2007,7,20),D88,)</f>
        <v>0</v>
      </c>
      <c r="Z88" s="25">
        <f>IF('Stammdaten - Schwimmer'!$D88&lt;DATE(2007,7,20),'Stammdaten - Schwimmer'!F88,)</f>
        <v>0</v>
      </c>
      <c r="AA88">
        <f t="shared" si="5"/>
        <v>46</v>
      </c>
    </row>
    <row r="89" spans="1:27" x14ac:dyDescent="0.35">
      <c r="A89" s="20">
        <f>'Stammdaten - Schwimmer'!A89</f>
        <v>86</v>
      </c>
      <c r="B89" s="21" t="str">
        <f>'Stammdaten - Schwimmer'!B89</f>
        <v>Rossner</v>
      </c>
      <c r="C89" s="21" t="str">
        <f>'Stammdaten - Schwimmer'!C89</f>
        <v>Hans-Joachim</v>
      </c>
      <c r="D89" s="22">
        <f>'Stammdaten - Schwimmer'!J89+'Stammdaten - Schwimmer'!N89+'Stammdaten - Schwimmer'!R89+'Stammdaten - Schwimmer'!V89+'Stammdaten - Schwimmer'!Z90</f>
        <v>76</v>
      </c>
      <c r="E89" s="25">
        <f>'Stammdaten - Schwimmer'!F89</f>
        <v>38</v>
      </c>
      <c r="H89" s="24">
        <f>IF('Stammdaten - Schwimmer'!D89&gt;DATE(2011,7,20),A89,)</f>
        <v>0</v>
      </c>
      <c r="I89" s="24">
        <f>IF('Stammdaten - Schwimmer'!$D89&gt;DATE(2011,7,20),B89,)</f>
        <v>0</v>
      </c>
      <c r="J89" s="24">
        <f>IF('Stammdaten - Schwimmer'!$D89&gt;DATE(2011,7,20),C89,)</f>
        <v>0</v>
      </c>
      <c r="K89" s="22">
        <f>IF('Stammdaten - Schwimmer'!$D89&gt;DATE(2011,7,20),D89,)</f>
        <v>0</v>
      </c>
      <c r="L89" s="24">
        <f>IF('Stammdaten - Schwimmer'!$D89&gt;DATE(2011,7,20),'Stammdaten - Schwimmer'!F89,)</f>
        <v>0</v>
      </c>
      <c r="M89">
        <f t="shared" si="3"/>
        <v>34</v>
      </c>
      <c r="O89" s="24">
        <f>IF(AND('Stammdaten - Schwimmer'!$D89&lt;DATE(2011,7,20),'Stammdaten - Schwimmer'!$D89&gt;DATE(2007,7,19)),A89,)</f>
        <v>0</v>
      </c>
      <c r="P89" s="24">
        <f>IF(AND('Stammdaten - Schwimmer'!$D89&lt;DATE(2011,7,20),'Stammdaten - Schwimmer'!$D89&gt;DATE(2007,7,19)),B89,)</f>
        <v>0</v>
      </c>
      <c r="Q89" s="24">
        <f>IF(AND('Stammdaten - Schwimmer'!$D89&lt;DATE(2011,7,20),'Stammdaten - Schwimmer'!$D89&gt;DATE(2007,7,19)),C89,)</f>
        <v>0</v>
      </c>
      <c r="R89" s="22">
        <f>IF(AND('Stammdaten - Schwimmer'!$D89&lt;DATE(2011,7,20),'Stammdaten - Schwimmer'!$D89&gt;DATE(2007,7,19)),D89,)</f>
        <v>0</v>
      </c>
      <c r="S89" s="25">
        <f>IF(AND('Stammdaten - Schwimmer'!$D89&lt;DATE(2011,7,20),'Stammdaten - Schwimmer'!$D89&gt;DATE(2007,7,19)),'Stammdaten - Schwimmer'!F89,)</f>
        <v>0</v>
      </c>
      <c r="T89">
        <f t="shared" si="4"/>
        <v>11</v>
      </c>
      <c r="V89" s="24">
        <f>IF('Stammdaten - Schwimmer'!$D89&lt;DATE(2007,7,20),A89,)</f>
        <v>86</v>
      </c>
      <c r="W89" s="24" t="str">
        <f>IF('Stammdaten - Schwimmer'!$D89&lt;DATE(2007,7,20),B89,)</f>
        <v>Rossner</v>
      </c>
      <c r="X89" s="24" t="str">
        <f>IF('Stammdaten - Schwimmer'!$D89&lt;DATE(2007,7,20),C89,)</f>
        <v>Hans-Joachim</v>
      </c>
      <c r="Y89" s="22">
        <f>IF('Stammdaten - Schwimmer'!$D89&lt;DATE(2007,7,20),D89,)</f>
        <v>76</v>
      </c>
      <c r="Z89" s="25">
        <f>IF('Stammdaten - Schwimmer'!$D89&lt;DATE(2007,7,20),'Stammdaten - Schwimmer'!F89,)</f>
        <v>38</v>
      </c>
      <c r="AA89">
        <f t="shared" si="5"/>
        <v>33</v>
      </c>
    </row>
    <row r="90" spans="1:27" x14ac:dyDescent="0.35">
      <c r="A90" s="20">
        <f>'Stammdaten - Schwimmer'!A90</f>
        <v>87</v>
      </c>
      <c r="B90" s="21" t="str">
        <f>'Stammdaten - Schwimmer'!B90</f>
        <v>Glass</v>
      </c>
      <c r="C90" s="21" t="str">
        <f>'Stammdaten - Schwimmer'!C90</f>
        <v>Helmut</v>
      </c>
      <c r="D90" s="22">
        <f>'Stammdaten - Schwimmer'!J90+'Stammdaten - Schwimmer'!N90+'Stammdaten - Schwimmer'!R90+'Stammdaten - Schwimmer'!V90+'Stammdaten - Schwimmer'!Z91</f>
        <v>58</v>
      </c>
      <c r="E90" s="25">
        <f>'Stammdaten - Schwimmer'!F90</f>
        <v>58</v>
      </c>
      <c r="H90" s="24">
        <f>IF('Stammdaten - Schwimmer'!D90&gt;DATE(2011,7,20),A90,)</f>
        <v>0</v>
      </c>
      <c r="I90" s="24">
        <f>IF('Stammdaten - Schwimmer'!$D90&gt;DATE(2011,7,20),B90,)</f>
        <v>0</v>
      </c>
      <c r="J90" s="24">
        <f>IF('Stammdaten - Schwimmer'!$D90&gt;DATE(2011,7,20),C90,)</f>
        <v>0</v>
      </c>
      <c r="K90" s="22">
        <f>IF('Stammdaten - Schwimmer'!$D90&gt;DATE(2011,7,20),D90,)</f>
        <v>0</v>
      </c>
      <c r="L90" s="24">
        <f>IF('Stammdaten - Schwimmer'!$D90&gt;DATE(2011,7,20),'Stammdaten - Schwimmer'!F90,)</f>
        <v>0</v>
      </c>
      <c r="M90">
        <f t="shared" si="3"/>
        <v>34</v>
      </c>
      <c r="O90" s="24">
        <f>IF(AND('Stammdaten - Schwimmer'!$D90&lt;DATE(2011,7,20),'Stammdaten - Schwimmer'!$D90&gt;DATE(2007,7,19)),A90,)</f>
        <v>0</v>
      </c>
      <c r="P90" s="24">
        <f>IF(AND('Stammdaten - Schwimmer'!$D90&lt;DATE(2011,7,20),'Stammdaten - Schwimmer'!$D90&gt;DATE(2007,7,19)),B90,)</f>
        <v>0</v>
      </c>
      <c r="Q90" s="24">
        <f>IF(AND('Stammdaten - Schwimmer'!$D90&lt;DATE(2011,7,20),'Stammdaten - Schwimmer'!$D90&gt;DATE(2007,7,19)),C90,)</f>
        <v>0</v>
      </c>
      <c r="R90" s="22">
        <f>IF(AND('Stammdaten - Schwimmer'!$D90&lt;DATE(2011,7,20),'Stammdaten - Schwimmer'!$D90&gt;DATE(2007,7,19)),D90,)</f>
        <v>0</v>
      </c>
      <c r="S90" s="25">
        <f>IF(AND('Stammdaten - Schwimmer'!$D90&lt;DATE(2011,7,20),'Stammdaten - Schwimmer'!$D90&gt;DATE(2007,7,19)),'Stammdaten - Schwimmer'!F90,)</f>
        <v>0</v>
      </c>
      <c r="T90">
        <f t="shared" si="4"/>
        <v>11</v>
      </c>
      <c r="V90" s="24">
        <f>IF('Stammdaten - Schwimmer'!$D90&lt;DATE(2007,7,20),A90,)</f>
        <v>87</v>
      </c>
      <c r="W90" s="24" t="str">
        <f>IF('Stammdaten - Schwimmer'!$D90&lt;DATE(2007,7,20),B90,)</f>
        <v>Glass</v>
      </c>
      <c r="X90" s="24" t="str">
        <f>IF('Stammdaten - Schwimmer'!$D90&lt;DATE(2007,7,20),C90,)</f>
        <v>Helmut</v>
      </c>
      <c r="Y90" s="22">
        <f>IF('Stammdaten - Schwimmer'!$D90&lt;DATE(2007,7,20),D90,)</f>
        <v>58</v>
      </c>
      <c r="Z90" s="25">
        <f>IF('Stammdaten - Schwimmer'!$D90&lt;DATE(2007,7,20),'Stammdaten - Schwimmer'!F90,)</f>
        <v>58</v>
      </c>
      <c r="AA90">
        <f t="shared" si="5"/>
        <v>12</v>
      </c>
    </row>
    <row r="91" spans="1:27" x14ac:dyDescent="0.35">
      <c r="A91" s="20">
        <f>'Stammdaten - Schwimmer'!A91</f>
        <v>88</v>
      </c>
      <c r="B91" s="21" t="str">
        <f>'Stammdaten - Schwimmer'!B91</f>
        <v>von Dyken</v>
      </c>
      <c r="C91" s="21" t="str">
        <f>'Stammdaten - Schwimmer'!C91</f>
        <v>Waltrud</v>
      </c>
      <c r="D91" s="22">
        <f>'Stammdaten - Schwimmer'!J91+'Stammdaten - Schwimmer'!N91+'Stammdaten - Schwimmer'!R91+'Stammdaten - Schwimmer'!V91+'Stammdaten - Schwimmer'!Z92</f>
        <v>40</v>
      </c>
      <c r="E91" s="25">
        <f>'Stammdaten - Schwimmer'!F91</f>
        <v>40</v>
      </c>
      <c r="H91" s="24">
        <f>IF('Stammdaten - Schwimmer'!D91&gt;DATE(2011,7,20),A91,)</f>
        <v>0</v>
      </c>
      <c r="I91" s="24">
        <f>IF('Stammdaten - Schwimmer'!$D91&gt;DATE(2011,7,20),B91,)</f>
        <v>0</v>
      </c>
      <c r="J91" s="24">
        <f>IF('Stammdaten - Schwimmer'!$D91&gt;DATE(2011,7,20),C91,)</f>
        <v>0</v>
      </c>
      <c r="K91" s="22">
        <f>IF('Stammdaten - Schwimmer'!$D91&gt;DATE(2011,7,20),D91,)</f>
        <v>0</v>
      </c>
      <c r="L91" s="24">
        <f>IF('Stammdaten - Schwimmer'!$D91&gt;DATE(2011,7,20),'Stammdaten - Schwimmer'!F91,)</f>
        <v>0</v>
      </c>
      <c r="M91">
        <f t="shared" si="3"/>
        <v>34</v>
      </c>
      <c r="O91" s="24">
        <f>IF(AND('Stammdaten - Schwimmer'!$D91&lt;DATE(2011,7,20),'Stammdaten - Schwimmer'!$D91&gt;DATE(2007,7,19)),A91,)</f>
        <v>0</v>
      </c>
      <c r="P91" s="24">
        <f>IF(AND('Stammdaten - Schwimmer'!$D91&lt;DATE(2011,7,20),'Stammdaten - Schwimmer'!$D91&gt;DATE(2007,7,19)),B91,)</f>
        <v>0</v>
      </c>
      <c r="Q91" s="24">
        <f>IF(AND('Stammdaten - Schwimmer'!$D91&lt;DATE(2011,7,20),'Stammdaten - Schwimmer'!$D91&gt;DATE(2007,7,19)),C91,)</f>
        <v>0</v>
      </c>
      <c r="R91" s="22">
        <f>IF(AND('Stammdaten - Schwimmer'!$D91&lt;DATE(2011,7,20),'Stammdaten - Schwimmer'!$D91&gt;DATE(2007,7,19)),D91,)</f>
        <v>0</v>
      </c>
      <c r="S91" s="25">
        <f>IF(AND('Stammdaten - Schwimmer'!$D91&lt;DATE(2011,7,20),'Stammdaten - Schwimmer'!$D91&gt;DATE(2007,7,19)),'Stammdaten - Schwimmer'!F91,)</f>
        <v>0</v>
      </c>
      <c r="T91">
        <f t="shared" si="4"/>
        <v>11</v>
      </c>
      <c r="V91" s="24">
        <f>IF('Stammdaten - Schwimmer'!$D91&lt;DATE(2007,7,20),A91,)</f>
        <v>88</v>
      </c>
      <c r="W91" s="24" t="str">
        <f>IF('Stammdaten - Schwimmer'!$D91&lt;DATE(2007,7,20),B91,)</f>
        <v>von Dyken</v>
      </c>
      <c r="X91" s="24" t="str">
        <f>IF('Stammdaten - Schwimmer'!$D91&lt;DATE(2007,7,20),C91,)</f>
        <v>Waltrud</v>
      </c>
      <c r="Y91" s="22">
        <f>IF('Stammdaten - Schwimmer'!$D91&lt;DATE(2007,7,20),D91,)</f>
        <v>40</v>
      </c>
      <c r="Z91" s="25">
        <f>IF('Stammdaten - Schwimmer'!$D91&lt;DATE(2007,7,20),'Stammdaten - Schwimmer'!F91,)</f>
        <v>40</v>
      </c>
      <c r="AA91">
        <f t="shared" si="5"/>
        <v>27</v>
      </c>
    </row>
    <row r="92" spans="1:27" x14ac:dyDescent="0.35">
      <c r="A92" s="20">
        <f>'Stammdaten - Schwimmer'!A92</f>
        <v>89</v>
      </c>
      <c r="B92" s="21" t="str">
        <f>'Stammdaten - Schwimmer'!B92</f>
        <v>Montessoro</v>
      </c>
      <c r="C92" s="21" t="str">
        <f>'Stammdaten - Schwimmer'!C92</f>
        <v>Angel</v>
      </c>
      <c r="D92" s="22">
        <f>'Stammdaten - Schwimmer'!J92+'Stammdaten - Schwimmer'!N92+'Stammdaten - Schwimmer'!R92+'Stammdaten - Schwimmer'!V92+'Stammdaten - Schwimmer'!Z93</f>
        <v>42</v>
      </c>
      <c r="E92" s="25">
        <f>'Stammdaten - Schwimmer'!F92</f>
        <v>22</v>
      </c>
      <c r="H92" s="24">
        <f>IF('Stammdaten - Schwimmer'!D92&gt;DATE(2011,7,20),A92,)</f>
        <v>89</v>
      </c>
      <c r="I92" s="24" t="str">
        <f>IF('Stammdaten - Schwimmer'!$D92&gt;DATE(2011,7,20),B92,)</f>
        <v>Montessoro</v>
      </c>
      <c r="J92" s="24" t="str">
        <f>IF('Stammdaten - Schwimmer'!$D92&gt;DATE(2011,7,20),C92,)</f>
        <v>Angel</v>
      </c>
      <c r="K92" s="22">
        <f>IF('Stammdaten - Schwimmer'!$D92&gt;DATE(2011,7,20),D92,)</f>
        <v>42</v>
      </c>
      <c r="L92" s="24">
        <f>IF('Stammdaten - Schwimmer'!$D92&gt;DATE(2011,7,20),'Stammdaten - Schwimmer'!F92,)</f>
        <v>22</v>
      </c>
      <c r="M92">
        <f t="shared" si="3"/>
        <v>27</v>
      </c>
      <c r="O92" s="24">
        <f>IF(AND('Stammdaten - Schwimmer'!$D92&lt;DATE(2011,7,20),'Stammdaten - Schwimmer'!$D92&gt;DATE(2007,7,19)),A92,)</f>
        <v>0</v>
      </c>
      <c r="P92" s="24">
        <f>IF(AND('Stammdaten - Schwimmer'!$D92&lt;DATE(2011,7,20),'Stammdaten - Schwimmer'!$D92&gt;DATE(2007,7,19)),B92,)</f>
        <v>0</v>
      </c>
      <c r="Q92" s="24">
        <f>IF(AND('Stammdaten - Schwimmer'!$D92&lt;DATE(2011,7,20),'Stammdaten - Schwimmer'!$D92&gt;DATE(2007,7,19)),C92,)</f>
        <v>0</v>
      </c>
      <c r="R92" s="22">
        <f>IF(AND('Stammdaten - Schwimmer'!$D92&lt;DATE(2011,7,20),'Stammdaten - Schwimmer'!$D92&gt;DATE(2007,7,19)),D92,)</f>
        <v>0</v>
      </c>
      <c r="S92" s="25">
        <f>IF(AND('Stammdaten - Schwimmer'!$D92&lt;DATE(2011,7,20),'Stammdaten - Schwimmer'!$D92&gt;DATE(2007,7,19)),'Stammdaten - Schwimmer'!F92,)</f>
        <v>0</v>
      </c>
      <c r="T92">
        <f t="shared" si="4"/>
        <v>11</v>
      </c>
      <c r="V92" s="24">
        <f>IF('Stammdaten - Schwimmer'!$D92&lt;DATE(2007,7,20),A92,)</f>
        <v>0</v>
      </c>
      <c r="W92" s="24">
        <f>IF('Stammdaten - Schwimmer'!$D92&lt;DATE(2007,7,20),B92,)</f>
        <v>0</v>
      </c>
      <c r="X92" s="24">
        <f>IF('Stammdaten - Schwimmer'!$D92&lt;DATE(2007,7,20),C92,)</f>
        <v>0</v>
      </c>
      <c r="Y92" s="22">
        <f>IF('Stammdaten - Schwimmer'!$D92&lt;DATE(2007,7,20),D92,)</f>
        <v>0</v>
      </c>
      <c r="Z92" s="25">
        <f>IF('Stammdaten - Schwimmer'!$D92&lt;DATE(2007,7,20),'Stammdaten - Schwimmer'!F92,)</f>
        <v>0</v>
      </c>
      <c r="AA92">
        <f t="shared" si="5"/>
        <v>46</v>
      </c>
    </row>
    <row r="93" spans="1:27" x14ac:dyDescent="0.35">
      <c r="A93" s="20">
        <f>'Stammdaten - Schwimmer'!A93</f>
        <v>90</v>
      </c>
      <c r="B93" s="21" t="str">
        <f>'Stammdaten - Schwimmer'!B93</f>
        <v>Frech</v>
      </c>
      <c r="C93" s="21" t="str">
        <f>'Stammdaten - Schwimmer'!C93</f>
        <v>Leonie</v>
      </c>
      <c r="D93" s="22">
        <f>'Stammdaten - Schwimmer'!J93+'Stammdaten - Schwimmer'!N93+'Stammdaten - Schwimmer'!R93+'Stammdaten - Schwimmer'!V93+'Stammdaten - Schwimmer'!Z94</f>
        <v>120</v>
      </c>
      <c r="E93" s="25">
        <f>'Stammdaten - Schwimmer'!F93</f>
        <v>48</v>
      </c>
      <c r="H93" s="24">
        <f>IF('Stammdaten - Schwimmer'!D93&gt;DATE(2011,7,20),A93,)</f>
        <v>0</v>
      </c>
      <c r="I93" s="24">
        <f>IF('Stammdaten - Schwimmer'!$D93&gt;DATE(2011,7,20),B93,)</f>
        <v>0</v>
      </c>
      <c r="J93" s="24">
        <f>IF('Stammdaten - Schwimmer'!$D93&gt;DATE(2011,7,20),C93,)</f>
        <v>0</v>
      </c>
      <c r="K93" s="22">
        <f>IF('Stammdaten - Schwimmer'!$D93&gt;DATE(2011,7,20),D93,)</f>
        <v>0</v>
      </c>
      <c r="L93" s="24">
        <f>IF('Stammdaten - Schwimmer'!$D93&gt;DATE(2011,7,20),'Stammdaten - Schwimmer'!F93,)</f>
        <v>0</v>
      </c>
      <c r="M93">
        <f t="shared" si="3"/>
        <v>34</v>
      </c>
      <c r="O93" s="24">
        <f>IF(AND('Stammdaten - Schwimmer'!$D93&lt;DATE(2011,7,20),'Stammdaten - Schwimmer'!$D93&gt;DATE(2007,7,19)),A93,)</f>
        <v>90</v>
      </c>
      <c r="P93" s="24" t="str">
        <f>IF(AND('Stammdaten - Schwimmer'!$D93&lt;DATE(2011,7,20),'Stammdaten - Schwimmer'!$D93&gt;DATE(2007,7,19)),B93,)</f>
        <v>Frech</v>
      </c>
      <c r="Q93" s="24" t="str">
        <f>IF(AND('Stammdaten - Schwimmer'!$D93&lt;DATE(2011,7,20),'Stammdaten - Schwimmer'!$D93&gt;DATE(2007,7,19)),C93,)</f>
        <v>Leonie</v>
      </c>
      <c r="R93" s="22">
        <f>IF(AND('Stammdaten - Schwimmer'!$D93&lt;DATE(2011,7,20),'Stammdaten - Schwimmer'!$D93&gt;DATE(2007,7,19)),D93,)</f>
        <v>120</v>
      </c>
      <c r="S93" s="25">
        <f>IF(AND('Stammdaten - Schwimmer'!$D93&lt;DATE(2011,7,20),'Stammdaten - Schwimmer'!$D93&gt;DATE(2007,7,19)),'Stammdaten - Schwimmer'!F93,)</f>
        <v>48</v>
      </c>
      <c r="T93">
        <f t="shared" si="4"/>
        <v>6</v>
      </c>
      <c r="V93" s="24">
        <f>IF('Stammdaten - Schwimmer'!$D93&lt;DATE(2007,7,20),A93,)</f>
        <v>0</v>
      </c>
      <c r="W93" s="24">
        <f>IF('Stammdaten - Schwimmer'!$D93&lt;DATE(2007,7,20),B93,)</f>
        <v>0</v>
      </c>
      <c r="X93" s="24">
        <f>IF('Stammdaten - Schwimmer'!$D93&lt;DATE(2007,7,20),C93,)</f>
        <v>0</v>
      </c>
      <c r="Y93" s="22">
        <f>IF('Stammdaten - Schwimmer'!$D93&lt;DATE(2007,7,20),D93,)</f>
        <v>0</v>
      </c>
      <c r="Z93" s="25">
        <f>IF('Stammdaten - Schwimmer'!$D93&lt;DATE(2007,7,20),'Stammdaten - Schwimmer'!F93,)</f>
        <v>0</v>
      </c>
      <c r="AA93">
        <f t="shared" si="5"/>
        <v>46</v>
      </c>
    </row>
    <row r="94" spans="1:27" x14ac:dyDescent="0.35">
      <c r="A94" s="20">
        <f>'Stammdaten - Schwimmer'!A94</f>
        <v>91</v>
      </c>
      <c r="B94" s="21" t="str">
        <f>'Stammdaten - Schwimmer'!B94</f>
        <v>Trinh</v>
      </c>
      <c r="C94" s="21" t="str">
        <f>'Stammdaten - Schwimmer'!C94</f>
        <v>Han</v>
      </c>
      <c r="D94" s="22">
        <f>'Stammdaten - Schwimmer'!J94+'Stammdaten - Schwimmer'!N94+'Stammdaten - Schwimmer'!R94+'Stammdaten - Schwimmer'!V94+'Stammdaten - Schwimmer'!Z95</f>
        <v>0</v>
      </c>
      <c r="E94" s="25">
        <f>'Stammdaten - Schwimmer'!F94</f>
        <v>20</v>
      </c>
      <c r="H94" s="24">
        <f>IF('Stammdaten - Schwimmer'!D94&gt;DATE(2011,7,20),A94,)</f>
        <v>0</v>
      </c>
      <c r="I94" s="24">
        <f>IF('Stammdaten - Schwimmer'!$D94&gt;DATE(2011,7,20),B94,)</f>
        <v>0</v>
      </c>
      <c r="J94" s="24">
        <f>IF('Stammdaten - Schwimmer'!$D94&gt;DATE(2011,7,20),C94,)</f>
        <v>0</v>
      </c>
      <c r="K94" s="22">
        <f>IF('Stammdaten - Schwimmer'!$D94&gt;DATE(2011,7,20),D94,)</f>
        <v>0</v>
      </c>
      <c r="L94" s="24">
        <f>IF('Stammdaten - Schwimmer'!$D94&gt;DATE(2011,7,20),'Stammdaten - Schwimmer'!F94,)</f>
        <v>0</v>
      </c>
      <c r="M94">
        <f t="shared" si="3"/>
        <v>34</v>
      </c>
      <c r="O94" s="24">
        <f>IF(AND('Stammdaten - Schwimmer'!$D94&lt;DATE(2011,7,20),'Stammdaten - Schwimmer'!$D94&gt;DATE(2007,7,19)),A94,)</f>
        <v>0</v>
      </c>
      <c r="P94" s="24">
        <f>IF(AND('Stammdaten - Schwimmer'!$D94&lt;DATE(2011,7,20),'Stammdaten - Schwimmer'!$D94&gt;DATE(2007,7,19)),B94,)</f>
        <v>0</v>
      </c>
      <c r="Q94" s="24">
        <f>IF(AND('Stammdaten - Schwimmer'!$D94&lt;DATE(2011,7,20),'Stammdaten - Schwimmer'!$D94&gt;DATE(2007,7,19)),C94,)</f>
        <v>0</v>
      </c>
      <c r="R94" s="22">
        <f>IF(AND('Stammdaten - Schwimmer'!$D94&lt;DATE(2011,7,20),'Stammdaten - Schwimmer'!$D94&gt;DATE(2007,7,19)),D94,)</f>
        <v>0</v>
      </c>
      <c r="S94" s="25">
        <f>IF(AND('Stammdaten - Schwimmer'!$D94&lt;DATE(2011,7,20),'Stammdaten - Schwimmer'!$D94&gt;DATE(2007,7,19)),'Stammdaten - Schwimmer'!F94,)</f>
        <v>0</v>
      </c>
      <c r="T94">
        <f t="shared" si="4"/>
        <v>11</v>
      </c>
      <c r="V94" s="24">
        <f>IF('Stammdaten - Schwimmer'!$D94&lt;DATE(2007,7,20),A94,)</f>
        <v>91</v>
      </c>
      <c r="W94" s="24" t="str">
        <f>IF('Stammdaten - Schwimmer'!$D94&lt;DATE(2007,7,20),B94,)</f>
        <v>Trinh</v>
      </c>
      <c r="X94" s="24" t="str">
        <f>IF('Stammdaten - Schwimmer'!$D94&lt;DATE(2007,7,20),C94,)</f>
        <v>Han</v>
      </c>
      <c r="Y94" s="22">
        <f>IF('Stammdaten - Schwimmer'!$D94&lt;DATE(2007,7,20),D94,)</f>
        <v>0</v>
      </c>
      <c r="Z94" s="25">
        <f>IF('Stammdaten - Schwimmer'!$D94&lt;DATE(2007,7,20),'Stammdaten - Schwimmer'!F94,)</f>
        <v>20</v>
      </c>
      <c r="AA94">
        <f t="shared" si="5"/>
        <v>41</v>
      </c>
    </row>
    <row r="95" spans="1:27" x14ac:dyDescent="0.35">
      <c r="A95" s="20">
        <f>'Stammdaten - Schwimmer'!A95</f>
        <v>92</v>
      </c>
      <c r="B95" s="21" t="str">
        <f>'Stammdaten - Schwimmer'!B95</f>
        <v>Trinh</v>
      </c>
      <c r="C95" s="21" t="str">
        <f>'Stammdaten - Schwimmer'!C95</f>
        <v>Tu</v>
      </c>
      <c r="D95" s="22">
        <f>'Stammdaten - Schwimmer'!J95+'Stammdaten - Schwimmer'!N95+'Stammdaten - Schwimmer'!R95+'Stammdaten - Schwimmer'!V95+'Stammdaten - Schwimmer'!Z96</f>
        <v>0</v>
      </c>
      <c r="E95" s="25">
        <f>'Stammdaten - Schwimmer'!F95</f>
        <v>10</v>
      </c>
      <c r="H95" s="24">
        <f>IF('Stammdaten - Schwimmer'!D95&gt;DATE(2011,7,20),A95,)</f>
        <v>0</v>
      </c>
      <c r="I95" s="24">
        <f>IF('Stammdaten - Schwimmer'!$D95&gt;DATE(2011,7,20),B95,)</f>
        <v>0</v>
      </c>
      <c r="J95" s="24">
        <f>IF('Stammdaten - Schwimmer'!$D95&gt;DATE(2011,7,20),C95,)</f>
        <v>0</v>
      </c>
      <c r="K95" s="22">
        <f>IF('Stammdaten - Schwimmer'!$D95&gt;DATE(2011,7,20),D95,)</f>
        <v>0</v>
      </c>
      <c r="L95" s="24">
        <f>IF('Stammdaten - Schwimmer'!$D95&gt;DATE(2011,7,20),'Stammdaten - Schwimmer'!F95,)</f>
        <v>0</v>
      </c>
      <c r="M95">
        <f t="shared" si="3"/>
        <v>34</v>
      </c>
      <c r="O95" s="24">
        <f>IF(AND('Stammdaten - Schwimmer'!$D95&lt;DATE(2011,7,20),'Stammdaten - Schwimmer'!$D95&gt;DATE(2007,7,19)),A95,)</f>
        <v>0</v>
      </c>
      <c r="P95" s="24">
        <f>IF(AND('Stammdaten - Schwimmer'!$D95&lt;DATE(2011,7,20),'Stammdaten - Schwimmer'!$D95&gt;DATE(2007,7,19)),B95,)</f>
        <v>0</v>
      </c>
      <c r="Q95" s="24">
        <f>IF(AND('Stammdaten - Schwimmer'!$D95&lt;DATE(2011,7,20),'Stammdaten - Schwimmer'!$D95&gt;DATE(2007,7,19)),C95,)</f>
        <v>0</v>
      </c>
      <c r="R95" s="22">
        <f>IF(AND('Stammdaten - Schwimmer'!$D95&lt;DATE(2011,7,20),'Stammdaten - Schwimmer'!$D95&gt;DATE(2007,7,19)),D95,)</f>
        <v>0</v>
      </c>
      <c r="S95" s="25">
        <f>IF(AND('Stammdaten - Schwimmer'!$D95&lt;DATE(2011,7,20),'Stammdaten - Schwimmer'!$D95&gt;DATE(2007,7,19)),'Stammdaten - Schwimmer'!F95,)</f>
        <v>0</v>
      </c>
      <c r="T95">
        <f t="shared" si="4"/>
        <v>11</v>
      </c>
      <c r="V95" s="24">
        <f>IF('Stammdaten - Schwimmer'!$D95&lt;DATE(2007,7,20),A95,)</f>
        <v>92</v>
      </c>
      <c r="W95" s="24" t="str">
        <f>IF('Stammdaten - Schwimmer'!$D95&lt;DATE(2007,7,20),B95,)</f>
        <v>Trinh</v>
      </c>
      <c r="X95" s="24" t="str">
        <f>IF('Stammdaten - Schwimmer'!$D95&lt;DATE(2007,7,20),C95,)</f>
        <v>Tu</v>
      </c>
      <c r="Y95" s="22">
        <f>IF('Stammdaten - Schwimmer'!$D95&lt;DATE(2007,7,20),D95,)</f>
        <v>0</v>
      </c>
      <c r="Z95" s="25">
        <f>IF('Stammdaten - Schwimmer'!$D95&lt;DATE(2007,7,20),'Stammdaten - Schwimmer'!F95,)</f>
        <v>10</v>
      </c>
      <c r="AA95">
        <f t="shared" si="5"/>
        <v>45</v>
      </c>
    </row>
    <row r="96" spans="1:27" x14ac:dyDescent="0.35">
      <c r="A96" s="20">
        <f>'Stammdaten - Schwimmer'!A96</f>
        <v>93</v>
      </c>
      <c r="B96" s="21">
        <f>'Stammdaten - Schwimmer'!B96</f>
        <v>0</v>
      </c>
      <c r="C96" s="21">
        <f>'Stammdaten - Schwimmer'!C96</f>
        <v>0</v>
      </c>
      <c r="D96" s="22">
        <f>'Stammdaten - Schwimmer'!J96+'Stammdaten - Schwimmer'!N96+'Stammdaten - Schwimmer'!R96+'Stammdaten - Schwimmer'!V96+'Stammdaten - Schwimmer'!Z97</f>
        <v>0</v>
      </c>
      <c r="E96" s="25">
        <f>'Stammdaten - Schwimmer'!F96</f>
        <v>0</v>
      </c>
      <c r="H96" s="24">
        <f>IF('Stammdaten - Schwimmer'!D96&gt;DATE(2011,7,20),A96,)</f>
        <v>0</v>
      </c>
      <c r="I96" s="24">
        <f>IF('Stammdaten - Schwimmer'!$D96&gt;DATE(2011,7,20),B96,)</f>
        <v>0</v>
      </c>
      <c r="J96" s="24">
        <f>IF('Stammdaten - Schwimmer'!$D96&gt;DATE(2011,7,20),C96,)</f>
        <v>0</v>
      </c>
      <c r="K96" s="22">
        <f>IF('Stammdaten - Schwimmer'!$D96&gt;DATE(2011,7,20),D96,)</f>
        <v>0</v>
      </c>
      <c r="L96" s="24">
        <f>IF('Stammdaten - Schwimmer'!$D96&gt;DATE(2011,7,20),'Stammdaten - Schwimmer'!F96,)</f>
        <v>0</v>
      </c>
      <c r="M96">
        <f t="shared" si="3"/>
        <v>34</v>
      </c>
      <c r="O96" s="24">
        <f>IF(AND('Stammdaten - Schwimmer'!$D96&lt;DATE(2011,7,20),'Stammdaten - Schwimmer'!$D96&gt;DATE(2007,7,19)),A96,)</f>
        <v>0</v>
      </c>
      <c r="P96" s="24">
        <f>IF(AND('Stammdaten - Schwimmer'!$D96&lt;DATE(2011,7,20),'Stammdaten - Schwimmer'!$D96&gt;DATE(2007,7,19)),B96,)</f>
        <v>0</v>
      </c>
      <c r="Q96" s="24">
        <f>IF(AND('Stammdaten - Schwimmer'!$D96&lt;DATE(2011,7,20),'Stammdaten - Schwimmer'!$D96&gt;DATE(2007,7,19)),C96,)</f>
        <v>0</v>
      </c>
      <c r="R96" s="22">
        <f>IF(AND('Stammdaten - Schwimmer'!$D96&lt;DATE(2011,7,20),'Stammdaten - Schwimmer'!$D96&gt;DATE(2007,7,19)),D96,)</f>
        <v>0</v>
      </c>
      <c r="S96" s="25">
        <f>IF(AND('Stammdaten - Schwimmer'!$D96&lt;DATE(2011,7,20),'Stammdaten - Schwimmer'!$D96&gt;DATE(2007,7,19)),'Stammdaten - Schwimmer'!F96,)</f>
        <v>0</v>
      </c>
      <c r="T96">
        <f t="shared" si="4"/>
        <v>11</v>
      </c>
      <c r="V96" s="24">
        <f>IF('Stammdaten - Schwimmer'!$D96&lt;DATE(2007,7,20),A96,)</f>
        <v>93</v>
      </c>
      <c r="W96" s="24">
        <f>IF('Stammdaten - Schwimmer'!$D96&lt;DATE(2007,7,20),B96,)</f>
        <v>0</v>
      </c>
      <c r="X96" s="24">
        <f>IF('Stammdaten - Schwimmer'!$D96&lt;DATE(2007,7,20),C96,)</f>
        <v>0</v>
      </c>
      <c r="Y96" s="22">
        <f>IF('Stammdaten - Schwimmer'!$D96&lt;DATE(2007,7,20),D96,)</f>
        <v>0</v>
      </c>
      <c r="Z96" s="25">
        <f>IF('Stammdaten - Schwimmer'!$D96&lt;DATE(2007,7,20),'Stammdaten - Schwimmer'!F96,)</f>
        <v>0</v>
      </c>
      <c r="AA96">
        <f t="shared" si="5"/>
        <v>46</v>
      </c>
    </row>
    <row r="97" spans="1:27" x14ac:dyDescent="0.35">
      <c r="A97" s="20">
        <f>'Stammdaten - Schwimmer'!A97</f>
        <v>94</v>
      </c>
      <c r="B97" s="21">
        <f>'Stammdaten - Schwimmer'!B97</f>
        <v>0</v>
      </c>
      <c r="C97" s="21">
        <f>'Stammdaten - Schwimmer'!C97</f>
        <v>0</v>
      </c>
      <c r="D97" s="22">
        <f>'Stammdaten - Schwimmer'!J97+'Stammdaten - Schwimmer'!N97+'Stammdaten - Schwimmer'!R97+'Stammdaten - Schwimmer'!V97+'Stammdaten - Schwimmer'!Z98</f>
        <v>0</v>
      </c>
      <c r="E97" s="25">
        <f>'Stammdaten - Schwimmer'!F97</f>
        <v>0</v>
      </c>
      <c r="H97" s="24">
        <f>IF('Stammdaten - Schwimmer'!D97&gt;DATE(2011,7,20),A97,)</f>
        <v>0</v>
      </c>
      <c r="I97" s="24">
        <f>IF('Stammdaten - Schwimmer'!$D97&gt;DATE(2011,7,20),B97,)</f>
        <v>0</v>
      </c>
      <c r="J97" s="24">
        <f>IF('Stammdaten - Schwimmer'!$D97&gt;DATE(2011,7,20),C97,)</f>
        <v>0</v>
      </c>
      <c r="K97" s="22">
        <f>IF('Stammdaten - Schwimmer'!$D97&gt;DATE(2011,7,20),D97,)</f>
        <v>0</v>
      </c>
      <c r="L97" s="24">
        <f>IF('Stammdaten - Schwimmer'!$D97&gt;DATE(2011,7,20),'Stammdaten - Schwimmer'!F97,)</f>
        <v>0</v>
      </c>
      <c r="M97">
        <f t="shared" si="3"/>
        <v>34</v>
      </c>
      <c r="O97" s="24">
        <f>IF(AND('Stammdaten - Schwimmer'!$D97&lt;DATE(2011,7,20),'Stammdaten - Schwimmer'!$D97&gt;DATE(2007,7,19)),A97,)</f>
        <v>0</v>
      </c>
      <c r="P97" s="24">
        <f>IF(AND('Stammdaten - Schwimmer'!$D97&lt;DATE(2011,7,20),'Stammdaten - Schwimmer'!$D97&gt;DATE(2007,7,19)),B97,)</f>
        <v>0</v>
      </c>
      <c r="Q97" s="24">
        <f>IF(AND('Stammdaten - Schwimmer'!$D97&lt;DATE(2011,7,20),'Stammdaten - Schwimmer'!$D97&gt;DATE(2007,7,19)),C97,)</f>
        <v>0</v>
      </c>
      <c r="R97" s="22">
        <f>IF(AND('Stammdaten - Schwimmer'!$D97&lt;DATE(2011,7,20),'Stammdaten - Schwimmer'!$D97&gt;DATE(2007,7,19)),D97,)</f>
        <v>0</v>
      </c>
      <c r="S97" s="25">
        <f>IF(AND('Stammdaten - Schwimmer'!$D97&lt;DATE(2011,7,20),'Stammdaten - Schwimmer'!$D97&gt;DATE(2007,7,19)),'Stammdaten - Schwimmer'!F97,)</f>
        <v>0</v>
      </c>
      <c r="T97">
        <f t="shared" si="4"/>
        <v>11</v>
      </c>
      <c r="V97" s="24">
        <f>IF('Stammdaten - Schwimmer'!$D97&lt;DATE(2007,7,20),A97,)</f>
        <v>94</v>
      </c>
      <c r="W97" s="24">
        <f>IF('Stammdaten - Schwimmer'!$D97&lt;DATE(2007,7,20),B97,)</f>
        <v>0</v>
      </c>
      <c r="X97" s="24">
        <f>IF('Stammdaten - Schwimmer'!$D97&lt;DATE(2007,7,20),C97,)</f>
        <v>0</v>
      </c>
      <c r="Y97" s="22">
        <f>IF('Stammdaten - Schwimmer'!$D97&lt;DATE(2007,7,20),D97,)</f>
        <v>0</v>
      </c>
      <c r="Z97" s="25">
        <f>IF('Stammdaten - Schwimmer'!$D97&lt;DATE(2007,7,20),'Stammdaten - Schwimmer'!F97,)</f>
        <v>0</v>
      </c>
      <c r="AA97">
        <f t="shared" si="5"/>
        <v>46</v>
      </c>
    </row>
    <row r="98" spans="1:27" x14ac:dyDescent="0.35">
      <c r="A98" s="20">
        <f>'Stammdaten - Schwimmer'!A98</f>
        <v>95</v>
      </c>
      <c r="B98" s="21">
        <f>'Stammdaten - Schwimmer'!B98</f>
        <v>0</v>
      </c>
      <c r="C98" s="21">
        <f>'Stammdaten - Schwimmer'!C98</f>
        <v>0</v>
      </c>
      <c r="D98" s="22">
        <f>'Stammdaten - Schwimmer'!J98+'Stammdaten - Schwimmer'!N98+'Stammdaten - Schwimmer'!R98+'Stammdaten - Schwimmer'!V98+'Stammdaten - Schwimmer'!Z99</f>
        <v>0</v>
      </c>
      <c r="E98" s="25">
        <f>'Stammdaten - Schwimmer'!F98</f>
        <v>0</v>
      </c>
      <c r="H98" s="24">
        <f>IF('Stammdaten - Schwimmer'!D98&gt;DATE(2011,7,20),A98,)</f>
        <v>0</v>
      </c>
      <c r="I98" s="24">
        <f>IF('Stammdaten - Schwimmer'!$D98&gt;DATE(2011,7,20),B98,)</f>
        <v>0</v>
      </c>
      <c r="J98" s="24">
        <f>IF('Stammdaten - Schwimmer'!$D98&gt;DATE(2011,7,20),C98,)</f>
        <v>0</v>
      </c>
      <c r="K98" s="22">
        <f>IF('Stammdaten - Schwimmer'!$D98&gt;DATE(2011,7,20),D98,)</f>
        <v>0</v>
      </c>
      <c r="L98" s="24">
        <f>IF('Stammdaten - Schwimmer'!$D98&gt;DATE(2011,7,20),'Stammdaten - Schwimmer'!F98,)</f>
        <v>0</v>
      </c>
      <c r="M98">
        <f t="shared" si="3"/>
        <v>34</v>
      </c>
      <c r="O98" s="24">
        <f>IF(AND('Stammdaten - Schwimmer'!$D98&lt;DATE(2011,7,20),'Stammdaten - Schwimmer'!$D98&gt;DATE(2007,7,19)),A98,)</f>
        <v>0</v>
      </c>
      <c r="P98" s="24">
        <f>IF(AND('Stammdaten - Schwimmer'!$D98&lt;DATE(2011,7,20),'Stammdaten - Schwimmer'!$D98&gt;DATE(2007,7,19)),B98,)</f>
        <v>0</v>
      </c>
      <c r="Q98" s="24">
        <f>IF(AND('Stammdaten - Schwimmer'!$D98&lt;DATE(2011,7,20),'Stammdaten - Schwimmer'!$D98&gt;DATE(2007,7,19)),C98,)</f>
        <v>0</v>
      </c>
      <c r="R98" s="22">
        <f>IF(AND('Stammdaten - Schwimmer'!$D98&lt;DATE(2011,7,20),'Stammdaten - Schwimmer'!$D98&gt;DATE(2007,7,19)),D98,)</f>
        <v>0</v>
      </c>
      <c r="S98" s="25">
        <f>IF(AND('Stammdaten - Schwimmer'!$D98&lt;DATE(2011,7,20),'Stammdaten - Schwimmer'!$D98&gt;DATE(2007,7,19)),'Stammdaten - Schwimmer'!F98,)</f>
        <v>0</v>
      </c>
      <c r="T98">
        <f t="shared" si="4"/>
        <v>11</v>
      </c>
      <c r="V98" s="24">
        <f>IF('Stammdaten - Schwimmer'!$D98&lt;DATE(2007,7,20),A98,)</f>
        <v>95</v>
      </c>
      <c r="W98" s="24">
        <f>IF('Stammdaten - Schwimmer'!$D98&lt;DATE(2007,7,20),B98,)</f>
        <v>0</v>
      </c>
      <c r="X98" s="24">
        <f>IF('Stammdaten - Schwimmer'!$D98&lt;DATE(2007,7,20),C98,)</f>
        <v>0</v>
      </c>
      <c r="Y98" s="22">
        <f>IF('Stammdaten - Schwimmer'!$D98&lt;DATE(2007,7,20),D98,)</f>
        <v>0</v>
      </c>
      <c r="Z98" s="25">
        <f>IF('Stammdaten - Schwimmer'!$D98&lt;DATE(2007,7,20),'Stammdaten - Schwimmer'!F98,)</f>
        <v>0</v>
      </c>
      <c r="AA98">
        <f t="shared" si="5"/>
        <v>46</v>
      </c>
    </row>
    <row r="99" spans="1:27" x14ac:dyDescent="0.35">
      <c r="A99" s="20">
        <f>'Stammdaten - Schwimmer'!A99</f>
        <v>96</v>
      </c>
      <c r="B99" s="21">
        <f>'Stammdaten - Schwimmer'!B99</f>
        <v>0</v>
      </c>
      <c r="C99" s="21">
        <f>'Stammdaten - Schwimmer'!C99</f>
        <v>0</v>
      </c>
      <c r="D99" s="22">
        <f>'Stammdaten - Schwimmer'!J99+'Stammdaten - Schwimmer'!N99+'Stammdaten - Schwimmer'!R99+'Stammdaten - Schwimmer'!V99+'Stammdaten - Schwimmer'!Z100</f>
        <v>0</v>
      </c>
      <c r="E99" s="25">
        <f>'Stammdaten - Schwimmer'!F99</f>
        <v>0</v>
      </c>
      <c r="H99" s="24">
        <f>IF('Stammdaten - Schwimmer'!D99&gt;DATE(2011,7,20),A99,)</f>
        <v>0</v>
      </c>
      <c r="I99" s="24">
        <f>IF('Stammdaten - Schwimmer'!$D99&gt;DATE(2011,7,20),B99,)</f>
        <v>0</v>
      </c>
      <c r="J99" s="24">
        <f>IF('Stammdaten - Schwimmer'!$D99&gt;DATE(2011,7,20),C99,)</f>
        <v>0</v>
      </c>
      <c r="K99" s="22">
        <f>IF('Stammdaten - Schwimmer'!$D99&gt;DATE(2011,7,20),D99,)</f>
        <v>0</v>
      </c>
      <c r="L99" s="24">
        <f>IF('Stammdaten - Schwimmer'!$D99&gt;DATE(2011,7,20),'Stammdaten - Schwimmer'!F99,)</f>
        <v>0</v>
      </c>
      <c r="M99">
        <f t="shared" si="3"/>
        <v>34</v>
      </c>
      <c r="O99" s="24">
        <f>IF(AND('Stammdaten - Schwimmer'!$D99&lt;DATE(2011,7,20),'Stammdaten - Schwimmer'!$D99&gt;DATE(2007,7,19)),A99,)</f>
        <v>0</v>
      </c>
      <c r="P99" s="24">
        <f>IF(AND('Stammdaten - Schwimmer'!$D99&lt;DATE(2011,7,20),'Stammdaten - Schwimmer'!$D99&gt;DATE(2007,7,19)),B99,)</f>
        <v>0</v>
      </c>
      <c r="Q99" s="24">
        <f>IF(AND('Stammdaten - Schwimmer'!$D99&lt;DATE(2011,7,20),'Stammdaten - Schwimmer'!$D99&gt;DATE(2007,7,19)),C99,)</f>
        <v>0</v>
      </c>
      <c r="R99" s="22">
        <f>IF(AND('Stammdaten - Schwimmer'!$D99&lt;DATE(2011,7,20),'Stammdaten - Schwimmer'!$D99&gt;DATE(2007,7,19)),D99,)</f>
        <v>0</v>
      </c>
      <c r="S99" s="25">
        <f>IF(AND('Stammdaten - Schwimmer'!$D99&lt;DATE(2011,7,20),'Stammdaten - Schwimmer'!$D99&gt;DATE(2007,7,19)),'Stammdaten - Schwimmer'!F99,)</f>
        <v>0</v>
      </c>
      <c r="T99">
        <f t="shared" si="4"/>
        <v>11</v>
      </c>
      <c r="V99" s="24">
        <f>IF('Stammdaten - Schwimmer'!$D99&lt;DATE(2007,7,20),A99,)</f>
        <v>96</v>
      </c>
      <c r="W99" s="24">
        <f>IF('Stammdaten - Schwimmer'!$D99&lt;DATE(2007,7,20),B99,)</f>
        <v>0</v>
      </c>
      <c r="X99" s="24">
        <f>IF('Stammdaten - Schwimmer'!$D99&lt;DATE(2007,7,20),C99,)</f>
        <v>0</v>
      </c>
      <c r="Y99" s="22">
        <f>IF('Stammdaten - Schwimmer'!$D99&lt;DATE(2007,7,20),D99,)</f>
        <v>0</v>
      </c>
      <c r="Z99" s="25">
        <f>IF('Stammdaten - Schwimmer'!$D99&lt;DATE(2007,7,20),'Stammdaten - Schwimmer'!F99,)</f>
        <v>0</v>
      </c>
      <c r="AA99">
        <f t="shared" si="5"/>
        <v>46</v>
      </c>
    </row>
    <row r="100" spans="1:27" x14ac:dyDescent="0.35">
      <c r="A100" s="20">
        <f>'Stammdaten - Schwimmer'!A100</f>
        <v>97</v>
      </c>
      <c r="B100" s="21">
        <f>'Stammdaten - Schwimmer'!B100</f>
        <v>0</v>
      </c>
      <c r="C100" s="21">
        <f>'Stammdaten - Schwimmer'!C100</f>
        <v>0</v>
      </c>
      <c r="D100" s="22">
        <f>'Stammdaten - Schwimmer'!J100+'Stammdaten - Schwimmer'!N100+'Stammdaten - Schwimmer'!R100+'Stammdaten - Schwimmer'!V100+'Stammdaten - Schwimmer'!Z101</f>
        <v>0</v>
      </c>
      <c r="E100" s="25">
        <f>'Stammdaten - Schwimmer'!F100</f>
        <v>0</v>
      </c>
      <c r="H100" s="24">
        <f>IF('Stammdaten - Schwimmer'!D100&gt;DATE(2011,7,20),A100,)</f>
        <v>0</v>
      </c>
      <c r="I100" s="24">
        <f>IF('Stammdaten - Schwimmer'!$D100&gt;DATE(2011,7,20),B100,)</f>
        <v>0</v>
      </c>
      <c r="J100" s="24">
        <f>IF('Stammdaten - Schwimmer'!$D100&gt;DATE(2011,7,20),C100,)</f>
        <v>0</v>
      </c>
      <c r="K100" s="22">
        <f>IF('Stammdaten - Schwimmer'!$D100&gt;DATE(2011,7,20),D100,)</f>
        <v>0</v>
      </c>
      <c r="L100" s="24">
        <f>IF('Stammdaten - Schwimmer'!$D100&gt;DATE(2011,7,20),'Stammdaten - Schwimmer'!F100,)</f>
        <v>0</v>
      </c>
      <c r="M100">
        <f t="shared" si="3"/>
        <v>34</v>
      </c>
      <c r="O100" s="24">
        <f>IF(AND('Stammdaten - Schwimmer'!$D100&lt;DATE(2011,7,20),'Stammdaten - Schwimmer'!$D100&gt;DATE(2007,7,19)),A100,)</f>
        <v>0</v>
      </c>
      <c r="P100" s="24">
        <f>IF(AND('Stammdaten - Schwimmer'!$D100&lt;DATE(2011,7,20),'Stammdaten - Schwimmer'!$D100&gt;DATE(2007,7,19)),B100,)</f>
        <v>0</v>
      </c>
      <c r="Q100" s="24">
        <f>IF(AND('Stammdaten - Schwimmer'!$D100&lt;DATE(2011,7,20),'Stammdaten - Schwimmer'!$D100&gt;DATE(2007,7,19)),C100,)</f>
        <v>0</v>
      </c>
      <c r="R100" s="22">
        <f>IF(AND('Stammdaten - Schwimmer'!$D100&lt;DATE(2011,7,20),'Stammdaten - Schwimmer'!$D100&gt;DATE(2007,7,19)),D100,)</f>
        <v>0</v>
      </c>
      <c r="S100" s="25">
        <f>IF(AND('Stammdaten - Schwimmer'!$D100&lt;DATE(2011,7,20),'Stammdaten - Schwimmer'!$D100&gt;DATE(2007,7,19)),'Stammdaten - Schwimmer'!F100,)</f>
        <v>0</v>
      </c>
      <c r="T100">
        <f t="shared" si="4"/>
        <v>11</v>
      </c>
      <c r="V100" s="24">
        <f>IF('Stammdaten - Schwimmer'!$D100&lt;DATE(2007,7,20),A100,)</f>
        <v>97</v>
      </c>
      <c r="W100" s="24">
        <f>IF('Stammdaten - Schwimmer'!$D100&lt;DATE(2007,7,20),B100,)</f>
        <v>0</v>
      </c>
      <c r="X100" s="24">
        <f>IF('Stammdaten - Schwimmer'!$D100&lt;DATE(2007,7,20),C100,)</f>
        <v>0</v>
      </c>
      <c r="Y100" s="22">
        <f>IF('Stammdaten - Schwimmer'!$D100&lt;DATE(2007,7,20),D100,)</f>
        <v>0</v>
      </c>
      <c r="Z100" s="25">
        <f>IF('Stammdaten - Schwimmer'!$D100&lt;DATE(2007,7,20),'Stammdaten - Schwimmer'!F100,)</f>
        <v>0</v>
      </c>
      <c r="AA100">
        <f t="shared" si="5"/>
        <v>46</v>
      </c>
    </row>
    <row r="101" spans="1:27" x14ac:dyDescent="0.35">
      <c r="A101" s="20">
        <f>'Stammdaten - Schwimmer'!A101</f>
        <v>98</v>
      </c>
      <c r="B101" s="21">
        <f>'Stammdaten - Schwimmer'!B101</f>
        <v>0</v>
      </c>
      <c r="C101" s="21">
        <f>'Stammdaten - Schwimmer'!C101</f>
        <v>0</v>
      </c>
      <c r="D101" s="22">
        <f>'Stammdaten - Schwimmer'!J101+'Stammdaten - Schwimmer'!N101+'Stammdaten - Schwimmer'!R101+'Stammdaten - Schwimmer'!V101+'Stammdaten - Schwimmer'!Z102</f>
        <v>0</v>
      </c>
      <c r="E101" s="25">
        <f>'Stammdaten - Schwimmer'!F101</f>
        <v>0</v>
      </c>
      <c r="H101" s="24">
        <f>IF('Stammdaten - Schwimmer'!D101&gt;DATE(2011,7,20),A101,)</f>
        <v>0</v>
      </c>
      <c r="I101" s="24">
        <f>IF('Stammdaten - Schwimmer'!$D101&gt;DATE(2011,7,20),B101,)</f>
        <v>0</v>
      </c>
      <c r="J101" s="24">
        <f>IF('Stammdaten - Schwimmer'!$D101&gt;DATE(2011,7,20),C101,)</f>
        <v>0</v>
      </c>
      <c r="K101" s="22">
        <f>IF('Stammdaten - Schwimmer'!$D101&gt;DATE(2011,7,20),D101,)</f>
        <v>0</v>
      </c>
      <c r="L101" s="24">
        <f>IF('Stammdaten - Schwimmer'!$D101&gt;DATE(2011,7,20),'Stammdaten - Schwimmer'!F101,)</f>
        <v>0</v>
      </c>
      <c r="M101">
        <f t="shared" si="3"/>
        <v>34</v>
      </c>
      <c r="O101" s="24">
        <f>IF(AND('Stammdaten - Schwimmer'!$D101&lt;DATE(2011,7,20),'Stammdaten - Schwimmer'!$D101&gt;DATE(2007,7,19)),A101,)</f>
        <v>0</v>
      </c>
      <c r="P101" s="24">
        <f>IF(AND('Stammdaten - Schwimmer'!$D101&lt;DATE(2011,7,20),'Stammdaten - Schwimmer'!$D101&gt;DATE(2007,7,19)),B101,)</f>
        <v>0</v>
      </c>
      <c r="Q101" s="24">
        <f>IF(AND('Stammdaten - Schwimmer'!$D101&lt;DATE(2011,7,20),'Stammdaten - Schwimmer'!$D101&gt;DATE(2007,7,19)),C101,)</f>
        <v>0</v>
      </c>
      <c r="R101" s="22">
        <f>IF(AND('Stammdaten - Schwimmer'!$D101&lt;DATE(2011,7,20),'Stammdaten - Schwimmer'!$D101&gt;DATE(2007,7,19)),D101,)</f>
        <v>0</v>
      </c>
      <c r="S101" s="25">
        <f>IF(AND('Stammdaten - Schwimmer'!$D101&lt;DATE(2011,7,20),'Stammdaten - Schwimmer'!$D101&gt;DATE(2007,7,19)),'Stammdaten - Schwimmer'!F101,)</f>
        <v>0</v>
      </c>
      <c r="T101">
        <f t="shared" si="4"/>
        <v>11</v>
      </c>
      <c r="V101" s="24">
        <f>IF('Stammdaten - Schwimmer'!$D101&lt;DATE(2007,7,20),A101,)</f>
        <v>98</v>
      </c>
      <c r="W101" s="24">
        <f>IF('Stammdaten - Schwimmer'!$D101&lt;DATE(2007,7,20),B101,)</f>
        <v>0</v>
      </c>
      <c r="X101" s="24">
        <f>IF('Stammdaten - Schwimmer'!$D101&lt;DATE(2007,7,20),C101,)</f>
        <v>0</v>
      </c>
      <c r="Y101" s="22">
        <f>IF('Stammdaten - Schwimmer'!$D101&lt;DATE(2007,7,20),D101,)</f>
        <v>0</v>
      </c>
      <c r="Z101" s="25">
        <f>IF('Stammdaten - Schwimmer'!$D101&lt;DATE(2007,7,20),'Stammdaten - Schwimmer'!F101,)</f>
        <v>0</v>
      </c>
      <c r="AA101">
        <f t="shared" si="5"/>
        <v>46</v>
      </c>
    </row>
    <row r="102" spans="1:27" x14ac:dyDescent="0.35">
      <c r="A102" s="20">
        <f>'Stammdaten - Schwimmer'!A102</f>
        <v>99</v>
      </c>
      <c r="B102" s="21">
        <f>'Stammdaten - Schwimmer'!B102</f>
        <v>0</v>
      </c>
      <c r="C102" s="21">
        <f>'Stammdaten - Schwimmer'!C102</f>
        <v>0</v>
      </c>
      <c r="D102" s="22">
        <f>'Stammdaten - Schwimmer'!J102+'Stammdaten - Schwimmer'!N102+'Stammdaten - Schwimmer'!R102+'Stammdaten - Schwimmer'!V102+'Stammdaten - Schwimmer'!Z103</f>
        <v>0</v>
      </c>
      <c r="E102" s="25">
        <f>'Stammdaten - Schwimmer'!F102</f>
        <v>0</v>
      </c>
      <c r="H102" s="24">
        <f>IF('Stammdaten - Schwimmer'!D102&gt;DATE(2011,7,20),A102,)</f>
        <v>0</v>
      </c>
      <c r="I102" s="24">
        <f>IF('Stammdaten - Schwimmer'!$D102&gt;DATE(2011,7,20),B102,)</f>
        <v>0</v>
      </c>
      <c r="J102" s="24">
        <f>IF('Stammdaten - Schwimmer'!$D102&gt;DATE(2011,7,20),C102,)</f>
        <v>0</v>
      </c>
      <c r="K102" s="22">
        <f>IF('Stammdaten - Schwimmer'!$D102&gt;DATE(2011,7,20),D102,)</f>
        <v>0</v>
      </c>
      <c r="L102" s="24">
        <f>IF('Stammdaten - Schwimmer'!$D102&gt;DATE(2011,7,20),'Stammdaten - Schwimmer'!F102,)</f>
        <v>0</v>
      </c>
      <c r="M102">
        <f t="shared" si="3"/>
        <v>34</v>
      </c>
      <c r="O102" s="24">
        <f>IF(AND('Stammdaten - Schwimmer'!$D102&lt;DATE(2011,7,20),'Stammdaten - Schwimmer'!$D102&gt;DATE(2007,7,19)),A102,)</f>
        <v>0</v>
      </c>
      <c r="P102" s="24">
        <f>IF(AND('Stammdaten - Schwimmer'!$D102&lt;DATE(2011,7,20),'Stammdaten - Schwimmer'!$D102&gt;DATE(2007,7,19)),B102,)</f>
        <v>0</v>
      </c>
      <c r="Q102" s="24">
        <f>IF(AND('Stammdaten - Schwimmer'!$D102&lt;DATE(2011,7,20),'Stammdaten - Schwimmer'!$D102&gt;DATE(2007,7,19)),C102,)</f>
        <v>0</v>
      </c>
      <c r="R102" s="22">
        <f>IF(AND('Stammdaten - Schwimmer'!$D102&lt;DATE(2011,7,20),'Stammdaten - Schwimmer'!$D102&gt;DATE(2007,7,19)),D102,)</f>
        <v>0</v>
      </c>
      <c r="S102" s="25">
        <f>IF(AND('Stammdaten - Schwimmer'!$D102&lt;DATE(2011,7,20),'Stammdaten - Schwimmer'!$D102&gt;DATE(2007,7,19)),'Stammdaten - Schwimmer'!F102,)</f>
        <v>0</v>
      </c>
      <c r="T102">
        <f t="shared" si="4"/>
        <v>11</v>
      </c>
      <c r="V102" s="24">
        <f>IF('Stammdaten - Schwimmer'!$D102&lt;DATE(2007,7,20),A102,)</f>
        <v>99</v>
      </c>
      <c r="W102" s="24">
        <f>IF('Stammdaten - Schwimmer'!$D102&lt;DATE(2007,7,20),B102,)</f>
        <v>0</v>
      </c>
      <c r="X102" s="24">
        <f>IF('Stammdaten - Schwimmer'!$D102&lt;DATE(2007,7,20),C102,)</f>
        <v>0</v>
      </c>
      <c r="Y102" s="22">
        <f>IF('Stammdaten - Schwimmer'!$D102&lt;DATE(2007,7,20),D102,)</f>
        <v>0</v>
      </c>
      <c r="Z102" s="25">
        <f>IF('Stammdaten - Schwimmer'!$D102&lt;DATE(2007,7,20),'Stammdaten - Schwimmer'!F102,)</f>
        <v>0</v>
      </c>
      <c r="AA102">
        <f t="shared" si="5"/>
        <v>46</v>
      </c>
    </row>
    <row r="103" spans="1:27" x14ac:dyDescent="0.35">
      <c r="A103" s="20">
        <f>'Stammdaten - Schwimmer'!A103</f>
        <v>100</v>
      </c>
      <c r="B103" s="21">
        <f>'Stammdaten - Schwimmer'!B103</f>
        <v>0</v>
      </c>
      <c r="C103" s="21">
        <f>'Stammdaten - Schwimmer'!C103</f>
        <v>0</v>
      </c>
      <c r="D103" s="22">
        <f>'Stammdaten - Schwimmer'!J103+'Stammdaten - Schwimmer'!N103+'Stammdaten - Schwimmer'!R103+'Stammdaten - Schwimmer'!V103+'Stammdaten - Schwimmer'!Z104</f>
        <v>0</v>
      </c>
      <c r="E103" s="25">
        <f>'Stammdaten - Schwimmer'!F103</f>
        <v>0</v>
      </c>
      <c r="H103" s="24">
        <f>IF('Stammdaten - Schwimmer'!D103&gt;DATE(2011,7,20),A103,)</f>
        <v>0</v>
      </c>
      <c r="I103" s="24">
        <f>IF('Stammdaten - Schwimmer'!$D103&gt;DATE(2011,7,20),B103,)</f>
        <v>0</v>
      </c>
      <c r="J103" s="24">
        <f>IF('Stammdaten - Schwimmer'!$D103&gt;DATE(2011,7,20),C103,)</f>
        <v>0</v>
      </c>
      <c r="K103" s="22">
        <f>IF('Stammdaten - Schwimmer'!$D103&gt;DATE(2011,7,20),D103,)</f>
        <v>0</v>
      </c>
      <c r="L103" s="24">
        <f>IF('Stammdaten - Schwimmer'!$D103&gt;DATE(2011,7,20),'Stammdaten - Schwimmer'!F103,)</f>
        <v>0</v>
      </c>
      <c r="M103">
        <f t="shared" si="3"/>
        <v>34</v>
      </c>
      <c r="O103" s="24">
        <f>IF(AND('Stammdaten - Schwimmer'!$D103&lt;DATE(2011,7,20),'Stammdaten - Schwimmer'!$D103&gt;DATE(2007,7,19)),A103,)</f>
        <v>0</v>
      </c>
      <c r="P103" s="24">
        <f>IF(AND('Stammdaten - Schwimmer'!$D103&lt;DATE(2011,7,20),'Stammdaten - Schwimmer'!$D103&gt;DATE(2007,7,19)),B103,)</f>
        <v>0</v>
      </c>
      <c r="Q103" s="24">
        <f>IF(AND('Stammdaten - Schwimmer'!$D103&lt;DATE(2011,7,20),'Stammdaten - Schwimmer'!$D103&gt;DATE(2007,7,19)),C103,)</f>
        <v>0</v>
      </c>
      <c r="R103" s="22">
        <f>IF(AND('Stammdaten - Schwimmer'!$D103&lt;DATE(2011,7,20),'Stammdaten - Schwimmer'!$D103&gt;DATE(2007,7,19)),D103,)</f>
        <v>0</v>
      </c>
      <c r="S103" s="25">
        <f>IF(AND('Stammdaten - Schwimmer'!$D103&lt;DATE(2011,7,20),'Stammdaten - Schwimmer'!$D103&gt;DATE(2007,7,19)),'Stammdaten - Schwimmer'!F103,)</f>
        <v>0</v>
      </c>
      <c r="T103">
        <f t="shared" si="4"/>
        <v>11</v>
      </c>
      <c r="V103" s="24">
        <f>IF('Stammdaten - Schwimmer'!$D103&lt;DATE(2007,7,20),A103,)</f>
        <v>100</v>
      </c>
      <c r="W103" s="24">
        <f>IF('Stammdaten - Schwimmer'!$D103&lt;DATE(2007,7,20),B103,)</f>
        <v>0</v>
      </c>
      <c r="X103" s="24">
        <f>IF('Stammdaten - Schwimmer'!$D103&lt;DATE(2007,7,20),C103,)</f>
        <v>0</v>
      </c>
      <c r="Y103" s="22">
        <f>IF('Stammdaten - Schwimmer'!$D103&lt;DATE(2007,7,20),D103,)</f>
        <v>0</v>
      </c>
      <c r="Z103" s="25">
        <f>IF('Stammdaten - Schwimmer'!$D103&lt;DATE(2007,7,20),'Stammdaten - Schwimmer'!F103,)</f>
        <v>0</v>
      </c>
      <c r="AA103">
        <f t="shared" si="5"/>
        <v>46</v>
      </c>
    </row>
    <row r="104" spans="1:27" x14ac:dyDescent="0.35">
      <c r="D104" s="14">
        <f>SUM(D4:D103)</f>
        <v>7543</v>
      </c>
    </row>
  </sheetData>
  <pageMargins left="0.7" right="0.7" top="0.78740157499999996" bottom="0.78740157499999996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U103"/>
  <sheetViews>
    <sheetView topLeftCell="A58" workbookViewId="0">
      <selection activeCell="N2" sqref="N2"/>
    </sheetView>
  </sheetViews>
  <sheetFormatPr baseColWidth="10" defaultRowHeight="14.5" x14ac:dyDescent="0.35"/>
  <cols>
    <col min="2" max="2" width="23.26953125" customWidth="1"/>
    <col min="3" max="3" width="20.453125" customWidth="1"/>
    <col min="4" max="4" width="11.453125" style="14"/>
    <col min="5" max="5" width="11.453125" style="2"/>
    <col min="15" max="15" width="23.453125" customWidth="1"/>
    <col min="16" max="16" width="22" customWidth="1"/>
    <col min="17" max="17" width="11.453125" style="2"/>
    <col min="18" max="18" width="15.81640625" customWidth="1"/>
  </cols>
  <sheetData>
    <row r="1" spans="1:21" x14ac:dyDescent="0.35">
      <c r="A1" t="s">
        <v>39</v>
      </c>
      <c r="D1" s="2"/>
      <c r="E1"/>
      <c r="N1">
        <v>1029</v>
      </c>
      <c r="O1">
        <f>N1-1000</f>
        <v>29</v>
      </c>
      <c r="P1">
        <f>O1+3</f>
        <v>32</v>
      </c>
      <c r="Q1"/>
    </row>
    <row r="2" spans="1:21" x14ac:dyDescent="0.35">
      <c r="D2" s="2"/>
      <c r="E2"/>
      <c r="Q2"/>
    </row>
    <row r="3" spans="1:21" ht="29" x14ac:dyDescent="0.35">
      <c r="A3" s="26" t="s">
        <v>1</v>
      </c>
      <c r="B3" s="26" t="s">
        <v>7</v>
      </c>
      <c r="C3" s="26" t="s">
        <v>8</v>
      </c>
      <c r="D3" s="26" t="s">
        <v>40</v>
      </c>
      <c r="E3"/>
      <c r="P3" t="s">
        <v>77</v>
      </c>
      <c r="Q3"/>
    </row>
    <row r="4" spans="1:21" x14ac:dyDescent="0.35">
      <c r="A4" s="24">
        <f>'Stammdaten - Sponsoren'!A4</f>
        <v>1001</v>
      </c>
      <c r="B4" s="34" t="str">
        <f>'Stammdaten - Sponsoren'!B4</f>
        <v>Förderverein ETB</v>
      </c>
      <c r="C4" s="34" t="str">
        <f>'Stammdaten - Sponsoren'!C4</f>
        <v>Thomas Schmid</v>
      </c>
      <c r="D4" s="22">
        <f>SUMIF('Stammdaten - Schwimmer'!G$4:G$103,'Stammdaten - Sponsoren'!A4,'Stammdaten - Schwimmer'!J$4:J$103)+SUMIF('Stammdaten - Schwimmer'!K$4:K$103,'Stammdaten - Sponsoren'!A4,'Stammdaten - Schwimmer'!N$4:N$103)+SUMIF('Stammdaten - Schwimmer'!O$4:O$103,'Stammdaten - Sponsoren'!A4,'Stammdaten - Schwimmer'!R$4:R$103)+SUMIF('Stammdaten - Schwimmer'!S$4:S$103,'Stammdaten - Sponsoren'!A4,'Stammdaten - Schwimmer'!V$4:V$103)</f>
        <v>0</v>
      </c>
      <c r="E4"/>
      <c r="Q4"/>
    </row>
    <row r="5" spans="1:21" x14ac:dyDescent="0.35">
      <c r="A5" s="24">
        <f>'Stammdaten - Sponsoren'!A5</f>
        <v>1002</v>
      </c>
      <c r="B5" s="34" t="str">
        <f>'Stammdaten - Sponsoren'!B5</f>
        <v>DLRG OG VAI</v>
      </c>
      <c r="C5" s="34" t="str">
        <f>'Stammdaten - Sponsoren'!C5</f>
        <v>Thomas Schmid</v>
      </c>
      <c r="D5" s="22">
        <f>SUMIF('Stammdaten - Schwimmer'!G$4:G$103,'Stammdaten - Sponsoren'!A5,'Stammdaten - Schwimmer'!J$4:J$103)+SUMIF('Stammdaten - Schwimmer'!K$4:K$103,'Stammdaten - Sponsoren'!A5,'Stammdaten - Schwimmer'!N$4:N$103)+SUMIF('Stammdaten - Schwimmer'!O$4:O$103,'Stammdaten - Sponsoren'!A5,'Stammdaten - Schwimmer'!R$4:R$103)+SUMIF('Stammdaten - Schwimmer'!S$4:S$103,'Stammdaten - Sponsoren'!A5,'Stammdaten - Schwimmer'!V$4:V$103)</f>
        <v>732.5</v>
      </c>
      <c r="E5"/>
      <c r="Q5"/>
    </row>
    <row r="6" spans="1:21" ht="29" x14ac:dyDescent="0.35">
      <c r="A6" s="24">
        <f>'Stammdaten - Sponsoren'!A6</f>
        <v>1003</v>
      </c>
      <c r="B6" s="34" t="str">
        <f>'Stammdaten - Sponsoren'!B6</f>
        <v>TVV 
Schwimmabteilung</v>
      </c>
      <c r="C6" s="34" t="str">
        <f>'Stammdaten - Sponsoren'!C6</f>
        <v>Tim Bauer</v>
      </c>
      <c r="D6" s="22">
        <f>SUMIF('Stammdaten - Schwimmer'!G$4:G$103,'Stammdaten - Sponsoren'!A6,'Stammdaten - Schwimmer'!J$4:J$103)+SUMIF('Stammdaten - Schwimmer'!K$4:K$103,'Stammdaten - Sponsoren'!A6,'Stammdaten - Schwimmer'!N$4:N$103)+SUMIF('Stammdaten - Schwimmer'!O$4:O$103,'Stammdaten - Sponsoren'!A6,'Stammdaten - Schwimmer'!R$4:R$103)+SUMIF('Stammdaten - Schwimmer'!S$4:S$103,'Stammdaten - Sponsoren'!A6,'Stammdaten - Schwimmer'!V$4:V$103)</f>
        <v>1059.5</v>
      </c>
      <c r="E6"/>
      <c r="N6" s="1" t="s">
        <v>78</v>
      </c>
      <c r="O6" s="1" t="s">
        <v>79</v>
      </c>
      <c r="P6" s="1" t="s">
        <v>80</v>
      </c>
      <c r="Q6"/>
      <c r="R6" s="1" t="s">
        <v>9</v>
      </c>
    </row>
    <row r="7" spans="1:21" x14ac:dyDescent="0.35">
      <c r="A7" s="24">
        <f>'Stammdaten - Sponsoren'!A7</f>
        <v>1004</v>
      </c>
      <c r="B7" s="34" t="str">
        <f>'Stammdaten - Sponsoren'!B7</f>
        <v>Schieban</v>
      </c>
      <c r="C7" s="34" t="str">
        <f>'Stammdaten - Sponsoren'!C7</f>
        <v>Karin</v>
      </c>
      <c r="D7" s="22">
        <f>SUMIF('Stammdaten - Schwimmer'!G$4:G$103,'Stammdaten - Sponsoren'!A7,'Stammdaten - Schwimmer'!J$4:J$103)+SUMIF('Stammdaten - Schwimmer'!K$4:K$103,'Stammdaten - Sponsoren'!A7,'Stammdaten - Schwimmer'!N$4:N$103)+SUMIF('Stammdaten - Schwimmer'!O$4:O$103,'Stammdaten - Sponsoren'!A7,'Stammdaten - Schwimmer'!R$4:R$103)+SUMIF('Stammdaten - Schwimmer'!S$4:S$103,'Stammdaten - Sponsoren'!A7,'Stammdaten - Schwimmer'!V$4:V$103)</f>
        <v>100</v>
      </c>
      <c r="E7"/>
      <c r="N7">
        <f>INDEX('Stammdaten - Sponsoren'!$A$4:$D103,'Spenden-Kalkulation-Sponsor'!$O$1,1)</f>
        <v>1029</v>
      </c>
      <c r="O7" t="str">
        <f>INDEX('Stammdaten - Sponsoren'!$A$4:$D103,'Spenden-Kalkulation-Sponsor'!$O$1,2)</f>
        <v>^Kanuclub CJD kaltenstein</v>
      </c>
      <c r="P7" t="str">
        <f>INDEX('Stammdaten - Sponsoren'!$A$4:$D103,'Spenden-Kalkulation-Sponsor'!$O$1,3)</f>
        <v>Michael Fischer</v>
      </c>
      <c r="R7" t="str">
        <f>INDEX('Stammdaten - Sponsoren'!$A$4:$D103,'Spenden-Kalkulation-Sponsor'!$O$1,4)</f>
        <v>Klaiberstr 7/1 71665 Vaihingen Enz</v>
      </c>
    </row>
    <row r="8" spans="1:21" x14ac:dyDescent="0.35">
      <c r="A8" s="24">
        <f>'Stammdaten - Sponsoren'!A8</f>
        <v>1005</v>
      </c>
      <c r="B8" s="34" t="str">
        <f>'Stammdaten - Sponsoren'!B8</f>
        <v>Familie Hueber</v>
      </c>
      <c r="C8" s="34">
        <f>'Stammdaten - Sponsoren'!C8</f>
        <v>0</v>
      </c>
      <c r="D8" s="22">
        <f>SUMIF('Stammdaten - Schwimmer'!G$4:G$103,'Stammdaten - Sponsoren'!A8,'Stammdaten - Schwimmer'!J$4:J$103)+SUMIF('Stammdaten - Schwimmer'!K$4:K$103,'Stammdaten - Sponsoren'!A8,'Stammdaten - Schwimmer'!N$4:N$103)+SUMIF('Stammdaten - Schwimmer'!O$4:O$103,'Stammdaten - Sponsoren'!A8,'Stammdaten - Schwimmer'!R$4:R$103)+SUMIF('Stammdaten - Schwimmer'!S$4:S$103,'Stammdaten - Sponsoren'!A8,'Stammdaten - Schwimmer'!V$4:V$103)</f>
        <v>175</v>
      </c>
      <c r="E8"/>
    </row>
    <row r="9" spans="1:21" x14ac:dyDescent="0.35">
      <c r="A9" s="24">
        <f>'Stammdaten - Sponsoren'!A9</f>
        <v>1006</v>
      </c>
      <c r="B9" s="34" t="str">
        <f>'Stammdaten - Sponsoren'!B9</f>
        <v>Seel</v>
      </c>
      <c r="C9" s="34" t="str">
        <f>'Stammdaten - Sponsoren'!C9</f>
        <v>Rita</v>
      </c>
      <c r="D9" s="22">
        <f>SUMIF('Stammdaten - Schwimmer'!G$4:G$103,'Stammdaten - Sponsoren'!A9,'Stammdaten - Schwimmer'!J$4:J$103)+SUMIF('Stammdaten - Schwimmer'!K$4:K$103,'Stammdaten - Sponsoren'!A9,'Stammdaten - Schwimmer'!N$4:N$103)+SUMIF('Stammdaten - Schwimmer'!O$4:O$103,'Stammdaten - Sponsoren'!A9,'Stammdaten - Schwimmer'!R$4:R$103)+SUMIF('Stammdaten - Schwimmer'!S$4:S$103,'Stammdaten - Sponsoren'!A9,'Stammdaten - Schwimmer'!V$4:V$103)</f>
        <v>74</v>
      </c>
      <c r="E9"/>
    </row>
    <row r="10" spans="1:21" ht="29" x14ac:dyDescent="0.35">
      <c r="A10" s="24">
        <f>'Stammdaten - Sponsoren'!A10</f>
        <v>1007</v>
      </c>
      <c r="B10" s="34" t="str">
        <f>'Stammdaten - Sponsoren'!B10</f>
        <v>Häcker</v>
      </c>
      <c r="C10" s="34" t="str">
        <f>'Stammdaten - Sponsoren'!C10</f>
        <v>Rudi</v>
      </c>
      <c r="D10" s="22">
        <f>SUMIF('Stammdaten - Schwimmer'!G$4:G$103,'Stammdaten - Sponsoren'!A10,'Stammdaten - Schwimmer'!J$4:J$103)+SUMIF('Stammdaten - Schwimmer'!K$4:K$103,'Stammdaten - Sponsoren'!A10,'Stammdaten - Schwimmer'!N$4:N$103)+SUMIF('Stammdaten - Schwimmer'!O$4:O$103,'Stammdaten - Sponsoren'!A10,'Stammdaten - Schwimmer'!R$4:R$103)+SUMIF('Stammdaten - Schwimmer'!S$4:S$103,'Stammdaten - Sponsoren'!A10,'Stammdaten - Schwimmer'!V$4:V$103)</f>
        <v>74</v>
      </c>
      <c r="E10"/>
      <c r="N10" s="3" t="s">
        <v>118</v>
      </c>
      <c r="O10" s="2" t="s">
        <v>19</v>
      </c>
      <c r="P10" s="2" t="s">
        <v>20</v>
      </c>
      <c r="Q10" s="3" t="s">
        <v>92</v>
      </c>
      <c r="R10" s="3" t="s">
        <v>93</v>
      </c>
      <c r="S10" s="3" t="s">
        <v>94</v>
      </c>
      <c r="T10" s="1" t="s">
        <v>86</v>
      </c>
      <c r="U10" s="3" t="s">
        <v>95</v>
      </c>
    </row>
    <row r="11" spans="1:21" x14ac:dyDescent="0.35">
      <c r="A11" s="24">
        <f>'Stammdaten - Sponsoren'!A11</f>
        <v>1008</v>
      </c>
      <c r="B11" s="34" t="str">
        <f>'Stammdaten - Sponsoren'!B11</f>
        <v>Häcker</v>
      </c>
      <c r="C11" s="34" t="str">
        <f>'Stammdaten - Sponsoren'!C11</f>
        <v>Jürgen</v>
      </c>
      <c r="D11" s="22">
        <f>SUMIF('Stammdaten - Schwimmer'!G$4:G$103,'Stammdaten - Sponsoren'!A11,'Stammdaten - Schwimmer'!J$4:J$103)+SUMIF('Stammdaten - Schwimmer'!K$4:K$103,'Stammdaten - Sponsoren'!A11,'Stammdaten - Schwimmer'!N$4:N$103)+SUMIF('Stammdaten - Schwimmer'!O$4:O$103,'Stammdaten - Sponsoren'!A11,'Stammdaten - Schwimmer'!R$4:R$103)+SUMIF('Stammdaten - Schwimmer'!S$4:S$103,'Stammdaten - Sponsoren'!A11,'Stammdaten - Schwimmer'!V$4:V$103)</f>
        <v>40</v>
      </c>
      <c r="E11"/>
      <c r="N11">
        <f>IF(INDEX('Stammdaten - Sponsoren'!$A$4:$M103,'Spenden-Kalkulation-Sponsor'!$O$1,6)&gt;500, INDEX('Stammdaten Teams'!$A$4:$H54,'Spenden-Kalkulation-Sponsor'!$O$1,1),)</f>
        <v>0</v>
      </c>
      <c r="O11">
        <f>IF(INDEX('Stammdaten - Sponsoren'!$A$4:$M103,'Spenden-Kalkulation-Sponsor'!$O$1,6)&gt;500, INDEX('Stammdaten Teams'!$A$4:$H54,'Spenden-Kalkulation-Sponsor'!$O$1,2),)</f>
        <v>0</v>
      </c>
      <c r="P11">
        <f>IF(INDEX('Stammdaten - Sponsoren'!$A$4:$M103,'Spenden-Kalkulation-Sponsor'!$O$1,6)&gt;500, INDEX('Stammdaten Teams'!$A$4:$H54,'Spenden-Kalkulation-Sponsor'!$O$1,3),)</f>
        <v>0</v>
      </c>
      <c r="Q11">
        <f>IF(INDEX('Stammdaten - Sponsoren'!$A$4:$M103,'Spenden-Kalkulation-Sponsor'!$O$1,6)&gt;500, INDEX('Stammdaten Teams'!$A$4:$H54,'Spenden-Kalkulation-Sponsor'!$O$1,4),)</f>
        <v>0</v>
      </c>
      <c r="R11">
        <f>IF(INDEX('Stammdaten - Sponsoren'!$A$4:$M103,'Spenden-Kalkulation-Sponsor'!$O$1,6)&gt;500, INDEX('Stammdaten Teams'!$A$4:$H54,'Spenden-Kalkulation-Sponsor'!$O$1,5),)</f>
        <v>0</v>
      </c>
      <c r="S11" s="40">
        <f>IF(INDEX('Stammdaten - Sponsoren'!$A$4:$M103,'Spenden-Kalkulation-Sponsor'!$O$1,6)&gt;500, INDEX('Stammdaten Teams'!$A$4:$H54,'Spenden-Kalkulation-Sponsor'!$O$1,6),)</f>
        <v>0</v>
      </c>
      <c r="T11" s="40"/>
      <c r="U11" s="40">
        <f>IF(INDEX('Stammdaten - Sponsoren'!$A$4:$M103,'Spenden-Kalkulation-Sponsor'!$O$1,6)&gt;500, INDEX('Stammdaten Teams'!$A$4:$H54,'Spenden-Kalkulation-Sponsor'!$O$1,7),)</f>
        <v>0</v>
      </c>
    </row>
    <row r="12" spans="1:21" x14ac:dyDescent="0.35">
      <c r="A12" s="24">
        <f>'Stammdaten - Sponsoren'!A12</f>
        <v>1009</v>
      </c>
      <c r="B12" s="34" t="str">
        <f>'Stammdaten - Sponsoren'!B12</f>
        <v>Kombächer</v>
      </c>
      <c r="C12" s="34" t="str">
        <f>'Stammdaten - Sponsoren'!C12</f>
        <v>Erich</v>
      </c>
      <c r="D12" s="22">
        <f>SUMIF('Stammdaten - Schwimmer'!G$4:G$103,'Stammdaten - Sponsoren'!A12,'Stammdaten - Schwimmer'!J$4:J$103)+SUMIF('Stammdaten - Schwimmer'!K$4:K$103,'Stammdaten - Sponsoren'!A12,'Stammdaten - Schwimmer'!N$4:N$103)+SUMIF('Stammdaten - Schwimmer'!O$4:O$103,'Stammdaten - Sponsoren'!A12,'Stammdaten - Schwimmer'!R$4:R$103)+SUMIF('Stammdaten - Schwimmer'!S$4:S$103,'Stammdaten - Sponsoren'!A12,'Stammdaten - Schwimmer'!V$4:V$103)</f>
        <v>0</v>
      </c>
      <c r="E12"/>
      <c r="Q12"/>
    </row>
    <row r="13" spans="1:21" x14ac:dyDescent="0.35">
      <c r="A13" s="24">
        <f>'Stammdaten - Sponsoren'!A13</f>
        <v>1010</v>
      </c>
      <c r="B13" s="34" t="str">
        <f>'Stammdaten - Sponsoren'!B13</f>
        <v>Symmetree GmbH</v>
      </c>
      <c r="C13" s="34" t="str">
        <f>'Stammdaten - Sponsoren'!C13</f>
        <v>James Hartman</v>
      </c>
      <c r="D13" s="22">
        <f>SUMIF('Stammdaten - Schwimmer'!G$4:G$103,'Stammdaten - Sponsoren'!A13,'Stammdaten - Schwimmer'!J$4:J$103)+SUMIF('Stammdaten - Schwimmer'!K$4:K$103,'Stammdaten - Sponsoren'!A13,'Stammdaten - Schwimmer'!N$4:N$103)+SUMIF('Stammdaten - Schwimmer'!O$4:O$103,'Stammdaten - Sponsoren'!A13,'Stammdaten - Schwimmer'!R$4:R$103)+SUMIF('Stammdaten - Schwimmer'!S$4:S$103,'Stammdaten - Sponsoren'!A13,'Stammdaten - Schwimmer'!V$4:V$103)</f>
        <v>91</v>
      </c>
      <c r="E13"/>
      <c r="Q13"/>
    </row>
    <row r="14" spans="1:21" x14ac:dyDescent="0.35">
      <c r="A14" s="24">
        <f>'Stammdaten - Sponsoren'!A14</f>
        <v>1011</v>
      </c>
      <c r="B14" s="34" t="str">
        <f>'Stammdaten - Sponsoren'!B14</f>
        <v>Hartman</v>
      </c>
      <c r="C14" s="34" t="str">
        <f>'Stammdaten - Sponsoren'!C14</f>
        <v xml:space="preserve">James </v>
      </c>
      <c r="D14" s="22">
        <f>SUMIF('Stammdaten - Schwimmer'!G$4:G$103,'Stammdaten - Sponsoren'!A14,'Stammdaten - Schwimmer'!J$4:J$103)+SUMIF('Stammdaten - Schwimmer'!K$4:K$103,'Stammdaten - Sponsoren'!A14,'Stammdaten - Schwimmer'!N$4:N$103)+SUMIF('Stammdaten - Schwimmer'!O$4:O$103,'Stammdaten - Sponsoren'!A14,'Stammdaten - Schwimmer'!R$4:R$103)+SUMIF('Stammdaten - Schwimmer'!S$4:S$103,'Stammdaten - Sponsoren'!A14,'Stammdaten - Schwimmer'!V$4:V$103)</f>
        <v>200</v>
      </c>
      <c r="E14"/>
      <c r="Q14"/>
    </row>
    <row r="15" spans="1:21" x14ac:dyDescent="0.35">
      <c r="A15" s="24">
        <f>'Stammdaten - Sponsoren'!A15</f>
        <v>1012</v>
      </c>
      <c r="B15" s="34" t="str">
        <f>'Stammdaten - Sponsoren'!B15</f>
        <v>Faigle</v>
      </c>
      <c r="C15" s="34" t="str">
        <f>'Stammdaten - Sponsoren'!C15</f>
        <v>Gustav</v>
      </c>
      <c r="D15" s="22">
        <f>SUMIF('Stammdaten - Schwimmer'!G$4:G$103,'Stammdaten - Sponsoren'!A15,'Stammdaten - Schwimmer'!J$4:J$103)+SUMIF('Stammdaten - Schwimmer'!K$4:K$103,'Stammdaten - Sponsoren'!A15,'Stammdaten - Schwimmer'!N$4:N$103)+SUMIF('Stammdaten - Schwimmer'!O$4:O$103,'Stammdaten - Sponsoren'!A15,'Stammdaten - Schwimmer'!R$4:R$103)+SUMIF('Stammdaten - Schwimmer'!S$4:S$103,'Stammdaten - Sponsoren'!A15,'Stammdaten - Schwimmer'!V$4:V$103)</f>
        <v>20</v>
      </c>
      <c r="E15"/>
      <c r="Q15"/>
    </row>
    <row r="16" spans="1:21" x14ac:dyDescent="0.35">
      <c r="A16" s="24">
        <f>'Stammdaten - Sponsoren'!A16</f>
        <v>1013</v>
      </c>
      <c r="B16" s="34" t="str">
        <f>'Stammdaten - Sponsoren'!B16</f>
        <v xml:space="preserve">Gessler </v>
      </c>
      <c r="C16" s="34" t="str">
        <f>'Stammdaten - Sponsoren'!C16</f>
        <v>Birgit</v>
      </c>
      <c r="D16" s="22">
        <f>SUMIF('Stammdaten - Schwimmer'!G$4:G$103,'Stammdaten - Sponsoren'!A16,'Stammdaten - Schwimmer'!J$4:J$103)+SUMIF('Stammdaten - Schwimmer'!K$4:K$103,'Stammdaten - Sponsoren'!A16,'Stammdaten - Schwimmer'!N$4:N$103)+SUMIF('Stammdaten - Schwimmer'!O$4:O$103,'Stammdaten - Sponsoren'!A16,'Stammdaten - Schwimmer'!R$4:R$103)+SUMIF('Stammdaten - Schwimmer'!S$4:S$103,'Stammdaten - Sponsoren'!A16,'Stammdaten - Schwimmer'!V$4:V$103)</f>
        <v>7</v>
      </c>
      <c r="E16"/>
      <c r="Q16"/>
    </row>
    <row r="17" spans="1:21" ht="29" x14ac:dyDescent="0.35">
      <c r="A17" s="24">
        <f>'Stammdaten - Sponsoren'!A17</f>
        <v>1014</v>
      </c>
      <c r="B17" s="34" t="str">
        <f>'Stammdaten - Sponsoren'!B17</f>
        <v xml:space="preserve">Gessler </v>
      </c>
      <c r="C17" s="34" t="str">
        <f>'Stammdaten - Sponsoren'!C17</f>
        <v>Andreas</v>
      </c>
      <c r="D17" s="22">
        <f>SUMIF('Stammdaten - Schwimmer'!G$4:G$103,'Stammdaten - Sponsoren'!A17,'Stammdaten - Schwimmer'!J$4:J$103)+SUMIF('Stammdaten - Schwimmer'!K$4:K$103,'Stammdaten - Sponsoren'!A17,'Stammdaten - Schwimmer'!N$4:N$103)+SUMIF('Stammdaten - Schwimmer'!O$4:O$103,'Stammdaten - Sponsoren'!A17,'Stammdaten - Schwimmer'!R$4:R$103)+SUMIF('Stammdaten - Schwimmer'!S$4:S$103,'Stammdaten - Sponsoren'!A17,'Stammdaten - Schwimmer'!V$4:V$103)</f>
        <v>80</v>
      </c>
      <c r="E17"/>
      <c r="N17" s="1" t="s">
        <v>81</v>
      </c>
      <c r="O17" t="s">
        <v>82</v>
      </c>
      <c r="P17" t="s">
        <v>83</v>
      </c>
      <c r="R17" s="1" t="s">
        <v>84</v>
      </c>
      <c r="S17" s="1" t="s">
        <v>85</v>
      </c>
      <c r="T17" s="1" t="s">
        <v>86</v>
      </c>
      <c r="U17" s="1" t="s">
        <v>95</v>
      </c>
    </row>
    <row r="18" spans="1:21" x14ac:dyDescent="0.35">
      <c r="A18" s="24">
        <f>'Stammdaten - Sponsoren'!A18</f>
        <v>1015</v>
      </c>
      <c r="B18" s="34" t="str">
        <f>'Stammdaten - Sponsoren'!B18</f>
        <v>Schmid</v>
      </c>
      <c r="C18" s="34" t="str">
        <f>'Stammdaten - Sponsoren'!C18</f>
        <v>Walter</v>
      </c>
      <c r="D18" s="22">
        <f>SUMIF('Stammdaten - Schwimmer'!G$4:G$103,'Stammdaten - Sponsoren'!A18,'Stammdaten - Schwimmer'!J$4:J$103)+SUMIF('Stammdaten - Schwimmer'!K$4:K$103,'Stammdaten - Sponsoren'!A18,'Stammdaten - Schwimmer'!N$4:N$103)+SUMIF('Stammdaten - Schwimmer'!O$4:O$103,'Stammdaten - Sponsoren'!A18,'Stammdaten - Schwimmer'!R$4:R$103)+SUMIF('Stammdaten - Schwimmer'!S$4:S$103,'Stammdaten - Sponsoren'!A18,'Stammdaten - Schwimmer'!V$4:V$103)</f>
        <v>224</v>
      </c>
      <c r="E18"/>
      <c r="N18">
        <f ca="1">IF(AND(INDEX('Stammdaten - Sponsoren'!$A$4:$F103,'Spenden-Kalkulation-Sponsor'!$O$1,6)&gt;0,INDEX('Stammdaten - Sponsoren'!$A$4:$M103,'Spenden-Kalkulation-Sponsor'!$O$1,6)&lt;500),INDEX('Stammdaten - Schwimmer'!$A$4:$F54,INDIRECT("'Stammdaten - Sponsoren'!F" &amp; 'Spenden-Kalkulation-Sponsor'!$P$1),1),)</f>
        <v>0</v>
      </c>
      <c r="O18">
        <f ca="1">IF(AND(INDEX('Stammdaten - Sponsoren'!$A$4:$F103,'Spenden-Kalkulation-Sponsor'!$O$1,6)&gt;0,INDEX('Stammdaten - Sponsoren'!$A$4:$M103,'Spenden-Kalkulation-Sponsor'!$O$1,6)&lt;500),INDEX('Stammdaten - Schwimmer'!$A$4:$F54,INDIRECT("'Stammdaten - Sponsoren'!F" &amp; 'Spenden-Kalkulation-Sponsor'!$P$1),2),)</f>
        <v>0</v>
      </c>
      <c r="P18">
        <f ca="1">IF(AND(INDEX('Stammdaten - Sponsoren'!$A$4:$F103,'Spenden-Kalkulation-Sponsor'!$O$1,6)&gt;0,INDEX('Stammdaten - Sponsoren'!$A$4:$M103,'Spenden-Kalkulation-Sponsor'!$O$1,6)&lt;500),INDEX('Stammdaten - Schwimmer'!$A$4:$F54,INDIRECT("'Stammdaten - Sponsoren'!F" &amp; 'Spenden-Kalkulation-Sponsor'!$P$1),3),)</f>
        <v>0</v>
      </c>
      <c r="Q18"/>
      <c r="R18">
        <f ca="1">IF(AND(INDEX('Stammdaten - Sponsoren'!$A$4:$F103,'Spenden-Kalkulation-Sponsor'!$O$1,6)&gt;0,INDEX('Stammdaten - Sponsoren'!$A$4:$M103,'Spenden-Kalkulation-Sponsor'!$O$1,6)&lt;500),INDEX('Stammdaten - Schwimmer'!$A$4:$F54,INDIRECT("'Stammdaten - Sponsoren'!F" &amp; 'Spenden-Kalkulation-Sponsor'!$P$1),6),)</f>
        <v>0</v>
      </c>
      <c r="S18" s="40">
        <f ca="1">IF(AND(INDEX('Stammdaten - Sponsoren'!$A$4:$I103,'Spenden-Kalkulation-Sponsor'!$O$1,6)&gt;0,INDEX('Stammdaten - Sponsoren'!$A$4:$M103,'Spenden-Kalkulation-Sponsor'!$O$1,6)&lt;500),INDEX('Stammdaten - Schwimmer'!$A$4:$I103,INDIRECT("'Stammdaten - Sponsoren'!F" &amp; 'Spenden-Kalkulation-Sponsor'!$P$1),8),)</f>
        <v>0</v>
      </c>
      <c r="T18" s="40">
        <f ca="1">IF(AND(INDEX('Stammdaten - Sponsoren'!$A$4:$I103,'Spenden-Kalkulation-Sponsor'!$O$1,6)&gt;0,INDEX('Stammdaten - Sponsoren'!$A$4:$M103,'Spenden-Kalkulation-Sponsor'!$O$1,6)&lt;500),INDEX('Stammdaten - Schwimmer'!$A$4:$I103,INDIRECT("'Stammdaten - Sponsoren'!F" &amp; 'Spenden-Kalkulation-Sponsor'!$P$1),9),)</f>
        <v>0</v>
      </c>
      <c r="U18" s="40">
        <f ca="1">IF(AND(INDEX('Stammdaten - Sponsoren'!$A$4:$I103,'Spenden-Kalkulation-Sponsor'!$O$1,6)&gt;0,INDEX('Stammdaten - Sponsoren'!$A$4:$M103,'Spenden-Kalkulation-Sponsor'!$O$1,6)&lt;500),INDEX('Spenden-Kalkulation-Schwimmer'!$A$4:$I103,INDIRECT("'Stammdaten - Sponsoren'!F" &amp; 'Spenden-Kalkulation-Sponsor'!$P$1),4),)</f>
        <v>0</v>
      </c>
    </row>
    <row r="19" spans="1:21" x14ac:dyDescent="0.35">
      <c r="A19" s="24">
        <f>'Stammdaten - Sponsoren'!A19</f>
        <v>1016</v>
      </c>
      <c r="B19" s="34" t="str">
        <f>'Stammdaten - Sponsoren'!B19</f>
        <v>Faigle</v>
      </c>
      <c r="C19" s="34" t="str">
        <f>'Stammdaten - Sponsoren'!C19</f>
        <v>Gustav</v>
      </c>
      <c r="D19" s="22">
        <f>SUMIF('Stammdaten - Schwimmer'!G$4:G$103,'Stammdaten - Sponsoren'!A19,'Stammdaten - Schwimmer'!J$4:J$103)+SUMIF('Stammdaten - Schwimmer'!K$4:K$103,'Stammdaten - Sponsoren'!A19,'Stammdaten - Schwimmer'!N$4:N$103)+SUMIF('Stammdaten - Schwimmer'!O$4:O$103,'Stammdaten - Sponsoren'!A19,'Stammdaten - Schwimmer'!R$4:R$103)+SUMIF('Stammdaten - Schwimmer'!S$4:S$103,'Stammdaten - Sponsoren'!A19,'Stammdaten - Schwimmer'!V$4:V$103)</f>
        <v>40</v>
      </c>
      <c r="E19"/>
      <c r="N19">
        <f ca="1">IF(AND(INDEX('Stammdaten - Sponsoren'!$A$4:$M103,'Spenden-Kalkulation-Sponsor'!$O$1,7)&gt;0,INDEX('Stammdaten - Sponsoren'!$A$4:$M103,'Spenden-Kalkulation-Sponsor'!$O$1,7)&lt;500),INDEX('Stammdaten - Schwimmer'!$A$4:$F54,INDIRECT("'Stammdaten - Sponsoren'!G" &amp; 'Spenden-Kalkulation-Sponsor'!$P$1),1),)</f>
        <v>0</v>
      </c>
      <c r="O19">
        <f ca="1">IF(AND(INDEX('Stammdaten - Sponsoren'!$A$4:$M103,'Spenden-Kalkulation-Sponsor'!$O$1,7)&gt;0,INDEX('Stammdaten - Sponsoren'!$A$4:$M103,'Spenden-Kalkulation-Sponsor'!$O$1,7)&lt;500),INDEX('Stammdaten - Schwimmer'!$A$4:$F54,INDIRECT("'Stammdaten - Sponsoren'!G" &amp; 'Spenden-Kalkulation-Sponsor'!$P$1),2),)</f>
        <v>0</v>
      </c>
      <c r="P19">
        <f ca="1">IF(AND(INDEX('Stammdaten - Sponsoren'!$A$4:$M103,'Spenden-Kalkulation-Sponsor'!$O$1,7)&gt;0,INDEX('Stammdaten - Sponsoren'!$A$4:$M103,'Spenden-Kalkulation-Sponsor'!$O$1,7)&lt;500),INDEX('Stammdaten - Schwimmer'!$A$4:$F54,INDIRECT("'Stammdaten - Sponsoren'!G" &amp; 'Spenden-Kalkulation-Sponsor'!$P$1),3),)</f>
        <v>0</v>
      </c>
      <c r="Q19"/>
      <c r="R19">
        <f ca="1">IF(AND(INDEX('Stammdaten - Sponsoren'!$A$4:$M103,'Spenden-Kalkulation-Sponsor'!$O$1,7)&gt;0,INDEX('Stammdaten - Sponsoren'!$A$4:$M103,'Spenden-Kalkulation-Sponsor'!$O$1,7)&lt;500),INDEX('Stammdaten - Schwimmer'!$A$4:$F54,INDIRECT("'Stammdaten - Sponsoren'!G" &amp; 'Spenden-Kalkulation-Sponsor'!$P$1),6),)</f>
        <v>0</v>
      </c>
      <c r="S19" s="40"/>
      <c r="T19" s="40"/>
      <c r="U19" s="40"/>
    </row>
    <row r="20" spans="1:21" x14ac:dyDescent="0.35">
      <c r="A20" s="24">
        <f>'Stammdaten - Sponsoren'!A20</f>
        <v>1017</v>
      </c>
      <c r="B20" s="34" t="str">
        <f>'Stammdaten - Sponsoren'!B20</f>
        <v>Uth</v>
      </c>
      <c r="C20" s="34" t="str">
        <f>'Stammdaten - Sponsoren'!C20</f>
        <v>Markus</v>
      </c>
      <c r="D20" s="22">
        <f>SUMIF('Stammdaten - Schwimmer'!G$4:G$103,'Stammdaten - Sponsoren'!A20,'Stammdaten - Schwimmer'!J$4:J$103)+SUMIF('Stammdaten - Schwimmer'!K$4:K$103,'Stammdaten - Sponsoren'!A20,'Stammdaten - Schwimmer'!N$4:N$103)+SUMIF('Stammdaten - Schwimmer'!O$4:O$103,'Stammdaten - Sponsoren'!A20,'Stammdaten - Schwimmer'!R$4:R$103)+SUMIF('Stammdaten - Schwimmer'!S$4:S$103,'Stammdaten - Sponsoren'!A20,'Stammdaten - Schwimmer'!V$4:V$103)</f>
        <v>100</v>
      </c>
      <c r="E20"/>
      <c r="Q20"/>
      <c r="S20" s="40"/>
      <c r="T20" s="40"/>
      <c r="U20" s="40"/>
    </row>
    <row r="21" spans="1:21" x14ac:dyDescent="0.35">
      <c r="A21" s="24">
        <f>'Stammdaten - Sponsoren'!A21</f>
        <v>1018</v>
      </c>
      <c r="B21" s="34" t="str">
        <f>'Stammdaten - Sponsoren'!B21</f>
        <v>Göpel</v>
      </c>
      <c r="C21" s="34" t="str">
        <f>'Stammdaten - Sponsoren'!C21</f>
        <v>Familie</v>
      </c>
      <c r="D21" s="22">
        <f>SUMIF('Stammdaten - Schwimmer'!G$4:G$103,'Stammdaten - Sponsoren'!A21,'Stammdaten - Schwimmer'!J$4:J$103)+SUMIF('Stammdaten - Schwimmer'!K$4:K$103,'Stammdaten - Sponsoren'!A21,'Stammdaten - Schwimmer'!N$4:N$103)+SUMIF('Stammdaten - Schwimmer'!O$4:O$103,'Stammdaten - Sponsoren'!A21,'Stammdaten - Schwimmer'!R$4:R$103)+SUMIF('Stammdaten - Schwimmer'!S$4:S$103,'Stammdaten - Sponsoren'!A21,'Stammdaten - Schwimmer'!V$4:V$103)</f>
        <v>116</v>
      </c>
      <c r="E21"/>
      <c r="J21" s="2"/>
      <c r="Q21"/>
      <c r="S21" s="40"/>
      <c r="T21" s="40"/>
      <c r="U21" s="40"/>
    </row>
    <row r="22" spans="1:21" x14ac:dyDescent="0.35">
      <c r="A22" s="24">
        <f>'Stammdaten - Sponsoren'!A22</f>
        <v>1019</v>
      </c>
      <c r="B22" s="34" t="str">
        <f>'Stammdaten - Sponsoren'!B22</f>
        <v>Tetz</v>
      </c>
      <c r="C22" s="34" t="str">
        <f>'Stammdaten - Sponsoren'!C22</f>
        <v>Dagmar</v>
      </c>
      <c r="D22" s="22">
        <f>SUMIF('Stammdaten - Schwimmer'!G$4:G$103,'Stammdaten - Sponsoren'!A22,'Stammdaten - Schwimmer'!J$4:J$103)+SUMIF('Stammdaten - Schwimmer'!K$4:K$103,'Stammdaten - Sponsoren'!A22,'Stammdaten - Schwimmer'!N$4:N$103)+SUMIF('Stammdaten - Schwimmer'!O$4:O$103,'Stammdaten - Sponsoren'!A22,'Stammdaten - Schwimmer'!R$4:R$103)+SUMIF('Stammdaten - Schwimmer'!S$4:S$103,'Stammdaten - Sponsoren'!A22,'Stammdaten - Schwimmer'!V$4:V$103)</f>
        <v>50</v>
      </c>
      <c r="E22"/>
      <c r="J22" s="2"/>
      <c r="S22" s="40"/>
      <c r="T22" s="40"/>
      <c r="U22" s="40"/>
    </row>
    <row r="23" spans="1:21" x14ac:dyDescent="0.35">
      <c r="A23" s="24">
        <f>'Stammdaten - Sponsoren'!A23</f>
        <v>1020</v>
      </c>
      <c r="B23" s="34" t="str">
        <f>'Stammdaten - Sponsoren'!B23</f>
        <v>Tetz</v>
      </c>
      <c r="C23" s="34" t="str">
        <f>'Stammdaten - Sponsoren'!C23</f>
        <v>Hans-Peter</v>
      </c>
      <c r="D23" s="22">
        <f>SUMIF('Stammdaten - Schwimmer'!G$4:G$103,'Stammdaten - Sponsoren'!A23,'Stammdaten - Schwimmer'!J$4:J$103)+SUMIF('Stammdaten - Schwimmer'!K$4:K$103,'Stammdaten - Sponsoren'!A23,'Stammdaten - Schwimmer'!N$4:N$103)+SUMIF('Stammdaten - Schwimmer'!O$4:O$103,'Stammdaten - Sponsoren'!A23,'Stammdaten - Schwimmer'!R$4:R$103)+SUMIF('Stammdaten - Schwimmer'!S$4:S$103,'Stammdaten - Sponsoren'!A23,'Stammdaten - Schwimmer'!V$4:V$103)</f>
        <v>50</v>
      </c>
      <c r="E23"/>
      <c r="J23" s="2"/>
      <c r="Q23"/>
    </row>
    <row r="24" spans="1:21" x14ac:dyDescent="0.35">
      <c r="A24" s="24">
        <f>'Stammdaten - Sponsoren'!A24</f>
        <v>1021</v>
      </c>
      <c r="B24" s="34" t="str">
        <f>'Stammdaten - Sponsoren'!B24</f>
        <v>Schulze</v>
      </c>
      <c r="C24" s="34" t="str">
        <f>'Stammdaten - Sponsoren'!C24</f>
        <v>Ulrike</v>
      </c>
      <c r="D24" s="22">
        <f>SUMIF('Stammdaten - Schwimmer'!G$4:G$103,'Stammdaten - Sponsoren'!A24,'Stammdaten - Schwimmer'!J$4:J$103)+SUMIF('Stammdaten - Schwimmer'!K$4:K$103,'Stammdaten - Sponsoren'!A24,'Stammdaten - Schwimmer'!N$4:N$103)+SUMIF('Stammdaten - Schwimmer'!O$4:O$103,'Stammdaten - Sponsoren'!A24,'Stammdaten - Schwimmer'!R$4:R$103)+SUMIF('Stammdaten - Schwimmer'!S$4:S$103,'Stammdaten - Sponsoren'!A24,'Stammdaten - Schwimmer'!V$4:V$103)</f>
        <v>100</v>
      </c>
      <c r="E24"/>
      <c r="J24" s="2"/>
      <c r="Q24"/>
    </row>
    <row r="25" spans="1:21" x14ac:dyDescent="0.35">
      <c r="A25" s="24">
        <f>'Stammdaten - Sponsoren'!A25</f>
        <v>1022</v>
      </c>
      <c r="B25" s="34" t="str">
        <f>'Stammdaten - Sponsoren'!B25</f>
        <v>Helbek</v>
      </c>
      <c r="C25" s="34" t="str">
        <f>'Stammdaten - Sponsoren'!C25</f>
        <v>Kim und Mathis</v>
      </c>
      <c r="D25" s="22">
        <f>SUMIF('Stammdaten - Schwimmer'!G$4:G$103,'Stammdaten - Sponsoren'!A25,'Stammdaten - Schwimmer'!J$4:J$103)+SUMIF('Stammdaten - Schwimmer'!K$4:K$103,'Stammdaten - Sponsoren'!A25,'Stammdaten - Schwimmer'!N$4:N$103)+SUMIF('Stammdaten - Schwimmer'!O$4:O$103,'Stammdaten - Sponsoren'!A25,'Stammdaten - Schwimmer'!R$4:R$103)+SUMIF('Stammdaten - Schwimmer'!S$4:S$103,'Stammdaten - Sponsoren'!A25,'Stammdaten - Schwimmer'!V$4:V$103)</f>
        <v>60</v>
      </c>
      <c r="E25"/>
      <c r="J25" s="2"/>
      <c r="Q25"/>
    </row>
    <row r="26" spans="1:21" x14ac:dyDescent="0.35">
      <c r="A26" s="24">
        <f>'Stammdaten - Sponsoren'!A26</f>
        <v>1023</v>
      </c>
      <c r="B26" s="34" t="str">
        <f>'Stammdaten - Sponsoren'!B26</f>
        <v>Schmidt</v>
      </c>
      <c r="C26" s="34" t="str">
        <f>'Stammdaten - Sponsoren'!C26</f>
        <v xml:space="preserve">Helga und Jürgen </v>
      </c>
      <c r="D26" s="22">
        <f>SUMIF('Stammdaten - Schwimmer'!G$4:G$103,'Stammdaten - Sponsoren'!A26,'Stammdaten - Schwimmer'!J$4:J$103)+SUMIF('Stammdaten - Schwimmer'!K$4:K$103,'Stammdaten - Sponsoren'!A26,'Stammdaten - Schwimmer'!N$4:N$103)+SUMIF('Stammdaten - Schwimmer'!O$4:O$103,'Stammdaten - Sponsoren'!A26,'Stammdaten - Schwimmer'!R$4:R$103)+SUMIF('Stammdaten - Schwimmer'!S$4:S$103,'Stammdaten - Sponsoren'!A26,'Stammdaten - Schwimmer'!V$4:V$103)</f>
        <v>60</v>
      </c>
      <c r="E26"/>
      <c r="J26" s="2"/>
      <c r="Q26"/>
    </row>
    <row r="27" spans="1:21" x14ac:dyDescent="0.35">
      <c r="A27" s="24">
        <f>'Stammdaten - Sponsoren'!A27</f>
        <v>1024</v>
      </c>
      <c r="B27" s="34" t="str">
        <f>'Stammdaten - Sponsoren'!B27</f>
        <v>Helbeck</v>
      </c>
      <c r="C27" s="34" t="str">
        <f>'Stammdaten - Sponsoren'!C27</f>
        <v>Lisa Marie und Niklas</v>
      </c>
      <c r="D27" s="22">
        <f>SUMIF('Stammdaten - Schwimmer'!G$4:G$103,'Stammdaten - Sponsoren'!A27,'Stammdaten - Schwimmer'!J$4:J$103)+SUMIF('Stammdaten - Schwimmer'!K$4:K$103,'Stammdaten - Sponsoren'!A27,'Stammdaten - Schwimmer'!N$4:N$103)+SUMIF('Stammdaten - Schwimmer'!O$4:O$103,'Stammdaten - Sponsoren'!A27,'Stammdaten - Schwimmer'!R$4:R$103)+SUMIF('Stammdaten - Schwimmer'!S$4:S$103,'Stammdaten - Sponsoren'!A27,'Stammdaten - Schwimmer'!V$4:V$103)</f>
        <v>0</v>
      </c>
      <c r="E27"/>
      <c r="J27" s="2"/>
      <c r="Q27"/>
    </row>
    <row r="28" spans="1:21" x14ac:dyDescent="0.35">
      <c r="A28" s="24">
        <f>'Stammdaten - Sponsoren'!A28</f>
        <v>1025</v>
      </c>
      <c r="B28" s="34" t="str">
        <f>'Stammdaten - Sponsoren'!B28</f>
        <v>Michels</v>
      </c>
      <c r="C28" s="34" t="str">
        <f>'Stammdaten - Sponsoren'!C28</f>
        <v>Laurens</v>
      </c>
      <c r="D28" s="22">
        <f>SUMIF('Stammdaten - Schwimmer'!G$4:G$103,'Stammdaten - Sponsoren'!A28,'Stammdaten - Schwimmer'!J$4:J$103)+SUMIF('Stammdaten - Schwimmer'!K$4:K$103,'Stammdaten - Sponsoren'!A28,'Stammdaten - Schwimmer'!N$4:N$103)+SUMIF('Stammdaten - Schwimmer'!O$4:O$103,'Stammdaten - Sponsoren'!A28,'Stammdaten - Schwimmer'!R$4:R$103)+SUMIF('Stammdaten - Schwimmer'!S$4:S$103,'Stammdaten - Sponsoren'!A28,'Stammdaten - Schwimmer'!V$4:V$103)</f>
        <v>29.5</v>
      </c>
      <c r="E28"/>
      <c r="J28" s="2"/>
      <c r="Q28"/>
    </row>
    <row r="29" spans="1:21" x14ac:dyDescent="0.35">
      <c r="A29" s="24">
        <f>'Stammdaten - Sponsoren'!A29</f>
        <v>1026</v>
      </c>
      <c r="B29" s="34" t="str">
        <f>'Stammdaten - Sponsoren'!B29</f>
        <v>Schloss Apotheke</v>
      </c>
      <c r="C29" s="34">
        <f>'Stammdaten - Sponsoren'!C29</f>
        <v>0</v>
      </c>
      <c r="D29" s="22">
        <f>SUMIF('Stammdaten - Schwimmer'!G$4:G$103,'Stammdaten - Sponsoren'!A29,'Stammdaten - Schwimmer'!J$4:J$103)+SUMIF('Stammdaten - Schwimmer'!K$4:K$103,'Stammdaten - Sponsoren'!A29,'Stammdaten - Schwimmer'!N$4:N$103)+SUMIF('Stammdaten - Schwimmer'!O$4:O$103,'Stammdaten - Sponsoren'!A29,'Stammdaten - Schwimmer'!R$4:R$103)+SUMIF('Stammdaten - Schwimmer'!S$4:S$103,'Stammdaten - Sponsoren'!A29,'Stammdaten - Schwimmer'!V$4:V$103)</f>
        <v>100</v>
      </c>
      <c r="E29"/>
      <c r="J29" s="2"/>
      <c r="Q29"/>
    </row>
    <row r="30" spans="1:21" x14ac:dyDescent="0.35">
      <c r="A30" s="24">
        <f>'Stammdaten - Sponsoren'!A30</f>
        <v>1027</v>
      </c>
      <c r="B30" s="34" t="str">
        <f>'Stammdaten - Sponsoren'!B30</f>
        <v>Team Galabau</v>
      </c>
      <c r="C30" s="34">
        <f>'Stammdaten - Sponsoren'!C30</f>
        <v>0</v>
      </c>
      <c r="D30" s="22">
        <f>SUMIF('Stammdaten - Schwimmer'!G$4:G$103,'Stammdaten - Sponsoren'!A30,'Stammdaten - Schwimmer'!J$4:J$103)+SUMIF('Stammdaten - Schwimmer'!K$4:K$103,'Stammdaten - Sponsoren'!A30,'Stammdaten - Schwimmer'!N$4:N$103)+SUMIF('Stammdaten - Schwimmer'!O$4:O$103,'Stammdaten - Sponsoren'!A30,'Stammdaten - Schwimmer'!R$4:R$103)+SUMIF('Stammdaten - Schwimmer'!S$4:S$103,'Stammdaten - Sponsoren'!A30,'Stammdaten - Schwimmer'!V$4:V$103)</f>
        <v>296</v>
      </c>
      <c r="E30"/>
      <c r="J30" s="2"/>
      <c r="Q30"/>
    </row>
    <row r="31" spans="1:21" x14ac:dyDescent="0.35">
      <c r="A31" s="24">
        <f>'Stammdaten - Sponsoren'!A31</f>
        <v>1028</v>
      </c>
      <c r="B31" s="34" t="str">
        <f>'Stammdaten - Sponsoren'!B31</f>
        <v>Tutsch</v>
      </c>
      <c r="C31" s="34" t="str">
        <f>'Stammdaten - Sponsoren'!C31</f>
        <v>Daniel</v>
      </c>
      <c r="D31" s="22">
        <f>SUMIF('Stammdaten - Schwimmer'!G$4:G$103,'Stammdaten - Sponsoren'!A31,'Stammdaten - Schwimmer'!J$4:J$103)+SUMIF('Stammdaten - Schwimmer'!K$4:K$103,'Stammdaten - Sponsoren'!A31,'Stammdaten - Schwimmer'!N$4:N$103)+SUMIF('Stammdaten - Schwimmer'!O$4:O$103,'Stammdaten - Sponsoren'!A31,'Stammdaten - Schwimmer'!R$4:R$103)+SUMIF('Stammdaten - Schwimmer'!S$4:S$103,'Stammdaten - Sponsoren'!A31,'Stammdaten - Schwimmer'!V$4:V$103)</f>
        <v>148</v>
      </c>
      <c r="E31"/>
      <c r="J31" s="2"/>
      <c r="Q31"/>
    </row>
    <row r="32" spans="1:21" x14ac:dyDescent="0.35">
      <c r="A32" s="24">
        <f>'Stammdaten - Sponsoren'!A32</f>
        <v>1029</v>
      </c>
      <c r="B32" s="34" t="str">
        <f>'Stammdaten - Sponsoren'!B32</f>
        <v>^Kanuclub CJD kaltenstein</v>
      </c>
      <c r="C32" s="34" t="str">
        <f>'Stammdaten - Sponsoren'!C32</f>
        <v>Michael Fischer</v>
      </c>
      <c r="D32" s="22">
        <f>SUMIF('Stammdaten - Schwimmer'!G$4:G$103,'Stammdaten - Sponsoren'!A32,'Stammdaten - Schwimmer'!J$4:J$103)+SUMIF('Stammdaten - Schwimmer'!K$4:K$103,'Stammdaten - Sponsoren'!A32,'Stammdaten - Schwimmer'!N$4:N$103)+SUMIF('Stammdaten - Schwimmer'!O$4:O$103,'Stammdaten - Sponsoren'!A32,'Stammdaten - Schwimmer'!R$4:R$103)+SUMIF('Stammdaten - Schwimmer'!S$4:S$103,'Stammdaten - Sponsoren'!A32,'Stammdaten - Schwimmer'!V$4:V$103)</f>
        <v>478</v>
      </c>
      <c r="E32"/>
      <c r="J32" s="2"/>
      <c r="Q32"/>
    </row>
    <row r="33" spans="1:17" x14ac:dyDescent="0.35">
      <c r="A33" s="24">
        <f>'Stammdaten - Sponsoren'!A33</f>
        <v>1030</v>
      </c>
      <c r="B33" s="34" t="str">
        <f>'Stammdaten - Sponsoren'!B33</f>
        <v>Netsch</v>
      </c>
      <c r="C33" s="34" t="str">
        <f>'Stammdaten - Sponsoren'!C33</f>
        <v>Astrid</v>
      </c>
      <c r="D33" s="22">
        <f>SUMIF('Stammdaten - Schwimmer'!G$4:G$103,'Stammdaten - Sponsoren'!A33,'Stammdaten - Schwimmer'!J$4:J$103)+SUMIF('Stammdaten - Schwimmer'!K$4:K$103,'Stammdaten - Sponsoren'!A33,'Stammdaten - Schwimmer'!N$4:N$103)+SUMIF('Stammdaten - Schwimmer'!O$4:O$103,'Stammdaten - Sponsoren'!A33,'Stammdaten - Schwimmer'!R$4:R$103)+SUMIF('Stammdaten - Schwimmer'!S$4:S$103,'Stammdaten - Sponsoren'!A33,'Stammdaten - Schwimmer'!V$4:V$103)</f>
        <v>50</v>
      </c>
      <c r="E33"/>
      <c r="J33" s="2"/>
      <c r="Q33"/>
    </row>
    <row r="34" spans="1:17" x14ac:dyDescent="0.35">
      <c r="A34" s="24">
        <f>'Stammdaten - Sponsoren'!A34</f>
        <v>1031</v>
      </c>
      <c r="B34" s="34" t="str">
        <f>'Stammdaten - Sponsoren'!B34</f>
        <v xml:space="preserve">Burck </v>
      </c>
      <c r="C34" s="34" t="str">
        <f>'Stammdaten - Sponsoren'!C34</f>
        <v>Andreas</v>
      </c>
      <c r="D34" s="22">
        <f>SUMIF('Stammdaten - Schwimmer'!G$4:G$103,'Stammdaten - Sponsoren'!A34,'Stammdaten - Schwimmer'!J$4:J$103)+SUMIF('Stammdaten - Schwimmer'!K$4:K$103,'Stammdaten - Sponsoren'!A34,'Stammdaten - Schwimmer'!N$4:N$103)+SUMIF('Stammdaten - Schwimmer'!O$4:O$103,'Stammdaten - Sponsoren'!A34,'Stammdaten - Schwimmer'!R$4:R$103)+SUMIF('Stammdaten - Schwimmer'!S$4:S$103,'Stammdaten - Sponsoren'!A34,'Stammdaten - Schwimmer'!V$4:V$103)</f>
        <v>70</v>
      </c>
      <c r="E34"/>
      <c r="J34" s="2"/>
      <c r="Q34"/>
    </row>
    <row r="35" spans="1:17" x14ac:dyDescent="0.35">
      <c r="A35" s="24">
        <f>'Stammdaten - Sponsoren'!A35</f>
        <v>1032</v>
      </c>
      <c r="B35" s="34" t="str">
        <f>'Stammdaten - Sponsoren'!B35</f>
        <v>Maier</v>
      </c>
      <c r="C35" s="34" t="str">
        <f>'Stammdaten - Sponsoren'!C35</f>
        <v>Cordula</v>
      </c>
      <c r="D35" s="22">
        <f>SUMIF('Stammdaten - Schwimmer'!G$4:G$103,'Stammdaten - Sponsoren'!A35,'Stammdaten - Schwimmer'!J$4:J$103)+SUMIF('Stammdaten - Schwimmer'!K$4:K$103,'Stammdaten - Sponsoren'!A35,'Stammdaten - Schwimmer'!N$4:N$103)+SUMIF('Stammdaten - Schwimmer'!O$4:O$103,'Stammdaten - Sponsoren'!A35,'Stammdaten - Schwimmer'!R$4:R$103)+SUMIF('Stammdaten - Schwimmer'!S$4:S$103,'Stammdaten - Sponsoren'!A35,'Stammdaten - Schwimmer'!V$4:V$103)</f>
        <v>78</v>
      </c>
      <c r="E35"/>
      <c r="J35" s="2"/>
      <c r="Q35"/>
    </row>
    <row r="36" spans="1:17" x14ac:dyDescent="0.35">
      <c r="A36" s="24">
        <f>'Stammdaten - Sponsoren'!A36</f>
        <v>1033</v>
      </c>
      <c r="B36" s="34" t="str">
        <f>'Stammdaten - Sponsoren'!B36</f>
        <v>Thiele</v>
      </c>
      <c r="C36" s="34" t="str">
        <f>'Stammdaten - Sponsoren'!C36</f>
        <v>Stephen</v>
      </c>
      <c r="D36" s="22">
        <f>SUMIF('Stammdaten - Schwimmer'!G$4:G$103,'Stammdaten - Sponsoren'!A36,'Stammdaten - Schwimmer'!J$4:J$103)+SUMIF('Stammdaten - Schwimmer'!K$4:K$103,'Stammdaten - Sponsoren'!A36,'Stammdaten - Schwimmer'!N$4:N$103)+SUMIF('Stammdaten - Schwimmer'!O$4:O$103,'Stammdaten - Sponsoren'!A36,'Stammdaten - Schwimmer'!R$4:R$103)+SUMIF('Stammdaten - Schwimmer'!S$4:S$103,'Stammdaten - Sponsoren'!A36,'Stammdaten - Schwimmer'!V$4:V$103)</f>
        <v>60</v>
      </c>
      <c r="E36"/>
      <c r="J36" s="2"/>
      <c r="Q36"/>
    </row>
    <row r="37" spans="1:17" x14ac:dyDescent="0.35">
      <c r="A37" s="24">
        <f>'Stammdaten - Sponsoren'!A37</f>
        <v>1034</v>
      </c>
      <c r="B37" s="34" t="str">
        <f>'Stammdaten - Sponsoren'!B37</f>
        <v>Ludwig</v>
      </c>
      <c r="C37" s="34" t="str">
        <f>'Stammdaten - Sponsoren'!C37</f>
        <v>Martin</v>
      </c>
      <c r="D37" s="22">
        <f>SUMIF('Stammdaten - Schwimmer'!G$4:G$103,'Stammdaten - Sponsoren'!A37,'Stammdaten - Schwimmer'!J$4:J$103)+SUMIF('Stammdaten - Schwimmer'!K$4:K$103,'Stammdaten - Sponsoren'!A37,'Stammdaten - Schwimmer'!N$4:N$103)+SUMIF('Stammdaten - Schwimmer'!O$4:O$103,'Stammdaten - Sponsoren'!A37,'Stammdaten - Schwimmer'!R$4:R$103)+SUMIF('Stammdaten - Schwimmer'!S$4:S$103,'Stammdaten - Sponsoren'!A37,'Stammdaten - Schwimmer'!V$4:V$103)</f>
        <v>0</v>
      </c>
      <c r="E37"/>
      <c r="J37" s="2"/>
      <c r="Q37"/>
    </row>
    <row r="38" spans="1:17" x14ac:dyDescent="0.35">
      <c r="A38" s="24">
        <f>'Stammdaten - Sponsoren'!A38</f>
        <v>1035</v>
      </c>
      <c r="B38" s="34" t="str">
        <f>'Stammdaten - Sponsoren'!B38</f>
        <v>Umminger Veit</v>
      </c>
      <c r="C38" s="34" t="str">
        <f>'Stammdaten - Sponsoren'!C38</f>
        <v>Sybille</v>
      </c>
      <c r="D38" s="22">
        <f>SUMIF('Stammdaten - Schwimmer'!G$4:G$103,'Stammdaten - Sponsoren'!A38,'Stammdaten - Schwimmer'!J$4:J$103)+SUMIF('Stammdaten - Schwimmer'!K$4:K$103,'Stammdaten - Sponsoren'!A38,'Stammdaten - Schwimmer'!N$4:N$103)+SUMIF('Stammdaten - Schwimmer'!O$4:O$103,'Stammdaten - Sponsoren'!A38,'Stammdaten - Schwimmer'!R$4:R$103)+SUMIF('Stammdaten - Schwimmer'!S$4:S$103,'Stammdaten - Sponsoren'!A38,'Stammdaten - Schwimmer'!V$4:V$103)</f>
        <v>200</v>
      </c>
      <c r="E38"/>
      <c r="J38" s="2"/>
      <c r="Q38"/>
    </row>
    <row r="39" spans="1:17" x14ac:dyDescent="0.35">
      <c r="A39" s="24">
        <f>'Stammdaten - Sponsoren'!A39</f>
        <v>1036</v>
      </c>
      <c r="B39" s="34" t="str">
        <f>'Stammdaten - Sponsoren'!B39</f>
        <v xml:space="preserve">Umminger </v>
      </c>
      <c r="C39" s="34" t="str">
        <f>'Stammdaten - Sponsoren'!C39</f>
        <v>Irmgard</v>
      </c>
      <c r="D39" s="22">
        <f>SUMIF('Stammdaten - Schwimmer'!G$4:G$103,'Stammdaten - Sponsoren'!A39,'Stammdaten - Schwimmer'!J$4:J$103)+SUMIF('Stammdaten - Schwimmer'!K$4:K$103,'Stammdaten - Sponsoren'!A39,'Stammdaten - Schwimmer'!N$4:N$103)+SUMIF('Stammdaten - Schwimmer'!O$4:O$103,'Stammdaten - Sponsoren'!A39,'Stammdaten - Schwimmer'!R$4:R$103)+SUMIF('Stammdaten - Schwimmer'!S$4:S$103,'Stammdaten - Sponsoren'!A39,'Stammdaten - Schwimmer'!V$4:V$103)</f>
        <v>80</v>
      </c>
      <c r="E39"/>
      <c r="J39" s="2"/>
      <c r="Q39"/>
    </row>
    <row r="40" spans="1:17" x14ac:dyDescent="0.35">
      <c r="A40" s="24">
        <f>'Stammdaten - Sponsoren'!A40</f>
        <v>1037</v>
      </c>
      <c r="B40" s="34" t="str">
        <f>'Stammdaten - Sponsoren'!B40</f>
        <v>Veith</v>
      </c>
      <c r="C40" s="34" t="str">
        <f>'Stammdaten - Sponsoren'!C40</f>
        <v xml:space="preserve">Martin </v>
      </c>
      <c r="D40" s="22">
        <f>SUMIF('Stammdaten - Schwimmer'!G$4:G$103,'Stammdaten - Sponsoren'!A40,'Stammdaten - Schwimmer'!J$4:J$103)+SUMIF('Stammdaten - Schwimmer'!K$4:K$103,'Stammdaten - Sponsoren'!A40,'Stammdaten - Schwimmer'!N$4:N$103)+SUMIF('Stammdaten - Schwimmer'!O$4:O$103,'Stammdaten - Sponsoren'!A40,'Stammdaten - Schwimmer'!R$4:R$103)+SUMIF('Stammdaten - Schwimmer'!S$4:S$103,'Stammdaten - Sponsoren'!A40,'Stammdaten - Schwimmer'!V$4:V$103)</f>
        <v>390</v>
      </c>
      <c r="E40"/>
      <c r="J40" s="2"/>
      <c r="Q40"/>
    </row>
    <row r="41" spans="1:17" x14ac:dyDescent="0.35">
      <c r="A41" s="24">
        <f>'Stammdaten - Sponsoren'!A41</f>
        <v>1038</v>
      </c>
      <c r="B41" s="34" t="str">
        <f>'Stammdaten - Sponsoren'!B41</f>
        <v>Düsterloh</v>
      </c>
      <c r="C41" s="34" t="str">
        <f>'Stammdaten - Sponsoren'!C41</f>
        <v>Anete und Dario</v>
      </c>
      <c r="D41" s="22">
        <f>SUMIF('Stammdaten - Schwimmer'!G$4:G$103,'Stammdaten - Sponsoren'!A41,'Stammdaten - Schwimmer'!J$4:J$103)+SUMIF('Stammdaten - Schwimmer'!K$4:K$103,'Stammdaten - Sponsoren'!A41,'Stammdaten - Schwimmer'!N$4:N$103)+SUMIF('Stammdaten - Schwimmer'!O$4:O$103,'Stammdaten - Sponsoren'!A41,'Stammdaten - Schwimmer'!R$4:R$103)+SUMIF('Stammdaten - Schwimmer'!S$4:S$103,'Stammdaten - Sponsoren'!A41,'Stammdaten - Schwimmer'!V$4:V$103)</f>
        <v>40</v>
      </c>
      <c r="E41"/>
      <c r="J41" s="2"/>
      <c r="Q41"/>
    </row>
    <row r="42" spans="1:17" x14ac:dyDescent="0.35">
      <c r="A42" s="24">
        <f>'Stammdaten - Sponsoren'!A42</f>
        <v>1039</v>
      </c>
      <c r="B42" s="34" t="str">
        <f>'Stammdaten - Sponsoren'!B42</f>
        <v>Frost</v>
      </c>
      <c r="C42" s="34" t="str">
        <f>'Stammdaten - Sponsoren'!C42</f>
        <v>Ellen</v>
      </c>
      <c r="D42" s="22">
        <f>SUMIF('Stammdaten - Schwimmer'!G$4:G$103,'Stammdaten - Sponsoren'!A42,'Stammdaten - Schwimmer'!J$4:J$103)+SUMIF('Stammdaten - Schwimmer'!K$4:K$103,'Stammdaten - Sponsoren'!A42,'Stammdaten - Schwimmer'!N$4:N$103)+SUMIF('Stammdaten - Schwimmer'!O$4:O$103,'Stammdaten - Sponsoren'!A42,'Stammdaten - Schwimmer'!R$4:R$103)+SUMIF('Stammdaten - Schwimmer'!S$4:S$103,'Stammdaten - Sponsoren'!A42,'Stammdaten - Schwimmer'!V$4:V$103)</f>
        <v>50</v>
      </c>
      <c r="E42"/>
      <c r="J42" s="2"/>
      <c r="Q42"/>
    </row>
    <row r="43" spans="1:17" x14ac:dyDescent="0.35">
      <c r="A43" s="24">
        <f>'Stammdaten - Sponsoren'!A43</f>
        <v>1040</v>
      </c>
      <c r="B43" s="34" t="str">
        <f>'Stammdaten - Sponsoren'!B43</f>
        <v>Gerngroß</v>
      </c>
      <c r="C43" s="34">
        <f>'Stammdaten - Sponsoren'!C43</f>
        <v>0</v>
      </c>
      <c r="D43" s="22">
        <f>SUMIF('Stammdaten - Schwimmer'!G$4:G$103,'Stammdaten - Sponsoren'!A43,'Stammdaten - Schwimmer'!J$4:J$103)+SUMIF('Stammdaten - Schwimmer'!K$4:K$103,'Stammdaten - Sponsoren'!A43,'Stammdaten - Schwimmer'!N$4:N$103)+SUMIF('Stammdaten - Schwimmer'!O$4:O$103,'Stammdaten - Sponsoren'!A43,'Stammdaten - Schwimmer'!R$4:R$103)+SUMIF('Stammdaten - Schwimmer'!S$4:S$103,'Stammdaten - Sponsoren'!A43,'Stammdaten - Schwimmer'!V$4:V$103)</f>
        <v>100</v>
      </c>
      <c r="E43"/>
      <c r="J43" s="2"/>
      <c r="Q43"/>
    </row>
    <row r="44" spans="1:17" x14ac:dyDescent="0.35">
      <c r="A44" s="24">
        <f>'Stammdaten - Sponsoren'!A44</f>
        <v>1041</v>
      </c>
      <c r="B44" s="34" t="str">
        <f>'Stammdaten - Sponsoren'!B44</f>
        <v xml:space="preserve">Gerlach </v>
      </c>
      <c r="C44" s="34">
        <f>'Stammdaten - Sponsoren'!C44</f>
        <v>0</v>
      </c>
      <c r="D44" s="22">
        <f>SUMIF('Stammdaten - Schwimmer'!G$4:G$103,'Stammdaten - Sponsoren'!A44,'Stammdaten - Schwimmer'!J$4:J$103)+SUMIF('Stammdaten - Schwimmer'!K$4:K$103,'Stammdaten - Sponsoren'!A44,'Stammdaten - Schwimmer'!N$4:N$103)+SUMIF('Stammdaten - Schwimmer'!O$4:O$103,'Stammdaten - Sponsoren'!A44,'Stammdaten - Schwimmer'!R$4:R$103)+SUMIF('Stammdaten - Schwimmer'!S$4:S$103,'Stammdaten - Sponsoren'!A44,'Stammdaten - Schwimmer'!V$4:V$103)</f>
        <v>100</v>
      </c>
      <c r="E44"/>
      <c r="J44" s="2"/>
      <c r="Q44"/>
    </row>
    <row r="45" spans="1:17" x14ac:dyDescent="0.35">
      <c r="A45" s="24">
        <f>'Stammdaten - Sponsoren'!A45</f>
        <v>1042</v>
      </c>
      <c r="B45" s="34" t="str">
        <f>'Stammdaten - Sponsoren'!B45</f>
        <v>Warga</v>
      </c>
      <c r="C45" s="34" t="str">
        <f>'Stammdaten - Sponsoren'!C45</f>
        <v>Eva</v>
      </c>
      <c r="D45" s="22">
        <f>SUMIF('Stammdaten - Schwimmer'!G$4:G$103,'Stammdaten - Sponsoren'!A45,'Stammdaten - Schwimmer'!J$4:J$103)+SUMIF('Stammdaten - Schwimmer'!K$4:K$103,'Stammdaten - Sponsoren'!A45,'Stammdaten - Schwimmer'!N$4:N$103)+SUMIF('Stammdaten - Schwimmer'!O$4:O$103,'Stammdaten - Sponsoren'!A45,'Stammdaten - Schwimmer'!R$4:R$103)+SUMIF('Stammdaten - Schwimmer'!S$4:S$103,'Stammdaten - Sponsoren'!A45,'Stammdaten - Schwimmer'!V$4:V$103)</f>
        <v>148</v>
      </c>
      <c r="E45"/>
      <c r="J45" s="2"/>
      <c r="Q45"/>
    </row>
    <row r="46" spans="1:17" x14ac:dyDescent="0.35">
      <c r="A46" s="24">
        <f>'Stammdaten - Sponsoren'!A46</f>
        <v>1043</v>
      </c>
      <c r="B46" s="34" t="str">
        <f>'Stammdaten - Sponsoren'!B46</f>
        <v>Warga</v>
      </c>
      <c r="C46" s="34" t="str">
        <f>'Stammdaten - Sponsoren'!C46</f>
        <v>Christina</v>
      </c>
      <c r="D46" s="22">
        <f>SUMIF('Stammdaten - Schwimmer'!G$4:G$103,'Stammdaten - Sponsoren'!A46,'Stammdaten - Schwimmer'!J$4:J$103)+SUMIF('Stammdaten - Schwimmer'!K$4:K$103,'Stammdaten - Sponsoren'!A46,'Stammdaten - Schwimmer'!N$4:N$103)+SUMIF('Stammdaten - Schwimmer'!O$4:O$103,'Stammdaten - Sponsoren'!A46,'Stammdaten - Schwimmer'!R$4:R$103)+SUMIF('Stammdaten - Schwimmer'!S$4:S$103,'Stammdaten - Sponsoren'!A46,'Stammdaten - Schwimmer'!V$4:V$103)</f>
        <v>0</v>
      </c>
      <c r="E46"/>
      <c r="J46" s="2"/>
      <c r="Q46"/>
    </row>
    <row r="47" spans="1:17" x14ac:dyDescent="0.35">
      <c r="A47" s="24">
        <f>'Stammdaten - Sponsoren'!A47</f>
        <v>1044</v>
      </c>
      <c r="B47" s="34" t="str">
        <f>'Stammdaten - Sponsoren'!B47</f>
        <v>Warga</v>
      </c>
      <c r="C47" s="34" t="str">
        <f>'Stammdaten - Sponsoren'!C47</f>
        <v>Christian</v>
      </c>
      <c r="D47" s="22">
        <f>SUMIF('Stammdaten - Schwimmer'!G$4:G$103,'Stammdaten - Sponsoren'!A47,'Stammdaten - Schwimmer'!J$4:J$103)+SUMIF('Stammdaten - Schwimmer'!K$4:K$103,'Stammdaten - Sponsoren'!A47,'Stammdaten - Schwimmer'!N$4:N$103)+SUMIF('Stammdaten - Schwimmer'!O$4:O$103,'Stammdaten - Sponsoren'!A47,'Stammdaten - Schwimmer'!R$4:R$103)+SUMIF('Stammdaten - Schwimmer'!S$4:S$103,'Stammdaten - Sponsoren'!A47,'Stammdaten - Schwimmer'!V$4:V$103)</f>
        <v>0</v>
      </c>
      <c r="E47"/>
      <c r="J47" s="2"/>
      <c r="Q47"/>
    </row>
    <row r="48" spans="1:17" x14ac:dyDescent="0.35">
      <c r="A48" s="24">
        <f>'Stammdaten - Sponsoren'!A48</f>
        <v>1045</v>
      </c>
      <c r="B48" s="34" t="str">
        <f>'Stammdaten - Sponsoren'!B48</f>
        <v xml:space="preserve">Schieban </v>
      </c>
      <c r="C48" s="34" t="str">
        <f>'Stammdaten - Sponsoren'!C48</f>
        <v>Gertraud</v>
      </c>
      <c r="D48" s="22">
        <f>SUMIF('Stammdaten - Schwimmer'!G$4:G$103,'Stammdaten - Sponsoren'!A48,'Stammdaten - Schwimmer'!J$4:J$103)+SUMIF('Stammdaten - Schwimmer'!K$4:K$103,'Stammdaten - Sponsoren'!A48,'Stammdaten - Schwimmer'!N$4:N$103)+SUMIF('Stammdaten - Schwimmer'!O$4:O$103,'Stammdaten - Sponsoren'!A48,'Stammdaten - Schwimmer'!R$4:R$103)+SUMIF('Stammdaten - Schwimmer'!S$4:S$103,'Stammdaten - Sponsoren'!A48,'Stammdaten - Schwimmer'!V$4:V$103)</f>
        <v>156</v>
      </c>
      <c r="E48"/>
      <c r="J48" s="2"/>
      <c r="Q48"/>
    </row>
    <row r="49" spans="1:17" x14ac:dyDescent="0.35">
      <c r="A49" s="24">
        <f>'Stammdaten - Sponsoren'!A49</f>
        <v>1046</v>
      </c>
      <c r="B49" s="34" t="str">
        <f>'Stammdaten - Sponsoren'!B49</f>
        <v xml:space="preserve">Ulrich </v>
      </c>
      <c r="C49" s="34" t="str">
        <f>'Stammdaten - Sponsoren'!C49</f>
        <v>Döber</v>
      </c>
      <c r="D49" s="22">
        <f>SUMIF('Stammdaten - Schwimmer'!G$4:G$103,'Stammdaten - Sponsoren'!A49,'Stammdaten - Schwimmer'!J$4:J$103)+SUMIF('Stammdaten - Schwimmer'!K$4:K$103,'Stammdaten - Sponsoren'!A49,'Stammdaten - Schwimmer'!N$4:N$103)+SUMIF('Stammdaten - Schwimmer'!O$4:O$103,'Stammdaten - Sponsoren'!A49,'Stammdaten - Schwimmer'!R$4:R$103)+SUMIF('Stammdaten - Schwimmer'!S$4:S$103,'Stammdaten - Sponsoren'!A49,'Stammdaten - Schwimmer'!V$4:V$103)</f>
        <v>92</v>
      </c>
      <c r="E49"/>
      <c r="J49" s="2"/>
      <c r="Q49"/>
    </row>
    <row r="50" spans="1:17" x14ac:dyDescent="0.35">
      <c r="A50" s="24">
        <f>'Stammdaten - Sponsoren'!A50</f>
        <v>1047</v>
      </c>
      <c r="B50" s="34" t="str">
        <f>'Stammdaten - Sponsoren'!B50</f>
        <v>Theobald</v>
      </c>
      <c r="C50" s="34" t="str">
        <f>'Stammdaten - Sponsoren'!C50</f>
        <v>Ariane</v>
      </c>
      <c r="D50" s="22">
        <f>SUMIF('Stammdaten - Schwimmer'!G$4:G$103,'Stammdaten - Sponsoren'!A50,'Stammdaten - Schwimmer'!J$4:J$103)+SUMIF('Stammdaten - Schwimmer'!K$4:K$103,'Stammdaten - Sponsoren'!A50,'Stammdaten - Schwimmer'!N$4:N$103)+SUMIF('Stammdaten - Schwimmer'!O$4:O$103,'Stammdaten - Sponsoren'!A50,'Stammdaten - Schwimmer'!R$4:R$103)+SUMIF('Stammdaten - Schwimmer'!S$4:S$103,'Stammdaten - Sponsoren'!A50,'Stammdaten - Schwimmer'!V$4:V$103)</f>
        <v>12</v>
      </c>
      <c r="E50"/>
      <c r="J50" s="2"/>
      <c r="Q50"/>
    </row>
    <row r="51" spans="1:17" x14ac:dyDescent="0.35">
      <c r="A51" s="24">
        <f>'Stammdaten - Sponsoren'!A51</f>
        <v>1048</v>
      </c>
      <c r="B51" s="34" t="str">
        <f>'Stammdaten - Sponsoren'!B51</f>
        <v>Grambow</v>
      </c>
      <c r="C51" s="34" t="str">
        <f>'Stammdaten - Sponsoren'!C51</f>
        <v>Kerstin</v>
      </c>
      <c r="D51" s="22">
        <f>SUMIF('Stammdaten - Schwimmer'!G$4:G$103,'Stammdaten - Sponsoren'!A51,'Stammdaten - Schwimmer'!J$4:J$103)+SUMIF('Stammdaten - Schwimmer'!K$4:K$103,'Stammdaten - Sponsoren'!A51,'Stammdaten - Schwimmer'!N$4:N$103)+SUMIF('Stammdaten - Schwimmer'!O$4:O$103,'Stammdaten - Sponsoren'!A51,'Stammdaten - Schwimmer'!R$4:R$103)+SUMIF('Stammdaten - Schwimmer'!S$4:S$103,'Stammdaten - Sponsoren'!A51,'Stammdaten - Schwimmer'!V$4:V$103)</f>
        <v>0</v>
      </c>
      <c r="E51"/>
      <c r="J51" s="2"/>
      <c r="Q51"/>
    </row>
    <row r="52" spans="1:17" x14ac:dyDescent="0.35">
      <c r="A52" s="24">
        <f>'Stammdaten - Sponsoren'!A52</f>
        <v>1049</v>
      </c>
      <c r="B52" s="34" t="str">
        <f>'Stammdaten - Sponsoren'!B52</f>
        <v>Murschel</v>
      </c>
      <c r="C52" s="34" t="str">
        <f>'Stammdaten - Sponsoren'!C52</f>
        <v>Ingrid</v>
      </c>
      <c r="D52" s="22">
        <f>SUMIF('Stammdaten - Schwimmer'!G$4:G$103,'Stammdaten - Sponsoren'!A52,'Stammdaten - Schwimmer'!J$4:J$103)+SUMIF('Stammdaten - Schwimmer'!K$4:K$103,'Stammdaten - Sponsoren'!A52,'Stammdaten - Schwimmer'!N$4:N$103)+SUMIF('Stammdaten - Schwimmer'!O$4:O$103,'Stammdaten - Sponsoren'!A52,'Stammdaten - Schwimmer'!R$4:R$103)+SUMIF('Stammdaten - Schwimmer'!S$4:S$103,'Stammdaten - Sponsoren'!A52,'Stammdaten - Schwimmer'!V$4:V$103)</f>
        <v>50</v>
      </c>
      <c r="E52"/>
      <c r="J52" s="2"/>
      <c r="Q52"/>
    </row>
    <row r="53" spans="1:17" x14ac:dyDescent="0.35">
      <c r="A53" s="24">
        <f>'Stammdaten - Sponsoren'!A53</f>
        <v>1050</v>
      </c>
      <c r="B53" s="34" t="str">
        <f>'Stammdaten - Sponsoren'!B53</f>
        <v>Buch</v>
      </c>
      <c r="C53" s="34" t="str">
        <f>'Stammdaten - Sponsoren'!C53</f>
        <v xml:space="preserve">Rüdiger </v>
      </c>
      <c r="D53" s="22">
        <f>SUMIF('Stammdaten - Schwimmer'!G$4:G$103,'Stammdaten - Sponsoren'!A53,'Stammdaten - Schwimmer'!J$4:J$103)+SUMIF('Stammdaten - Schwimmer'!K$4:K$103,'Stammdaten - Sponsoren'!A53,'Stammdaten - Schwimmer'!N$4:N$103)+SUMIF('Stammdaten - Schwimmer'!O$4:O$103,'Stammdaten - Sponsoren'!A53,'Stammdaten - Schwimmer'!R$4:R$103)+SUMIF('Stammdaten - Schwimmer'!S$4:S$103,'Stammdaten - Sponsoren'!A53,'Stammdaten - Schwimmer'!V$4:V$103)</f>
        <v>10</v>
      </c>
      <c r="E53"/>
      <c r="J53" s="2"/>
      <c r="Q53"/>
    </row>
    <row r="54" spans="1:17" x14ac:dyDescent="0.35">
      <c r="A54" s="24">
        <f>'Stammdaten - Sponsoren'!A54</f>
        <v>1051</v>
      </c>
      <c r="B54" s="34" t="str">
        <f>'Stammdaten - Sponsoren'!B54</f>
        <v>Döbler</v>
      </c>
      <c r="C54" s="34" t="str">
        <f>'Stammdaten - Sponsoren'!C54</f>
        <v>Kerstin</v>
      </c>
      <c r="D54" s="22">
        <f>SUMIF('Stammdaten - Schwimmer'!G$4:G$103,'Stammdaten - Sponsoren'!A54,'Stammdaten - Schwimmer'!J$4:J$103)+SUMIF('Stammdaten - Schwimmer'!K$4:K$103,'Stammdaten - Sponsoren'!A54,'Stammdaten - Schwimmer'!N$4:N$103)+SUMIF('Stammdaten - Schwimmer'!O$4:O$103,'Stammdaten - Sponsoren'!A54,'Stammdaten - Schwimmer'!R$4:R$103)+SUMIF('Stammdaten - Schwimmer'!S$4:S$103,'Stammdaten - Sponsoren'!A54,'Stammdaten - Schwimmer'!V$4:V$103)</f>
        <v>0</v>
      </c>
      <c r="E54"/>
      <c r="J54" s="2"/>
      <c r="Q54"/>
    </row>
    <row r="55" spans="1:17" x14ac:dyDescent="0.35">
      <c r="A55" s="24">
        <f>'Stammdaten - Sponsoren'!A55</f>
        <v>1052</v>
      </c>
      <c r="B55" s="34" t="str">
        <f>'Stammdaten - Sponsoren'!B55</f>
        <v xml:space="preserve">Zinmmermann </v>
      </c>
      <c r="C55" s="34" t="str">
        <f>'Stammdaten - Sponsoren'!C55</f>
        <v xml:space="preserve">Jürgen </v>
      </c>
      <c r="D55" s="22">
        <f>SUMIF('Stammdaten - Schwimmer'!G$4:G$103,'Stammdaten - Sponsoren'!A55,'Stammdaten - Schwimmer'!J$4:J$103)+SUMIF('Stammdaten - Schwimmer'!K$4:K$103,'Stammdaten - Sponsoren'!A55,'Stammdaten - Schwimmer'!N$4:N$103)+SUMIF('Stammdaten - Schwimmer'!O$4:O$103,'Stammdaten - Sponsoren'!A55,'Stammdaten - Schwimmer'!R$4:R$103)+SUMIF('Stammdaten - Schwimmer'!S$4:S$103,'Stammdaten - Sponsoren'!A55,'Stammdaten - Schwimmer'!V$4:V$103)</f>
        <v>22</v>
      </c>
      <c r="E55"/>
      <c r="J55" s="2"/>
      <c r="Q55"/>
    </row>
    <row r="56" spans="1:17" x14ac:dyDescent="0.35">
      <c r="A56" s="24">
        <f>'Stammdaten - Sponsoren'!A56</f>
        <v>1053</v>
      </c>
      <c r="B56" s="34" t="str">
        <f>'Stammdaten - Sponsoren'!B56</f>
        <v>Vorreiter</v>
      </c>
      <c r="C56" s="34" t="str">
        <f>'Stammdaten - Sponsoren'!C56</f>
        <v>Diane</v>
      </c>
      <c r="D56" s="22">
        <f>SUMIF('Stammdaten - Schwimmer'!G$4:G$103,'Stammdaten - Sponsoren'!A56,'Stammdaten - Schwimmer'!J$4:J$103)+SUMIF('Stammdaten - Schwimmer'!K$4:K$103,'Stammdaten - Sponsoren'!A56,'Stammdaten - Schwimmer'!N$4:N$103)+SUMIF('Stammdaten - Schwimmer'!O$4:O$103,'Stammdaten - Sponsoren'!A56,'Stammdaten - Schwimmer'!R$4:R$103)+SUMIF('Stammdaten - Schwimmer'!S$4:S$103,'Stammdaten - Sponsoren'!A56,'Stammdaten - Schwimmer'!V$4:V$103)</f>
        <v>48</v>
      </c>
      <c r="E56"/>
      <c r="J56" s="2"/>
      <c r="Q56"/>
    </row>
    <row r="57" spans="1:17" x14ac:dyDescent="0.35">
      <c r="A57" s="24">
        <f>'Stammdaten - Sponsoren'!A57</f>
        <v>1054</v>
      </c>
      <c r="B57" s="34" t="str">
        <f>'Stammdaten - Sponsoren'!B57</f>
        <v xml:space="preserve">Rink </v>
      </c>
      <c r="C57" s="34" t="str">
        <f>'Stammdaten - Sponsoren'!C57</f>
        <v>Björn und Bäbel</v>
      </c>
      <c r="D57" s="22">
        <f>SUMIF('Stammdaten - Schwimmer'!G$4:G$103,'Stammdaten - Sponsoren'!A57,'Stammdaten - Schwimmer'!J$4:J$103)+SUMIF('Stammdaten - Schwimmer'!K$4:K$103,'Stammdaten - Sponsoren'!A57,'Stammdaten - Schwimmer'!N$4:N$103)+SUMIF('Stammdaten - Schwimmer'!O$4:O$103,'Stammdaten - Sponsoren'!A57,'Stammdaten - Schwimmer'!R$4:R$103)+SUMIF('Stammdaten - Schwimmer'!S$4:S$103,'Stammdaten - Sponsoren'!A57,'Stammdaten - Schwimmer'!V$4:V$103)</f>
        <v>22.5</v>
      </c>
      <c r="E57"/>
      <c r="J57" s="2"/>
      <c r="Q57"/>
    </row>
    <row r="58" spans="1:17" x14ac:dyDescent="0.35">
      <c r="A58" s="24">
        <f>'Stammdaten - Sponsoren'!A58</f>
        <v>1055</v>
      </c>
      <c r="B58" s="34" t="str">
        <f>'Stammdaten - Sponsoren'!B58</f>
        <v>Müller</v>
      </c>
      <c r="C58" s="34" t="str">
        <f>'Stammdaten - Sponsoren'!C58</f>
        <v>Friederich</v>
      </c>
      <c r="D58" s="22">
        <f>SUMIF('Stammdaten - Schwimmer'!G$4:G$103,'Stammdaten - Sponsoren'!A58,'Stammdaten - Schwimmer'!J$4:J$103)+SUMIF('Stammdaten - Schwimmer'!K$4:K$103,'Stammdaten - Sponsoren'!A58,'Stammdaten - Schwimmer'!N$4:N$103)+SUMIF('Stammdaten - Schwimmer'!O$4:O$103,'Stammdaten - Sponsoren'!A58,'Stammdaten - Schwimmer'!R$4:R$103)+SUMIF('Stammdaten - Schwimmer'!S$4:S$103,'Stammdaten - Sponsoren'!A58,'Stammdaten - Schwimmer'!V$4:V$103)</f>
        <v>20</v>
      </c>
      <c r="E58"/>
      <c r="J58" s="2"/>
      <c r="Q58"/>
    </row>
    <row r="59" spans="1:17" x14ac:dyDescent="0.35">
      <c r="A59" s="24">
        <f>'Stammdaten - Sponsoren'!A59</f>
        <v>1056</v>
      </c>
      <c r="B59" s="34" t="str">
        <f>'Stammdaten - Sponsoren'!B59</f>
        <v>Dagma</v>
      </c>
      <c r="C59" s="34" t="str">
        <f>'Stammdaten - Sponsoren'!C59</f>
        <v xml:space="preserve">Kammbächer </v>
      </c>
      <c r="D59" s="22">
        <f>SUMIF('Stammdaten - Schwimmer'!G$4:G$103,'Stammdaten - Sponsoren'!A59,'Stammdaten - Schwimmer'!J$4:J$103)+SUMIF('Stammdaten - Schwimmer'!K$4:K$103,'Stammdaten - Sponsoren'!A59,'Stammdaten - Schwimmer'!N$4:N$103)+SUMIF('Stammdaten - Schwimmer'!O$4:O$103,'Stammdaten - Sponsoren'!A59,'Stammdaten - Schwimmer'!R$4:R$103)+SUMIF('Stammdaten - Schwimmer'!S$4:S$103,'Stammdaten - Sponsoren'!A59,'Stammdaten - Schwimmer'!V$4:V$103)</f>
        <v>34</v>
      </c>
      <c r="E59"/>
      <c r="J59" s="2"/>
      <c r="Q59"/>
    </row>
    <row r="60" spans="1:17" x14ac:dyDescent="0.35">
      <c r="A60" s="24">
        <f>'Stammdaten - Sponsoren'!A60</f>
        <v>1057</v>
      </c>
      <c r="B60" s="34" t="str">
        <f>'Stammdaten - Sponsoren'!B60</f>
        <v xml:space="preserve">Rita </v>
      </c>
      <c r="C60" s="34" t="str">
        <f>'Stammdaten - Sponsoren'!C60</f>
        <v>Seel</v>
      </c>
      <c r="D60" s="22">
        <f>SUMIF('Stammdaten - Schwimmer'!G$4:G$103,'Stammdaten - Sponsoren'!A60,'Stammdaten - Schwimmer'!J$4:J$103)+SUMIF('Stammdaten - Schwimmer'!K$4:K$103,'Stammdaten - Sponsoren'!A60,'Stammdaten - Schwimmer'!N$4:N$103)+SUMIF('Stammdaten - Schwimmer'!O$4:O$103,'Stammdaten - Sponsoren'!A60,'Stammdaten - Schwimmer'!R$4:R$103)+SUMIF('Stammdaten - Schwimmer'!S$4:S$103,'Stammdaten - Sponsoren'!A60,'Stammdaten - Schwimmer'!V$4:V$103)</f>
        <v>0</v>
      </c>
      <c r="E60"/>
      <c r="J60" s="2"/>
      <c r="Q60"/>
    </row>
    <row r="61" spans="1:17" x14ac:dyDescent="0.35">
      <c r="A61" s="24">
        <f>'Stammdaten - Sponsoren'!A61</f>
        <v>1058</v>
      </c>
      <c r="B61" s="34" t="str">
        <f>'Stammdaten - Sponsoren'!B61</f>
        <v xml:space="preserve">Rudi </v>
      </c>
      <c r="C61" s="34" t="str">
        <f>'Stammdaten - Sponsoren'!C61</f>
        <v>Häcker</v>
      </c>
      <c r="D61" s="22">
        <f>SUMIF('Stammdaten - Schwimmer'!G$4:G$103,'Stammdaten - Sponsoren'!A61,'Stammdaten - Schwimmer'!J$4:J$103)+SUMIF('Stammdaten - Schwimmer'!K$4:K$103,'Stammdaten - Sponsoren'!A61,'Stammdaten - Schwimmer'!N$4:N$103)+SUMIF('Stammdaten - Schwimmer'!O$4:O$103,'Stammdaten - Sponsoren'!A61,'Stammdaten - Schwimmer'!R$4:R$103)+SUMIF('Stammdaten - Schwimmer'!S$4:S$103,'Stammdaten - Sponsoren'!A61,'Stammdaten - Schwimmer'!V$4:V$103)</f>
        <v>0</v>
      </c>
      <c r="E61"/>
      <c r="J61" s="2"/>
      <c r="Q61"/>
    </row>
    <row r="62" spans="1:17" x14ac:dyDescent="0.35">
      <c r="A62" s="24">
        <f>'Stammdaten - Sponsoren'!A62</f>
        <v>1059</v>
      </c>
      <c r="B62" s="34" t="str">
        <f>'Stammdaten - Sponsoren'!B62</f>
        <v>Schuppler</v>
      </c>
      <c r="C62" s="34" t="str">
        <f>'Stammdaten - Sponsoren'!C62</f>
        <v>Familie</v>
      </c>
      <c r="D62" s="22">
        <f>SUMIF('Stammdaten - Schwimmer'!G$4:G$103,'Stammdaten - Sponsoren'!A62,'Stammdaten - Schwimmer'!J$4:J$103)+SUMIF('Stammdaten - Schwimmer'!K$4:K$103,'Stammdaten - Sponsoren'!A62,'Stammdaten - Schwimmer'!N$4:N$103)+SUMIF('Stammdaten - Schwimmer'!O$4:O$103,'Stammdaten - Sponsoren'!A62,'Stammdaten - Schwimmer'!R$4:R$103)+SUMIF('Stammdaten - Schwimmer'!S$4:S$103,'Stammdaten - Sponsoren'!A62,'Stammdaten - Schwimmer'!V$4:V$103)</f>
        <v>50</v>
      </c>
      <c r="E62"/>
      <c r="J62" s="2"/>
      <c r="Q62"/>
    </row>
    <row r="63" spans="1:17" x14ac:dyDescent="0.35">
      <c r="A63" s="24">
        <f>'Stammdaten - Sponsoren'!A63</f>
        <v>1060</v>
      </c>
      <c r="B63" s="34" t="str">
        <f>'Stammdaten - Sponsoren'!B63</f>
        <v>Schmid</v>
      </c>
      <c r="C63" s="34" t="str">
        <f>'Stammdaten - Sponsoren'!C63</f>
        <v>Walter</v>
      </c>
      <c r="D63" s="22">
        <f>SUMIF('Stammdaten - Schwimmer'!G$4:G$103,'Stammdaten - Sponsoren'!A63,'Stammdaten - Schwimmer'!J$4:J$103)+SUMIF('Stammdaten - Schwimmer'!K$4:K$103,'Stammdaten - Sponsoren'!A63,'Stammdaten - Schwimmer'!N$4:N$103)+SUMIF('Stammdaten - Schwimmer'!O$4:O$103,'Stammdaten - Sponsoren'!A63,'Stammdaten - Schwimmer'!R$4:R$103)+SUMIF('Stammdaten - Schwimmer'!S$4:S$103,'Stammdaten - Sponsoren'!A63,'Stammdaten - Schwimmer'!V$4:V$103)</f>
        <v>46</v>
      </c>
      <c r="E63"/>
      <c r="J63" s="2"/>
      <c r="Q63"/>
    </row>
    <row r="64" spans="1:17" x14ac:dyDescent="0.35">
      <c r="A64" s="24">
        <f>'Stammdaten - Sponsoren'!A64</f>
        <v>1061</v>
      </c>
      <c r="B64" s="34" t="str">
        <f>'Stammdaten - Sponsoren'!B64</f>
        <v xml:space="preserve">Maier </v>
      </c>
      <c r="C64" s="34" t="str">
        <f>'Stammdaten - Sponsoren'!C64</f>
        <v>Cordula</v>
      </c>
      <c r="D64" s="22">
        <f>SUMIF('Stammdaten - Schwimmer'!G$4:G$103,'Stammdaten - Sponsoren'!A64,'Stammdaten - Schwimmer'!J$4:J$103)+SUMIF('Stammdaten - Schwimmer'!K$4:K$103,'Stammdaten - Sponsoren'!A64,'Stammdaten - Schwimmer'!N$4:N$103)+SUMIF('Stammdaten - Schwimmer'!O$4:O$103,'Stammdaten - Sponsoren'!A64,'Stammdaten - Schwimmer'!R$4:R$103)+SUMIF('Stammdaten - Schwimmer'!S$4:S$103,'Stammdaten - Sponsoren'!A64,'Stammdaten - Schwimmer'!V$4:V$103)</f>
        <v>0</v>
      </c>
    </row>
    <row r="65" spans="1:4" x14ac:dyDescent="0.35">
      <c r="A65" s="24">
        <f>'Stammdaten - Sponsoren'!A65</f>
        <v>1062</v>
      </c>
      <c r="B65" s="34" t="str">
        <f>'Stammdaten - Sponsoren'!B65</f>
        <v>Kalamanis</v>
      </c>
      <c r="C65" s="34" t="str">
        <f>'Stammdaten - Sponsoren'!C65</f>
        <v>Dimitry</v>
      </c>
      <c r="D65" s="22">
        <f>SUMIF('Stammdaten - Schwimmer'!G$4:G$103,'Stammdaten - Sponsoren'!A65,'Stammdaten - Schwimmer'!J$4:J$103)+SUMIF('Stammdaten - Schwimmer'!K$4:K$103,'Stammdaten - Sponsoren'!A65,'Stammdaten - Schwimmer'!N$4:N$103)+SUMIF('Stammdaten - Schwimmer'!O$4:O$103,'Stammdaten - Sponsoren'!A65,'Stammdaten - Schwimmer'!R$4:R$103)+SUMIF('Stammdaten - Schwimmer'!S$4:S$103,'Stammdaten - Sponsoren'!A65,'Stammdaten - Schwimmer'!V$4:V$103)</f>
        <v>40</v>
      </c>
    </row>
    <row r="66" spans="1:4" x14ac:dyDescent="0.35">
      <c r="A66" s="24">
        <f>'Stammdaten - Sponsoren'!A66</f>
        <v>1063</v>
      </c>
      <c r="B66" s="34" t="str">
        <f>'Stammdaten - Sponsoren'!B66</f>
        <v>Kalamanis</v>
      </c>
      <c r="C66" s="34" t="str">
        <f>'Stammdaten - Sponsoren'!C66</f>
        <v>Rosalinde</v>
      </c>
      <c r="D66" s="22">
        <f>SUMIF('Stammdaten - Schwimmer'!G$4:G$103,'Stammdaten - Sponsoren'!A66,'Stammdaten - Schwimmer'!J$4:J$103)+SUMIF('Stammdaten - Schwimmer'!K$4:K$103,'Stammdaten - Sponsoren'!A66,'Stammdaten - Schwimmer'!N$4:N$103)+SUMIF('Stammdaten - Schwimmer'!O$4:O$103,'Stammdaten - Sponsoren'!A66,'Stammdaten - Schwimmer'!R$4:R$103)+SUMIF('Stammdaten - Schwimmer'!S$4:S$103,'Stammdaten - Sponsoren'!A66,'Stammdaten - Schwimmer'!V$4:V$103)</f>
        <v>10</v>
      </c>
    </row>
    <row r="67" spans="1:4" x14ac:dyDescent="0.35">
      <c r="A67" s="24">
        <f>'Stammdaten - Sponsoren'!A67</f>
        <v>1064</v>
      </c>
      <c r="B67" s="34" t="str">
        <f>'Stammdaten - Sponsoren'!B67</f>
        <v>Korz</v>
      </c>
      <c r="C67" s="34" t="str">
        <f>'Stammdaten - Sponsoren'!C67</f>
        <v>Susanne</v>
      </c>
      <c r="D67" s="22">
        <f>SUMIF('Stammdaten - Schwimmer'!G$4:G$103,'Stammdaten - Sponsoren'!A67,'Stammdaten - Schwimmer'!J$4:J$103)+SUMIF('Stammdaten - Schwimmer'!K$4:K$103,'Stammdaten - Sponsoren'!A67,'Stammdaten - Schwimmer'!N$4:N$103)+SUMIF('Stammdaten - Schwimmer'!O$4:O$103,'Stammdaten - Sponsoren'!A67,'Stammdaten - Schwimmer'!R$4:R$103)+SUMIF('Stammdaten - Schwimmer'!S$4:S$103,'Stammdaten - Sponsoren'!A67,'Stammdaten - Schwimmer'!V$4:V$103)</f>
        <v>40</v>
      </c>
    </row>
    <row r="68" spans="1:4" x14ac:dyDescent="0.35">
      <c r="A68" s="24">
        <f>'Stammdaten - Sponsoren'!A68</f>
        <v>1065</v>
      </c>
      <c r="B68" s="34" t="str">
        <f>'Stammdaten - Sponsoren'!B68</f>
        <v>Mario de Paz</v>
      </c>
      <c r="C68" s="34" t="str">
        <f>'Stammdaten - Sponsoren'!C68</f>
        <v>Mario</v>
      </c>
      <c r="D68" s="22">
        <f>SUMIF('Stammdaten - Schwimmer'!G$4:G$103,'Stammdaten - Sponsoren'!A68,'Stammdaten - Schwimmer'!J$4:J$103)+SUMIF('Stammdaten - Schwimmer'!K$4:K$103,'Stammdaten - Sponsoren'!A68,'Stammdaten - Schwimmer'!N$4:N$103)+SUMIF('Stammdaten - Schwimmer'!O$4:O$103,'Stammdaten - Sponsoren'!A68,'Stammdaten - Schwimmer'!R$4:R$103)+SUMIF('Stammdaten - Schwimmer'!S$4:S$103,'Stammdaten - Sponsoren'!A68,'Stammdaten - Schwimmer'!V$4:V$103)</f>
        <v>60</v>
      </c>
    </row>
    <row r="69" spans="1:4" x14ac:dyDescent="0.35">
      <c r="A69" s="24">
        <f>'Stammdaten - Sponsoren'!A69</f>
        <v>1066</v>
      </c>
      <c r="B69" s="34" t="str">
        <f>'Stammdaten - Sponsoren'!B69</f>
        <v>Laisenacker</v>
      </c>
      <c r="C69" s="34">
        <f>'Stammdaten - Sponsoren'!C69</f>
        <v>0</v>
      </c>
      <c r="D69" s="22">
        <f>SUMIF('Stammdaten - Schwimmer'!G$4:G$103,'Stammdaten - Sponsoren'!A69,'Stammdaten - Schwimmer'!J$4:J$103)+SUMIF('Stammdaten - Schwimmer'!K$4:K$103,'Stammdaten - Sponsoren'!A69,'Stammdaten - Schwimmer'!N$4:N$103)+SUMIF('Stammdaten - Schwimmer'!O$4:O$103,'Stammdaten - Sponsoren'!A69,'Stammdaten - Schwimmer'!R$4:R$103)+SUMIF('Stammdaten - Schwimmer'!S$4:S$103,'Stammdaten - Sponsoren'!A69,'Stammdaten - Schwimmer'!V$4:V$103)</f>
        <v>120</v>
      </c>
    </row>
    <row r="70" spans="1:4" x14ac:dyDescent="0.35">
      <c r="A70" s="24">
        <f>'Stammdaten - Sponsoren'!A70</f>
        <v>1067</v>
      </c>
      <c r="B70" s="34" t="str">
        <f>'Stammdaten - Sponsoren'!B70</f>
        <v>Wenliang</v>
      </c>
      <c r="C70" s="34" t="str">
        <f>'Stammdaten - Sponsoren'!C70</f>
        <v>Zhou</v>
      </c>
      <c r="D70" s="22">
        <f>SUMIF('Stammdaten - Schwimmer'!G$4:G$103,'Stammdaten - Sponsoren'!A70,'Stammdaten - Schwimmer'!J$4:J$103)+SUMIF('Stammdaten - Schwimmer'!K$4:K$103,'Stammdaten - Sponsoren'!A70,'Stammdaten - Schwimmer'!N$4:N$103)+SUMIF('Stammdaten - Schwimmer'!O$4:O$103,'Stammdaten - Sponsoren'!A70,'Stammdaten - Schwimmer'!R$4:R$103)+SUMIF('Stammdaten - Schwimmer'!S$4:S$103,'Stammdaten - Sponsoren'!A70,'Stammdaten - Schwimmer'!V$4:V$103)</f>
        <v>80</v>
      </c>
    </row>
    <row r="71" spans="1:4" x14ac:dyDescent="0.35">
      <c r="A71" s="24">
        <f>'Stammdaten - Sponsoren'!A71</f>
        <v>1068</v>
      </c>
      <c r="B71" s="34" t="str">
        <f>'Stammdaten - Sponsoren'!B71</f>
        <v>Lingling</v>
      </c>
      <c r="C71" s="34" t="str">
        <f>'Stammdaten - Sponsoren'!C71</f>
        <v>Xhe</v>
      </c>
      <c r="D71" s="22">
        <f>SUMIF('Stammdaten - Schwimmer'!G$4:G$103,'Stammdaten - Sponsoren'!A71,'Stammdaten - Schwimmer'!J$4:J$103)+SUMIF('Stammdaten - Schwimmer'!K$4:K$103,'Stammdaten - Sponsoren'!A71,'Stammdaten - Schwimmer'!N$4:N$103)+SUMIF('Stammdaten - Schwimmer'!O$4:O$103,'Stammdaten - Sponsoren'!A71,'Stammdaten - Schwimmer'!R$4:R$103)+SUMIF('Stammdaten - Schwimmer'!S$4:S$103,'Stammdaten - Sponsoren'!A71,'Stammdaten - Schwimmer'!V$4:V$103)</f>
        <v>16</v>
      </c>
    </row>
    <row r="72" spans="1:4" x14ac:dyDescent="0.35">
      <c r="A72" s="24">
        <f>'Stammdaten - Sponsoren'!A72</f>
        <v>1069</v>
      </c>
      <c r="B72" s="34" t="str">
        <f>'Stammdaten - Sponsoren'!B72</f>
        <v>Göpl</v>
      </c>
      <c r="C72" s="34" t="str">
        <f>'Stammdaten - Sponsoren'!C72</f>
        <v>M</v>
      </c>
      <c r="D72" s="22">
        <f>SUMIF('Stammdaten - Schwimmer'!G$4:G$103,'Stammdaten - Sponsoren'!A72,'Stammdaten - Schwimmer'!J$4:J$103)+SUMIF('Stammdaten - Schwimmer'!K$4:K$103,'Stammdaten - Sponsoren'!A72,'Stammdaten - Schwimmer'!N$4:N$103)+SUMIF('Stammdaten - Schwimmer'!O$4:O$103,'Stammdaten - Sponsoren'!A72,'Stammdaten - Schwimmer'!R$4:R$103)+SUMIF('Stammdaten - Schwimmer'!S$4:S$103,'Stammdaten - Sponsoren'!A72,'Stammdaten - Schwimmer'!V$4:V$103)</f>
        <v>102</v>
      </c>
    </row>
    <row r="73" spans="1:4" x14ac:dyDescent="0.35">
      <c r="A73" s="24">
        <f>'Stammdaten - Sponsoren'!A73</f>
        <v>1070</v>
      </c>
      <c r="B73" s="34" t="str">
        <f>'Stammdaten - Sponsoren'!B73</f>
        <v>Rische</v>
      </c>
      <c r="C73" s="34" t="str">
        <f>'Stammdaten - Sponsoren'!C73</f>
        <v>GmbH</v>
      </c>
      <c r="D73" s="22">
        <f>SUMIF('Stammdaten - Schwimmer'!G$4:G$103,'Stammdaten - Sponsoren'!A73,'Stammdaten - Schwimmer'!J$4:J$103)+SUMIF('Stammdaten - Schwimmer'!K$4:K$103,'Stammdaten - Sponsoren'!A73,'Stammdaten - Schwimmer'!N$4:N$103)+SUMIF('Stammdaten - Schwimmer'!O$4:O$103,'Stammdaten - Sponsoren'!A73,'Stammdaten - Schwimmer'!R$4:R$103)+SUMIF('Stammdaten - Schwimmer'!S$4:S$103,'Stammdaten - Sponsoren'!A73,'Stammdaten - Schwimmer'!V$4:V$103)</f>
        <v>100</v>
      </c>
    </row>
    <row r="74" spans="1:4" x14ac:dyDescent="0.35">
      <c r="A74" s="24">
        <f>'Stammdaten - Sponsoren'!A74</f>
        <v>1071</v>
      </c>
      <c r="B74" s="34" t="str">
        <f>'Stammdaten - Sponsoren'!B74</f>
        <v>Pauls</v>
      </c>
      <c r="C74" s="34" t="str">
        <f>'Stammdaten - Sponsoren'!C74</f>
        <v>Maike</v>
      </c>
      <c r="D74" s="22">
        <f>SUMIF('Stammdaten - Schwimmer'!G$4:G$103,'Stammdaten - Sponsoren'!A74,'Stammdaten - Schwimmer'!J$4:J$103)+SUMIF('Stammdaten - Schwimmer'!K$4:K$103,'Stammdaten - Sponsoren'!A74,'Stammdaten - Schwimmer'!N$4:N$103)+SUMIF('Stammdaten - Schwimmer'!O$4:O$103,'Stammdaten - Sponsoren'!A74,'Stammdaten - Schwimmer'!R$4:R$103)+SUMIF('Stammdaten - Schwimmer'!S$4:S$103,'Stammdaten - Sponsoren'!A74,'Stammdaten - Schwimmer'!V$4:V$103)</f>
        <v>52</v>
      </c>
    </row>
    <row r="75" spans="1:4" x14ac:dyDescent="0.35">
      <c r="A75" s="24">
        <f>'Stammdaten - Sponsoren'!A75</f>
        <v>1072</v>
      </c>
      <c r="B75" s="34" t="str">
        <f>'Stammdaten - Sponsoren'!B75</f>
        <v>Rösner</v>
      </c>
      <c r="C75" s="34">
        <f>'Stammdaten - Sponsoren'!C75</f>
        <v>0</v>
      </c>
      <c r="D75" s="22">
        <f>SUMIF('Stammdaten - Schwimmer'!G$4:G$103,'Stammdaten - Sponsoren'!A75,'Stammdaten - Schwimmer'!J$4:J$103)+SUMIF('Stammdaten - Schwimmer'!K$4:K$103,'Stammdaten - Sponsoren'!A75,'Stammdaten - Schwimmer'!N$4:N$103)+SUMIF('Stammdaten - Schwimmer'!O$4:O$103,'Stammdaten - Sponsoren'!A75,'Stammdaten - Schwimmer'!R$4:R$103)+SUMIF('Stammdaten - Schwimmer'!S$4:S$103,'Stammdaten - Sponsoren'!A75,'Stammdaten - Schwimmer'!V$4:V$103)</f>
        <v>76</v>
      </c>
    </row>
    <row r="76" spans="1:4" x14ac:dyDescent="0.35">
      <c r="A76" s="24">
        <f>'Stammdaten - Sponsoren'!A76</f>
        <v>1073</v>
      </c>
      <c r="B76" s="34" t="str">
        <f>'Stammdaten - Sponsoren'!B76</f>
        <v>Holzwarth</v>
      </c>
      <c r="C76" s="34" t="str">
        <f>'Stammdaten - Sponsoren'!C76</f>
        <v>Achim</v>
      </c>
      <c r="D76" s="22">
        <f>SUMIF('Stammdaten - Schwimmer'!G$4:G$103,'Stammdaten - Sponsoren'!A76,'Stammdaten - Schwimmer'!J$4:J$103)+SUMIF('Stammdaten - Schwimmer'!K$4:K$103,'Stammdaten - Sponsoren'!A76,'Stammdaten - Schwimmer'!N$4:N$103)+SUMIF('Stammdaten - Schwimmer'!O$4:O$103,'Stammdaten - Sponsoren'!A76,'Stammdaten - Schwimmer'!R$4:R$103)+SUMIF('Stammdaten - Schwimmer'!S$4:S$103,'Stammdaten - Sponsoren'!A76,'Stammdaten - Schwimmer'!V$4:V$103)</f>
        <v>124</v>
      </c>
    </row>
    <row r="77" spans="1:4" x14ac:dyDescent="0.35">
      <c r="A77" s="24">
        <f>'Stammdaten - Sponsoren'!A77</f>
        <v>1074</v>
      </c>
      <c r="B77" s="34" t="str">
        <f>'Stammdaten - Sponsoren'!B77</f>
        <v>van Dyken</v>
      </c>
      <c r="C77" s="34" t="str">
        <f>'Stammdaten - Sponsoren'!C77</f>
        <v>Waltraud</v>
      </c>
      <c r="D77" s="22">
        <f>SUMIF('Stammdaten - Schwimmer'!G$4:G$103,'Stammdaten - Sponsoren'!A77,'Stammdaten - Schwimmer'!J$4:J$103)+SUMIF('Stammdaten - Schwimmer'!K$4:K$103,'Stammdaten - Sponsoren'!A77,'Stammdaten - Schwimmer'!N$4:N$103)+SUMIF('Stammdaten - Schwimmer'!O$4:O$103,'Stammdaten - Sponsoren'!A77,'Stammdaten - Schwimmer'!R$4:R$103)+SUMIF('Stammdaten - Schwimmer'!S$4:S$103,'Stammdaten - Sponsoren'!A77,'Stammdaten - Schwimmer'!V$4:V$103)</f>
        <v>40</v>
      </c>
    </row>
    <row r="78" spans="1:4" x14ac:dyDescent="0.35">
      <c r="A78" s="24">
        <f>'Stammdaten - Sponsoren'!A78</f>
        <v>1075</v>
      </c>
      <c r="B78" s="34" t="str">
        <f>'Stammdaten - Sponsoren'!B78</f>
        <v>Michael Frech GbR</v>
      </c>
      <c r="C78" s="34">
        <f>'Stammdaten - Sponsoren'!C78</f>
        <v>0</v>
      </c>
      <c r="D78" s="22">
        <f>SUMIF('Stammdaten - Schwimmer'!G$4:G$103,'Stammdaten - Sponsoren'!A78,'Stammdaten - Schwimmer'!J$4:J$103)+SUMIF('Stammdaten - Schwimmer'!K$4:K$103,'Stammdaten - Sponsoren'!A78,'Stammdaten - Schwimmer'!N$4:N$103)+SUMIF('Stammdaten - Schwimmer'!O$4:O$103,'Stammdaten - Sponsoren'!A78,'Stammdaten - Schwimmer'!R$4:R$103)+SUMIF('Stammdaten - Schwimmer'!S$4:S$103,'Stammdaten - Sponsoren'!A78,'Stammdaten - Schwimmer'!V$4:V$103)</f>
        <v>0</v>
      </c>
    </row>
    <row r="79" spans="1:4" x14ac:dyDescent="0.35">
      <c r="A79" s="24">
        <f>'Stammdaten - Sponsoren'!A79</f>
        <v>1076</v>
      </c>
      <c r="B79" s="34" t="str">
        <f>'Stammdaten - Sponsoren'!B79</f>
        <v>Wiederspick</v>
      </c>
      <c r="C79" s="34" t="str">
        <f>'Stammdaten - Sponsoren'!C79</f>
        <v>Angelika</v>
      </c>
      <c r="D79" s="22">
        <f>SUMIF('Stammdaten - Schwimmer'!G$4:G$103,'Stammdaten - Sponsoren'!A79,'Stammdaten - Schwimmer'!J$4:J$103)+SUMIF('Stammdaten - Schwimmer'!K$4:K$103,'Stammdaten - Sponsoren'!A79,'Stammdaten - Schwimmer'!N$4:N$103)+SUMIF('Stammdaten - Schwimmer'!O$4:O$103,'Stammdaten - Sponsoren'!A79,'Stammdaten - Schwimmer'!R$4:R$103)+SUMIF('Stammdaten - Schwimmer'!S$4:S$103,'Stammdaten - Sponsoren'!A79,'Stammdaten - Schwimmer'!V$4:V$103)</f>
        <v>0</v>
      </c>
    </row>
    <row r="80" spans="1:4" x14ac:dyDescent="0.35">
      <c r="A80" s="24">
        <f>'Stammdaten - Sponsoren'!A80</f>
        <v>1077</v>
      </c>
      <c r="B80" s="34" t="str">
        <f>'Stammdaten - Sponsoren'!B80</f>
        <v>Frech</v>
      </c>
      <c r="C80" s="34" t="str">
        <f>'Stammdaten - Sponsoren'!C80</f>
        <v>Timo</v>
      </c>
      <c r="D80" s="22">
        <f>SUMIF('Stammdaten - Schwimmer'!G$4:G$103,'Stammdaten - Sponsoren'!A80,'Stammdaten - Schwimmer'!J$4:J$103)+SUMIF('Stammdaten - Schwimmer'!K$4:K$103,'Stammdaten - Sponsoren'!A80,'Stammdaten - Schwimmer'!N$4:N$103)+SUMIF('Stammdaten - Schwimmer'!O$4:O$103,'Stammdaten - Sponsoren'!A80,'Stammdaten - Schwimmer'!R$4:R$103)+SUMIF('Stammdaten - Schwimmer'!S$4:S$103,'Stammdaten - Sponsoren'!A80,'Stammdaten - Schwimmer'!V$4:V$103)</f>
        <v>0</v>
      </c>
    </row>
    <row r="81" spans="1:4" x14ac:dyDescent="0.35">
      <c r="A81" s="24">
        <f>'Stammdaten - Sponsoren'!A81</f>
        <v>1078</v>
      </c>
      <c r="B81" s="34" t="str">
        <f>'Stammdaten - Sponsoren'!B81</f>
        <v>Frech</v>
      </c>
      <c r="C81" s="34" t="str">
        <f>'Stammdaten - Sponsoren'!C81</f>
        <v>Sven</v>
      </c>
      <c r="D81" s="22">
        <f>SUMIF('Stammdaten - Schwimmer'!G$4:G$103,'Stammdaten - Sponsoren'!A81,'Stammdaten - Schwimmer'!J$4:J$103)+SUMIF('Stammdaten - Schwimmer'!K$4:K$103,'Stammdaten - Sponsoren'!A81,'Stammdaten - Schwimmer'!N$4:N$103)+SUMIF('Stammdaten - Schwimmer'!O$4:O$103,'Stammdaten - Sponsoren'!A81,'Stammdaten - Schwimmer'!R$4:R$103)+SUMIF('Stammdaten - Schwimmer'!S$4:S$103,'Stammdaten - Sponsoren'!A81,'Stammdaten - Schwimmer'!V$4:V$103)</f>
        <v>0</v>
      </c>
    </row>
    <row r="82" spans="1:4" x14ac:dyDescent="0.35">
      <c r="A82" s="24">
        <f>'Stammdaten - Sponsoren'!A82</f>
        <v>1079</v>
      </c>
      <c r="B82" s="34" t="str">
        <f>'Stammdaten - Sponsoren'!B82</f>
        <v xml:space="preserve">Frech </v>
      </c>
      <c r="C82" s="34" t="str">
        <f>'Stammdaten - Sponsoren'!C82</f>
        <v>Bianca</v>
      </c>
      <c r="D82" s="22">
        <f>SUMIF('Stammdaten - Schwimmer'!G$4:G$103,'Stammdaten - Sponsoren'!A82,'Stammdaten - Schwimmer'!J$4:J$103)+SUMIF('Stammdaten - Schwimmer'!K$4:K$103,'Stammdaten - Sponsoren'!A82,'Stammdaten - Schwimmer'!N$4:N$103)+SUMIF('Stammdaten - Schwimmer'!O$4:O$103,'Stammdaten - Sponsoren'!A82,'Stammdaten - Schwimmer'!R$4:R$103)+SUMIF('Stammdaten - Schwimmer'!S$4:S$103,'Stammdaten - Sponsoren'!A82,'Stammdaten - Schwimmer'!V$4:V$103)</f>
        <v>0</v>
      </c>
    </row>
    <row r="83" spans="1:4" x14ac:dyDescent="0.35">
      <c r="A83" s="24">
        <f>'Stammdaten - Sponsoren'!A83</f>
        <v>1080</v>
      </c>
      <c r="B83" s="34" t="str">
        <f>'Stammdaten - Sponsoren'!B83</f>
        <v>Schulze</v>
      </c>
      <c r="C83" s="34" t="str">
        <f>'Stammdaten - Sponsoren'!C83</f>
        <v>Michael Fischer</v>
      </c>
      <c r="D83" s="22">
        <f>SUMIF('Stammdaten - Schwimmer'!G$4:G$103,'Stammdaten - Sponsoren'!A83,'Stammdaten - Schwimmer'!J$4:J$103)+SUMIF('Stammdaten - Schwimmer'!K$4:K$103,'Stammdaten - Sponsoren'!A83,'Stammdaten - Schwimmer'!N$4:N$103)+SUMIF('Stammdaten - Schwimmer'!O$4:O$103,'Stammdaten - Sponsoren'!A83,'Stammdaten - Schwimmer'!R$4:R$103)+SUMIF('Stammdaten - Schwimmer'!S$4:S$103,'Stammdaten - Sponsoren'!A83,'Stammdaten - Schwimmer'!V$4:V$103)</f>
        <v>50</v>
      </c>
    </row>
    <row r="84" spans="1:4" x14ac:dyDescent="0.35">
      <c r="A84" s="24">
        <f>'Stammdaten - Sponsoren'!A84</f>
        <v>1081</v>
      </c>
      <c r="B84" s="34">
        <f>'Stammdaten - Sponsoren'!B84</f>
        <v>0</v>
      </c>
      <c r="C84" s="34">
        <f>'Stammdaten - Sponsoren'!C84</f>
        <v>0</v>
      </c>
      <c r="D84" s="22">
        <f>SUMIF('Stammdaten - Schwimmer'!G$4:G$103,'Stammdaten - Sponsoren'!A84,'Stammdaten - Schwimmer'!J$4:J$103)+SUMIF('Stammdaten - Schwimmer'!K$4:K$103,'Stammdaten - Sponsoren'!A84,'Stammdaten - Schwimmer'!N$4:N$103)+SUMIF('Stammdaten - Schwimmer'!O$4:O$103,'Stammdaten - Sponsoren'!A84,'Stammdaten - Schwimmer'!R$4:R$103)+SUMIF('Stammdaten - Schwimmer'!S$4:S$103,'Stammdaten - Sponsoren'!A84,'Stammdaten - Schwimmer'!V$4:V$103)</f>
        <v>0</v>
      </c>
    </row>
    <row r="85" spans="1:4" x14ac:dyDescent="0.35">
      <c r="A85" s="24">
        <f>'Stammdaten - Sponsoren'!A85</f>
        <v>1082</v>
      </c>
      <c r="B85" s="34">
        <f>'Stammdaten - Sponsoren'!B85</f>
        <v>0</v>
      </c>
      <c r="C85" s="34">
        <f>'Stammdaten - Sponsoren'!C85</f>
        <v>0</v>
      </c>
      <c r="D85" s="22">
        <f>SUMIF('Stammdaten - Schwimmer'!G$4:G$103,'Stammdaten - Sponsoren'!A85,'Stammdaten - Schwimmer'!J$4:J$103)+SUMIF('Stammdaten - Schwimmer'!K$4:K$103,'Stammdaten - Sponsoren'!A85,'Stammdaten - Schwimmer'!N$4:N$103)+SUMIF('Stammdaten - Schwimmer'!O$4:O$103,'Stammdaten - Sponsoren'!A85,'Stammdaten - Schwimmer'!R$4:R$103)+SUMIF('Stammdaten - Schwimmer'!S$4:S$103,'Stammdaten - Sponsoren'!A85,'Stammdaten - Schwimmer'!V$4:V$103)</f>
        <v>0</v>
      </c>
    </row>
    <row r="86" spans="1:4" x14ac:dyDescent="0.35">
      <c r="A86" s="24">
        <f>'Stammdaten - Sponsoren'!A86</f>
        <v>1083</v>
      </c>
      <c r="B86" s="34">
        <f>'Stammdaten - Sponsoren'!B86</f>
        <v>0</v>
      </c>
      <c r="C86" s="34">
        <f>'Stammdaten - Sponsoren'!C86</f>
        <v>0</v>
      </c>
      <c r="D86" s="22">
        <f>SUMIF('Stammdaten - Schwimmer'!G$4:G$103,'Stammdaten - Sponsoren'!A86,'Stammdaten - Schwimmer'!J$4:J$103)+SUMIF('Stammdaten - Schwimmer'!K$4:K$103,'Stammdaten - Sponsoren'!A86,'Stammdaten - Schwimmer'!N$4:N$103)+SUMIF('Stammdaten - Schwimmer'!O$4:O$103,'Stammdaten - Sponsoren'!A86,'Stammdaten - Schwimmer'!R$4:R$103)+SUMIF('Stammdaten - Schwimmer'!S$4:S$103,'Stammdaten - Sponsoren'!A86,'Stammdaten - Schwimmer'!V$4:V$103)</f>
        <v>0</v>
      </c>
    </row>
    <row r="87" spans="1:4" x14ac:dyDescent="0.35">
      <c r="A87" s="24">
        <f>'Stammdaten - Sponsoren'!A87</f>
        <v>1084</v>
      </c>
      <c r="B87" s="34">
        <f>'Stammdaten - Sponsoren'!B87</f>
        <v>0</v>
      </c>
      <c r="C87" s="34">
        <f>'Stammdaten - Sponsoren'!C87</f>
        <v>0</v>
      </c>
      <c r="D87" s="22">
        <f>SUMIF('Stammdaten - Schwimmer'!G$4:G$103,'Stammdaten - Sponsoren'!A87,'Stammdaten - Schwimmer'!J$4:J$103)+SUMIF('Stammdaten - Schwimmer'!K$4:K$103,'Stammdaten - Sponsoren'!A87,'Stammdaten - Schwimmer'!N$4:N$103)+SUMIF('Stammdaten - Schwimmer'!O$4:O$103,'Stammdaten - Sponsoren'!A87,'Stammdaten - Schwimmer'!R$4:R$103)+SUMIF('Stammdaten - Schwimmer'!S$4:S$103,'Stammdaten - Sponsoren'!A87,'Stammdaten - Schwimmer'!V$4:V$103)</f>
        <v>0</v>
      </c>
    </row>
    <row r="88" spans="1:4" x14ac:dyDescent="0.35">
      <c r="A88" s="24"/>
      <c r="B88" s="34"/>
      <c r="C88" s="34"/>
      <c r="D88" s="22"/>
    </row>
    <row r="89" spans="1:4" x14ac:dyDescent="0.35">
      <c r="A89" s="24"/>
      <c r="B89" s="34"/>
      <c r="C89" s="34"/>
      <c r="D89" s="22"/>
    </row>
    <row r="90" spans="1:4" x14ac:dyDescent="0.35">
      <c r="A90" s="24"/>
      <c r="B90" s="34"/>
      <c r="C90" s="34"/>
      <c r="D90" s="22"/>
    </row>
    <row r="91" spans="1:4" x14ac:dyDescent="0.35">
      <c r="A91" s="24"/>
      <c r="B91" s="34"/>
      <c r="C91" s="34"/>
      <c r="D91" s="22"/>
    </row>
    <row r="92" spans="1:4" x14ac:dyDescent="0.35">
      <c r="A92" s="24"/>
      <c r="B92" s="34"/>
      <c r="C92" s="34"/>
      <c r="D92" s="22"/>
    </row>
    <row r="93" spans="1:4" x14ac:dyDescent="0.35">
      <c r="A93" s="24"/>
      <c r="B93" s="34"/>
      <c r="C93" s="34"/>
      <c r="D93" s="22"/>
    </row>
    <row r="94" spans="1:4" x14ac:dyDescent="0.35">
      <c r="A94" s="24"/>
      <c r="B94" s="34"/>
      <c r="C94" s="34"/>
      <c r="D94" s="22"/>
    </row>
    <row r="95" spans="1:4" x14ac:dyDescent="0.35">
      <c r="A95" s="24"/>
      <c r="B95" s="34"/>
      <c r="C95" s="34"/>
      <c r="D95" s="22"/>
    </row>
    <row r="96" spans="1:4" x14ac:dyDescent="0.35">
      <c r="A96" s="24"/>
      <c r="B96" s="34"/>
      <c r="C96" s="34"/>
      <c r="D96" s="22"/>
    </row>
    <row r="97" spans="1:4" x14ac:dyDescent="0.35">
      <c r="A97" s="24"/>
      <c r="B97" s="34"/>
      <c r="C97" s="34"/>
      <c r="D97" s="22"/>
    </row>
    <row r="98" spans="1:4" x14ac:dyDescent="0.35">
      <c r="A98" s="24"/>
      <c r="B98" s="34"/>
      <c r="C98" s="34"/>
      <c r="D98" s="22"/>
    </row>
    <row r="99" spans="1:4" x14ac:dyDescent="0.35">
      <c r="A99" s="24"/>
      <c r="B99" s="34"/>
      <c r="C99" s="34"/>
      <c r="D99" s="22"/>
    </row>
    <row r="100" spans="1:4" x14ac:dyDescent="0.35">
      <c r="A100" s="24"/>
      <c r="B100" s="34"/>
      <c r="C100" s="34"/>
      <c r="D100" s="22"/>
    </row>
    <row r="101" spans="1:4" x14ac:dyDescent="0.35">
      <c r="A101" s="24"/>
      <c r="B101" s="34"/>
      <c r="C101" s="34"/>
      <c r="D101" s="22"/>
    </row>
    <row r="102" spans="1:4" x14ac:dyDescent="0.35">
      <c r="A102" s="24"/>
      <c r="B102" s="34"/>
      <c r="C102" s="34"/>
      <c r="D102" s="22"/>
    </row>
    <row r="103" spans="1:4" x14ac:dyDescent="0.35">
      <c r="A103" s="24"/>
      <c r="B103" s="34"/>
      <c r="C103" s="34"/>
      <c r="D103" s="22"/>
    </row>
  </sheetData>
  <pageMargins left="0.7" right="0.7" top="0.78740157499999996" bottom="0.78740157499999996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Stammdaten - Schwimmer</vt:lpstr>
      <vt:lpstr>Tabelle1</vt:lpstr>
      <vt:lpstr>Stammdaten - Sponsoren</vt:lpstr>
      <vt:lpstr>Stammdaten Teams</vt:lpstr>
      <vt:lpstr>Ehrungen</vt:lpstr>
      <vt:lpstr>Spenden-Kalkulation-Schwimmer</vt:lpstr>
      <vt:lpstr>Spenden-Kalkulation-Sponsor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Hartman</dc:creator>
  <cp:lastModifiedBy>Michael Fischer</cp:lastModifiedBy>
  <dcterms:created xsi:type="dcterms:W3CDTF">2025-07-03T21:33:05Z</dcterms:created>
  <dcterms:modified xsi:type="dcterms:W3CDTF">2025-07-20T16:57:27Z</dcterms:modified>
</cp:coreProperties>
</file>