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mmdaten - Schwimmer" sheetId="1" state="visible" r:id="rId3"/>
    <sheet name="Tabelle1" sheetId="2" state="visible" r:id="rId4"/>
    <sheet name="Stammdaten - Sponsoren" sheetId="3" state="visible" r:id="rId5"/>
    <sheet name="Stammdaten Teams" sheetId="4" state="visible" r:id="rId6"/>
    <sheet name="Ehrungen" sheetId="5" state="visible" r:id="rId7"/>
    <sheet name="Spenden-Kalkulation-Schwimmer" sheetId="6" state="visible" r:id="rId8"/>
    <sheet name="Spenden-Kalkulation-Sponso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<sst xmlns="http://schemas.openxmlformats.org/spreadsheetml/2006/main" count="346" uniqueCount="201">
  <si>
    <t xml:space="preserve">Sponsorenschwimmen</t>
  </si>
  <si>
    <t xml:space="preserve">Schwimmer (bis zu 100 Schwimmer vorgesehen; Dunkelblau =Testdaten und No-Shows)</t>
  </si>
  <si>
    <t xml:space="preserve">Nummer</t>
  </si>
  <si>
    <t xml:space="preserve">Name </t>
  </si>
  <si>
    <t xml:space="preserve">Vormname</t>
  </si>
  <si>
    <t xml:space="preserve">Geburtstag</t>
  </si>
  <si>
    <t xml:space="preserve">Mannschaft</t>
  </si>
  <si>
    <t xml:space="preserve">Anzahl
Bahnen</t>
  </si>
  <si>
    <t xml:space="preserve">Sponsor Nr.</t>
  </si>
  <si>
    <t xml:space="preserve">Spendehöhe 
pro Bahn</t>
  </si>
  <si>
    <t xml:space="preserve">Max Betrag</t>
  </si>
  <si>
    <t xml:space="preserve">Spenden-
Ergebnis</t>
  </si>
  <si>
    <t xml:space="preserve">Spenden
Ergebnis</t>
  </si>
  <si>
    <t xml:space="preserve">Rink</t>
  </si>
  <si>
    <t xml:space="preserve">Wiebke</t>
  </si>
  <si>
    <t xml:space="preserve">Künsemüller</t>
  </si>
  <si>
    <t xml:space="preserve">Viktoria</t>
  </si>
  <si>
    <t xml:space="preserve">Jessika</t>
  </si>
  <si>
    <t xml:space="preserve">Bauer</t>
  </si>
  <si>
    <t xml:space="preserve">Tim</t>
  </si>
  <si>
    <t xml:space="preserve">Kombacher</t>
  </si>
  <si>
    <t xml:space="preserve">Mia</t>
  </si>
  <si>
    <t xml:space="preserve">Anja</t>
  </si>
  <si>
    <t xml:space="preserve">Lea</t>
  </si>
  <si>
    <t xml:space="preserve">Sara</t>
  </si>
  <si>
    <t xml:space="preserve">Holste</t>
  </si>
  <si>
    <t xml:space="preserve">Ruben</t>
  </si>
  <si>
    <t xml:space="preserve">Ludwig</t>
  </si>
  <si>
    <t xml:space="preserve">Mariya</t>
  </si>
  <si>
    <t xml:space="preserve">Warga</t>
  </si>
  <si>
    <t xml:space="preserve">Eva</t>
  </si>
  <si>
    <t xml:space="preserve">Christina</t>
  </si>
  <si>
    <t xml:space="preserve">Paula</t>
  </si>
  <si>
    <t xml:space="preserve">Christian</t>
  </si>
  <si>
    <t xml:space="preserve">Klick</t>
  </si>
  <si>
    <t xml:space="preserve">Karin</t>
  </si>
  <si>
    <t xml:space="preserve">Zimmermann</t>
  </si>
  <si>
    <t xml:space="preserve">Inge</t>
  </si>
  <si>
    <t xml:space="preserve">Schmid</t>
  </si>
  <si>
    <t xml:space="preserve">Annette</t>
  </si>
  <si>
    <t xml:space="preserve">Glaser</t>
  </si>
  <si>
    <t xml:space="preserve">Mila</t>
  </si>
  <si>
    <t xml:space="preserve">Katharina</t>
  </si>
  <si>
    <t xml:space="preserve">Buck</t>
  </si>
  <si>
    <t xml:space="preserve">Annika</t>
  </si>
  <si>
    <t xml:space="preserve">Wohlers</t>
  </si>
  <si>
    <t xml:space="preserve">Valentin</t>
  </si>
  <si>
    <t xml:space="preserve">Henrik</t>
  </si>
  <si>
    <t xml:space="preserve">B</t>
  </si>
  <si>
    <t xml:space="preserve">Pascal</t>
  </si>
  <si>
    <t xml:space="preserve">Fritz</t>
  </si>
  <si>
    <t xml:space="preserve">Lukas</t>
  </si>
  <si>
    <t xml:space="preserve">Schönefeld</t>
  </si>
  <si>
    <t xml:space="preserve">Frida Marie</t>
  </si>
  <si>
    <t xml:space="preserve">Mauer</t>
  </si>
  <si>
    <t xml:space="preserve">Mika</t>
  </si>
  <si>
    <t xml:space="preserve">Veit</t>
  </si>
  <si>
    <t xml:space="preserve">Dorothea</t>
  </si>
  <si>
    <t xml:space="preserve">Heineke</t>
  </si>
  <si>
    <t xml:space="preserve">Jana</t>
  </si>
  <si>
    <t xml:space="preserve">Fernandez</t>
  </si>
  <si>
    <t xml:space="preserve">Silvia Velesco</t>
  </si>
  <si>
    <t xml:space="preserve">Collmer</t>
  </si>
  <si>
    <t xml:space="preserve">Andreas</t>
  </si>
  <si>
    <t xml:space="preserve">Tutsch</t>
  </si>
  <si>
    <t xml:space="preserve">Linda</t>
  </si>
  <si>
    <t xml:space="preserve">Daniel</t>
  </si>
  <si>
    <t xml:space="preserve">Sommerfeld</t>
  </si>
  <si>
    <t xml:space="preserve">Warlitz</t>
  </si>
  <si>
    <t xml:space="preserve">Eleanor</t>
  </si>
  <si>
    <t xml:space="preserve">Konstantin</t>
  </si>
  <si>
    <t xml:space="preserve">Nanjack</t>
  </si>
  <si>
    <t xml:space="preserve">Mariims</t>
  </si>
  <si>
    <t xml:space="preserve">Weber-Bleyle</t>
  </si>
  <si>
    <t xml:space="preserve">Kaiser</t>
  </si>
  <si>
    <t xml:space="preserve">Denis</t>
  </si>
  <si>
    <t xml:space="preserve">Vitalis</t>
  </si>
  <si>
    <t xml:space="preserve">Schule</t>
  </si>
  <si>
    <t xml:space="preserve">Malik</t>
  </si>
  <si>
    <t xml:space="preserve">Graf</t>
  </si>
  <si>
    <t xml:space="preserve">Alexander</t>
  </si>
  <si>
    <t xml:space="preserve">Irion</t>
  </si>
  <si>
    <t xml:space="preserve">Christoph</t>
  </si>
  <si>
    <t xml:space="preserve">Jungstes Kind</t>
  </si>
  <si>
    <t xml:space="preserve">Älteste</t>
  </si>
  <si>
    <t xml:space="preserve">Meter</t>
  </si>
  <si>
    <t xml:space="preserve">Sponsoren (bis zu 100 Sponsoren vorgesehen)</t>
  </si>
  <si>
    <t xml:space="preserve">Name /
Unternehmen</t>
  </si>
  <si>
    <t xml:space="preserve">Vorname / 
Vertreter</t>
  </si>
  <si>
    <t xml:space="preserve">Adresse</t>
  </si>
  <si>
    <t xml:space="preserve">Max.
Betrag</t>
  </si>
  <si>
    <t xml:space="preserve">Gesponsorte 
Schwimmer / 
Mannschaft</t>
  </si>
  <si>
    <t xml:space="preserve">Förderverein ETB</t>
  </si>
  <si>
    <t xml:space="preserve">Thomas Schmid</t>
  </si>
  <si>
    <t xml:space="preserve">DLRG OG VAI</t>
  </si>
  <si>
    <t xml:space="preserve">Walter-de-Pay Str.;  Vaihingen (Enz)</t>
  </si>
  <si>
    <t xml:space="preserve">TVV 
Schwimmabteilung</t>
  </si>
  <si>
    <t xml:space="preserve">Tim Bauer</t>
  </si>
  <si>
    <t xml:space="preserve">Walter-de-Pay Str.; 71665 Vaihingen</t>
  </si>
  <si>
    <t xml:space="preserve">Symmetree GmbH</t>
  </si>
  <si>
    <t xml:space="preserve">James Hartman</t>
  </si>
  <si>
    <t xml:space="preserve">Königstr. 26; 70173 Stuttgart</t>
  </si>
  <si>
    <t xml:space="preserve">Kanuclub CJD kaltenstein</t>
  </si>
  <si>
    <t xml:space="preserve">Michael Fischer</t>
  </si>
  <si>
    <t xml:space="preserve">Klaiberstr 7/1 71665 Vaihingen Enz</t>
  </si>
  <si>
    <t xml:space="preserve">Auto Service Frank Striebel</t>
  </si>
  <si>
    <t xml:space="preserve">Frank Striebel</t>
  </si>
  <si>
    <t xml:space="preserve">Römerstr 28, 74399 Walheim</t>
  </si>
  <si>
    <t xml:space="preserve"> </t>
  </si>
  <si>
    <t xml:space="preserve">Grambow</t>
  </si>
  <si>
    <t xml:space="preserve">Kerstin</t>
  </si>
  <si>
    <t xml:space="preserve">Weidenweg 10 71665 Vaihingen Enz</t>
  </si>
  <si>
    <t xml:space="preserve">Seel</t>
  </si>
  <si>
    <t xml:space="preserve">Rita</t>
  </si>
  <si>
    <t xml:space="preserve">Dürer Ring 22 74372 Serseim</t>
  </si>
  <si>
    <t xml:space="preserve">Kombächer </t>
  </si>
  <si>
    <t xml:space="preserve">Dagmar</t>
  </si>
  <si>
    <t xml:space="preserve">Zur Talwiese24 57334 Bad Laasphe</t>
  </si>
  <si>
    <t xml:space="preserve">Häcker</t>
  </si>
  <si>
    <t xml:space="preserve">Rudi</t>
  </si>
  <si>
    <t xml:space="preserve">Jahnstr. 32 74371 sersheim</t>
  </si>
  <si>
    <t xml:space="preserve">Martin</t>
  </si>
  <si>
    <t xml:space="preserve">Weizenstr  36 71665 Vaihingn Enz</t>
  </si>
  <si>
    <t xml:space="preserve">Klaiberstr. 7 71665</t>
  </si>
  <si>
    <t xml:space="preserve">Klich</t>
  </si>
  <si>
    <t xml:space="preserve">Klaiberstr. 9 71665</t>
  </si>
  <si>
    <t xml:space="preserve">RINK</t>
  </si>
  <si>
    <t xml:space="preserve">Bärbel</t>
  </si>
  <si>
    <t xml:space="preserve">Eugen Eisele Weg 8</t>
  </si>
  <si>
    <t xml:space="preserve">Fischer</t>
  </si>
  <si>
    <t xml:space="preserve">Klaiberstr. 7/1</t>
  </si>
  <si>
    <t xml:space="preserve">Faigle</t>
  </si>
  <si>
    <t xml:space="preserve">Gustav</t>
  </si>
  <si>
    <t xml:space="preserve">Einsteinstr. 10 71665</t>
  </si>
  <si>
    <t xml:space="preserve">Kalkäckerstr. 9</t>
  </si>
  <si>
    <t xml:space="preserve">Schüle </t>
  </si>
  <si>
    <t xml:space="preserve">Else</t>
  </si>
  <si>
    <t xml:space="preserve">Lindenstr. 27 71665</t>
  </si>
  <si>
    <t xml:space="preserve">Buell</t>
  </si>
  <si>
    <t xml:space="preserve">Dorothee</t>
  </si>
  <si>
    <t xml:space="preserve">Grempstr 38 71665</t>
  </si>
  <si>
    <t xml:space="preserve">Jan</t>
  </si>
  <si>
    <t xml:space="preserve">Alter Ziegeleiweg 9/1 71665</t>
  </si>
  <si>
    <t xml:space="preserve">Sophie-Scholl-tr. 44 74372 Sersheim</t>
  </si>
  <si>
    <t xml:space="preserve">Franz</t>
  </si>
  <si>
    <t xml:space="preserve">Franziska</t>
  </si>
  <si>
    <t xml:space="preserve">Kehlstr. 27 71665</t>
  </si>
  <si>
    <t xml:space="preserve">familie</t>
  </si>
  <si>
    <t xml:space="preserve">Furthbergstr. 56 71665</t>
  </si>
  <si>
    <t xml:space="preserve">Eichendorffstr.18 71665</t>
  </si>
  <si>
    <t xml:space="preserve">Valesco</t>
  </si>
  <si>
    <t xml:space="preserve">Silvia</t>
  </si>
  <si>
    <t xml:space="preserve">Eichendorffstr. 18 71665</t>
  </si>
  <si>
    <t xml:space="preserve">Weingartner</t>
  </si>
  <si>
    <t xml:space="preserve">Sibyllle</t>
  </si>
  <si>
    <t xml:space="preserve">Gerokstr. 41 71665</t>
  </si>
  <si>
    <t xml:space="preserve">Im Nonnenpfad 11 71706 Markgröningen</t>
  </si>
  <si>
    <t xml:space="preserve">Teitsteige 5 Aurich</t>
  </si>
  <si>
    <t xml:space="preserve">Hornbach-Kasswm</t>
  </si>
  <si>
    <t xml:space="preserve">Jauerninger Str. 9</t>
  </si>
  <si>
    <t xml:space="preserve">Team Zusammenstetzungen</t>
  </si>
  <si>
    <t xml:space="preserve">(bis zu 25 Schwimmer im Team und bis zu 50 Teams vorgesehen)</t>
  </si>
  <si>
    <t xml:space="preserve">Team Nummer</t>
  </si>
  <si>
    <t xml:space="preserve">Team Name</t>
  </si>
  <si>
    <t xml:space="preserve">Verantwortlicher </t>
  </si>
  <si>
    <t xml:space="preserve">Gesamt 
Mitglieder</t>
  </si>
  <si>
    <t xml:space="preserve">Gesamtanzahl
Bahnen</t>
  </si>
  <si>
    <t xml:space="preserve">Spende
pro Bahn</t>
  </si>
  <si>
    <t xml:space="preserve">Spenden-
Betrag</t>
  </si>
  <si>
    <t xml:space="preserve">Bahnen pro
Mitglied</t>
  </si>
  <si>
    <t xml:space="preserve">Zugehöriger 
Schwimmer</t>
  </si>
  <si>
    <t xml:space="preserve">FV ETB</t>
  </si>
  <si>
    <t xml:space="preserve">DLRG</t>
  </si>
  <si>
    <t xml:space="preserve">TVV Schwimm</t>
  </si>
  <si>
    <t xml:space="preserve">Schildkröten</t>
  </si>
  <si>
    <t xml:space="preserve">Kanu Klub</t>
  </si>
  <si>
    <t xml:space="preserve">DRK Ortsverein VAI</t>
  </si>
  <si>
    <t xml:space="preserve">Eliase Flohr</t>
  </si>
  <si>
    <t xml:space="preserve">Die Hydrotherapeuten</t>
  </si>
  <si>
    <t xml:space="preserve">Warner, Chris</t>
  </si>
  <si>
    <t xml:space="preserve">Klaiberstr</t>
  </si>
  <si>
    <t xml:space="preserve">Ergebnis:  Teams der Gründungsvereine</t>
  </si>
  <si>
    <t xml:space="preserve">Ergebnisse - Ehrungen - TOP 5 Listen  (Achtung: gibt’s Probleme bei gleiche Bahnzahlen oder gleiche Geburtstag - nur erster treffer in Liste wird gezeigt)</t>
  </si>
  <si>
    <t xml:space="preserve">Meiste Bahnen - Bis 13J</t>
  </si>
  <si>
    <t xml:space="preserve">Meiste Bahnen - 14 bis 18J </t>
  </si>
  <si>
    <t xml:space="preserve">Meiste Bahnen - Erwachsene </t>
  </si>
  <si>
    <t xml:space="preserve">Schwimmer
Nummer</t>
  </si>
  <si>
    <t xml:space="preserve">Spenden
Summe</t>
  </si>
  <si>
    <t xml:space="preserve">Anzahl Bahnen</t>
  </si>
  <si>
    <t xml:space="preserve">Meiste Bahnen - Mannschaft</t>
  </si>
  <si>
    <t xml:space="preserve">Meiste Bahnen pro Mannschaftsmitglied</t>
  </si>
  <si>
    <t xml:space="preserve">Anzahl
Mitglieder</t>
  </si>
  <si>
    <t xml:space="preserve">Jüngsten Schwimmer</t>
  </si>
  <si>
    <t xml:space="preserve">Ältesten Schwimmer</t>
  </si>
  <si>
    <t xml:space="preserve">Nach Schwimmer Gesamt</t>
  </si>
  <si>
    <t xml:space="preserve">Nach Schwimmer - Kategorie unter 14</t>
  </si>
  <si>
    <t xml:space="preserve">Nach Schwimmer - Kategorie 14-17 Jahre</t>
  </si>
  <si>
    <t xml:space="preserve">Nach Schwimmer - Erwachsene </t>
  </si>
  <si>
    <t xml:space="preserve">Rang</t>
  </si>
  <si>
    <t xml:space="preserve">Nach Sponsor  (Nachmittag)</t>
  </si>
  <si>
    <t xml:space="preserve">Summe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</si>
</sst>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&quot; €&quot;_-;\-* #,##0.00&quot; €&quot;_-;_-* \-??&quot; €&quot;_-;_-@_-"/>
    <numFmt numFmtId="166" formatCode="dd/mm/yyyy"/>
    <numFmt numFmtId="167" formatCode="_-* #,##0.00\ _€_-;\-* #,##0.00\ _€_-;_-* \-??\ _€_-;_-@_-"/>
    <numFmt numFmtId="168" formatCode="0.00"/>
    <numFmt numFmtId="169" formatCode="#,##0_ ;\-#,##0\ "/>
    <numFmt numFmtId="170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theme="4" tint="0.7999"/>
        <bgColor rgb="FFF2F2F2"/>
      </patternFill>
    </fill>
    <fill>
      <patternFill patternType="solid">
        <fgColor theme="0" tint="-0.05"/>
        <bgColor rgb="FFDEEBF7"/>
      </patternFill>
    </fill>
    <fill>
      <patternFill patternType="solid">
        <fgColor theme="9" tint="0.5999"/>
        <bgColor rgb="FFBDD7EE"/>
      </patternFill>
    </fill>
    <fill>
      <patternFill patternType="solid">
        <fgColor theme="4" tint="0.5999"/>
        <bgColor rgb="FFC5E0B4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3" borderId="5" xfId="17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1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17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3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3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2" xfId="17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22.86"/>
    <col collapsed="false" customWidth="true" hidden="false" outlineLevel="0" max="3" min="3" style="1" width="22.29"/>
    <col collapsed="false" customWidth="true" hidden="false" outlineLevel="0" max="4" min="4" style="1" width="11.43"/>
    <col collapsed="false" customWidth="true" hidden="false" outlineLevel="0" max="5" min="5" style="1" width="22.71"/>
    <col collapsed="false" customWidth="true" hidden="false" outlineLevel="0" max="7" min="6" style="1" width="11.43"/>
    <col collapsed="false" customWidth="true" hidden="false" outlineLevel="0" max="9" min="8" style="1" width="14.14"/>
    <col collapsed="false" customWidth="true" hidden="false" outlineLevel="0" max="10" min="10" style="2" width="14.14"/>
    <col collapsed="false" customWidth="true" hidden="false" outlineLevel="0" max="11" min="11" style="1" width="14.14"/>
    <col collapsed="false" customWidth="true" hidden="false" outlineLevel="0" max="13" min="12" style="1" width="12.86"/>
    <col collapsed="false" customWidth="true" hidden="false" outlineLevel="0" max="14" min="14" style="2" width="12.86"/>
    <col collapsed="false" customWidth="true" hidden="false" outlineLevel="0" max="15" min="15" style="1" width="12.86"/>
    <col collapsed="false" customWidth="true" hidden="false" outlineLevel="0" max="17" min="16" style="1" width="13.57"/>
    <col collapsed="false" customWidth="true" hidden="false" outlineLevel="0" max="18" min="18" style="2" width="13.57"/>
    <col collapsed="false" customWidth="true" hidden="false" outlineLevel="0" max="19" min="19" style="1" width="13.57"/>
    <col collapsed="false" customWidth="true" hidden="false" outlineLevel="0" max="21" min="20" style="1" width="13.71"/>
    <col collapsed="false" customWidth="true" hidden="false" outlineLevel="0" max="22" min="22" style="2" width="13.71"/>
    <col collapsed="false" customWidth="true" hidden="false" outlineLevel="0" max="23" min="23" style="1" width="13.71"/>
    <col collapsed="false" customWidth="true" hidden="false" outlineLevel="0" max="24" min="24" style="0" width="13.15"/>
    <col collapsed="false" customWidth="true" hidden="false" outlineLevel="0" max="26" min="26" style="2" width="13.71"/>
  </cols>
  <sheetData>
    <row r="1" customFormat="false" ht="15" hidden="false" customHeight="false" outlineLevel="0" collapsed="false">
      <c r="A1" s="3" t="s">
        <v>0</v>
      </c>
    </row>
    <row r="2" customFormat="false" ht="15" hidden="false" customHeight="false" outlineLevel="0" collapsed="false">
      <c r="A2" s="3" t="s">
        <v>1</v>
      </c>
      <c r="I2" s="4"/>
      <c r="J2" s="5"/>
      <c r="K2" s="4"/>
      <c r="M2" s="4"/>
      <c r="N2" s="5"/>
      <c r="O2" s="4"/>
      <c r="Q2" s="4"/>
      <c r="R2" s="5"/>
      <c r="S2" s="4"/>
      <c r="U2" s="4"/>
      <c r="V2" s="5"/>
      <c r="W2" s="4"/>
      <c r="Y2" s="4"/>
      <c r="Z2" s="5"/>
    </row>
    <row r="3" customFormat="false" ht="28.5" hidden="false" customHeight="true" outlineLevel="0" collapsed="false">
      <c r="A3" s="6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9" t="s">
        <v>7</v>
      </c>
      <c r="G3" s="10" t="s">
        <v>8</v>
      </c>
      <c r="H3" s="11" t="s">
        <v>9</v>
      </c>
      <c r="I3" s="11" t="s">
        <v>10</v>
      </c>
      <c r="J3" s="12" t="s">
        <v>11</v>
      </c>
      <c r="K3" s="10" t="s">
        <v>8</v>
      </c>
      <c r="L3" s="11" t="s">
        <v>9</v>
      </c>
      <c r="M3" s="11" t="s">
        <v>10</v>
      </c>
      <c r="N3" s="12" t="s">
        <v>11</v>
      </c>
      <c r="O3" s="10" t="s">
        <v>8</v>
      </c>
      <c r="P3" s="11" t="s">
        <v>9</v>
      </c>
      <c r="Q3" s="11" t="s">
        <v>10</v>
      </c>
      <c r="R3" s="12" t="s">
        <v>12</v>
      </c>
      <c r="S3" s="10" t="s">
        <v>8</v>
      </c>
      <c r="T3" s="11" t="s">
        <v>9</v>
      </c>
      <c r="U3" s="11" t="s">
        <v>10</v>
      </c>
      <c r="V3" s="12" t="s">
        <v>12</v>
      </c>
      <c r="W3" s="10" t="s">
        <v>8</v>
      </c>
      <c r="X3" s="11" t="s">
        <v>9</v>
      </c>
      <c r="Y3" s="11" t="s">
        <v>10</v>
      </c>
      <c r="Z3" s="12" t="s">
        <v>12</v>
      </c>
    </row>
    <row r="4" customFormat="false" ht="15" hidden="false" customHeight="false" outlineLevel="0" collapsed="false">
      <c r="A4" s="13" t="n">
        <v>2</v>
      </c>
      <c r="B4" s="14"/>
      <c r="C4" s="14"/>
      <c r="D4" s="15"/>
      <c r="E4" s="16"/>
      <c r="F4" s="17"/>
      <c r="G4" s="13"/>
      <c r="H4" s="2"/>
      <c r="I4" s="2"/>
      <c r="J4" s="18"/>
      <c r="K4" s="13"/>
      <c r="L4" s="2"/>
      <c r="M4" s="2"/>
      <c r="N4" s="18"/>
      <c r="O4" s="13"/>
      <c r="P4" s="2"/>
      <c r="Q4" s="2"/>
      <c r="R4" s="18"/>
      <c r="S4" s="13"/>
      <c r="T4" s="2"/>
      <c r="U4" s="2"/>
      <c r="V4" s="18" t="n">
        <f aca="false">IF(AND(F4*T4&gt;U4,U4&gt;0),U4, F4*T4)</f>
        <v>0</v>
      </c>
      <c r="W4" s="13"/>
      <c r="X4" s="5"/>
      <c r="Y4" s="5"/>
      <c r="Z4" s="18" t="n">
        <f aca="false">IF(AND(F4*X4&gt;Y4,Y4&gt;0),Y4, F4*X4)</f>
        <v>0</v>
      </c>
    </row>
    <row r="5" customFormat="false" ht="15" hidden="false" customHeight="false" outlineLevel="0" collapsed="false">
      <c r="A5" s="13" t="n">
        <v>3</v>
      </c>
      <c r="B5" s="14"/>
      <c r="C5" s="14"/>
      <c r="D5" s="15"/>
      <c r="E5" s="16"/>
      <c r="F5" s="17"/>
      <c r="G5" s="13"/>
      <c r="H5" s="2"/>
      <c r="I5" s="2"/>
      <c r="J5" s="18"/>
      <c r="K5" s="13"/>
      <c r="L5" s="2"/>
      <c r="M5" s="2"/>
      <c r="N5" s="18"/>
      <c r="O5" s="13"/>
      <c r="P5" s="2"/>
      <c r="Q5" s="2"/>
      <c r="R5" s="18"/>
      <c r="S5" s="13"/>
      <c r="T5" s="2"/>
      <c r="U5" s="2"/>
      <c r="V5" s="18" t="n">
        <f aca="false">IF(AND(F5*T5&gt;U5,U5&gt;0),U5, F5*T5)</f>
        <v>0</v>
      </c>
      <c r="W5" s="13"/>
      <c r="X5" s="5"/>
      <c r="Y5" s="5"/>
      <c r="Z5" s="18" t="n">
        <f aca="false">IF(AND(F5*X5&gt;Y5,Y5&gt;0),Y5, F5*X5)</f>
        <v>0</v>
      </c>
    </row>
    <row r="6" customFormat="false" ht="15" hidden="false" customHeight="false" outlineLevel="0" collapsed="false">
      <c r="A6" s="13" t="n">
        <v>4</v>
      </c>
      <c r="B6" s="14"/>
      <c r="C6" s="14"/>
      <c r="D6" s="15"/>
      <c r="E6" s="16"/>
      <c r="F6" s="17"/>
      <c r="G6" s="13"/>
      <c r="H6" s="2"/>
      <c r="I6" s="2"/>
      <c r="J6" s="18"/>
      <c r="K6" s="13"/>
      <c r="L6" s="2"/>
      <c r="M6" s="2"/>
      <c r="N6" s="18"/>
      <c r="O6" s="13"/>
      <c r="P6" s="2"/>
      <c r="Q6" s="2"/>
      <c r="R6" s="18"/>
      <c r="S6" s="13"/>
      <c r="T6" s="2"/>
      <c r="U6" s="2"/>
      <c r="V6" s="18" t="n">
        <f aca="false">IF(AND(F6*T6&gt;U6,U6&gt;0),U6, F6*T6)</f>
        <v>0</v>
      </c>
      <c r="W6" s="13"/>
      <c r="X6" s="5"/>
      <c r="Y6" s="5"/>
      <c r="Z6" s="18" t="n">
        <f aca="false">IF(AND(F6*X6&gt;Y6,Y6&gt;0),Y6, F6*X6)</f>
        <v>0</v>
      </c>
    </row>
    <row r="7" customFormat="false" ht="15" hidden="false" customHeight="false" outlineLevel="0" collapsed="false">
      <c r="A7" s="19" t="n">
        <v>5</v>
      </c>
      <c r="B7" s="14" t="s">
        <v>13</v>
      </c>
      <c r="C7" s="14" t="s">
        <v>14</v>
      </c>
      <c r="D7" s="15" t="n">
        <v>42566</v>
      </c>
      <c r="E7" s="16" t="n">
        <v>503.505</v>
      </c>
      <c r="F7" s="17" t="n">
        <v>76</v>
      </c>
      <c r="G7" s="13" t="n">
        <v>1003</v>
      </c>
      <c r="H7" s="2" t="n">
        <v>0.5</v>
      </c>
      <c r="I7" s="2"/>
      <c r="J7" s="18" t="n">
        <f aca="false">IF(AND(F7*H7&gt;I7,I7&gt;0),I7, F7*H7)</f>
        <v>38</v>
      </c>
      <c r="K7" s="13" t="n">
        <v>1005</v>
      </c>
      <c r="L7" s="2" t="n">
        <v>0.5</v>
      </c>
      <c r="M7" s="2"/>
      <c r="N7" s="18" t="n">
        <f aca="false">IF(AND(F7*L7&gt;M7,M7&gt;0),M7, F7*L7)</f>
        <v>38</v>
      </c>
      <c r="O7" s="13" t="n">
        <v>1110</v>
      </c>
      <c r="P7" s="2" t="n">
        <v>0.25</v>
      </c>
      <c r="Q7" s="2"/>
      <c r="R7" s="18" t="n">
        <f aca="false">IF(AND(F7*P7&gt;Q7,Q7&gt;0),Q7, F7*P7)</f>
        <v>19</v>
      </c>
      <c r="S7" s="13" t="n">
        <v>1111</v>
      </c>
      <c r="T7" s="2" t="n">
        <v>1</v>
      </c>
      <c r="U7" s="2"/>
      <c r="V7" s="18" t="n">
        <f aca="false">IF(AND(F7*T7&gt;U7,U7&gt;0),U7, F7*T7)</f>
        <v>76</v>
      </c>
      <c r="W7" s="13"/>
      <c r="X7" s="2"/>
      <c r="Y7" s="2"/>
      <c r="Z7" s="18" t="n">
        <f aca="false">IF(AND(F7*X7&gt;Y7,Y7&gt;0),Y7, F7*X7)</f>
        <v>0</v>
      </c>
    </row>
    <row r="8" customFormat="false" ht="15" hidden="false" customHeight="false" outlineLevel="0" collapsed="false">
      <c r="A8" s="19" t="n">
        <v>6</v>
      </c>
      <c r="B8" s="14" t="s">
        <v>15</v>
      </c>
      <c r="C8" s="14" t="s">
        <v>16</v>
      </c>
      <c r="D8" s="15" t="n">
        <v>40021</v>
      </c>
      <c r="E8" s="16" t="n">
        <v>503</v>
      </c>
      <c r="F8" s="17" t="n">
        <v>58</v>
      </c>
      <c r="G8" s="13" t="n">
        <v>1003</v>
      </c>
      <c r="H8" s="2" t="n">
        <v>0.5</v>
      </c>
      <c r="I8" s="2"/>
      <c r="J8" s="18" t="n">
        <f aca="false">IF(AND(F8*H8&gt;I8,I8&gt;0),I8, F8*H8)</f>
        <v>29</v>
      </c>
      <c r="K8" s="13"/>
      <c r="L8" s="2"/>
      <c r="M8" s="2"/>
      <c r="N8" s="18" t="n">
        <f aca="false">IF(AND(F8*L8&gt;M8,M8&gt;0),M8, F8*L8)</f>
        <v>0</v>
      </c>
      <c r="O8" s="13"/>
      <c r="P8" s="2"/>
      <c r="Q8" s="2"/>
      <c r="R8" s="18" t="n">
        <f aca="false">IF(AND(F8*P8&gt;Q8,Q8&gt;0),Q8, F8*P8)</f>
        <v>0</v>
      </c>
      <c r="S8" s="13"/>
      <c r="T8" s="2"/>
      <c r="U8" s="2"/>
      <c r="V8" s="18" t="n">
        <f aca="false">IF(AND(F8*T8&gt;U8,U8&gt;0),U8, F8*T8)</f>
        <v>0</v>
      </c>
      <c r="W8" s="13"/>
      <c r="X8" s="2"/>
      <c r="Y8" s="2"/>
      <c r="Z8" s="18" t="n">
        <f aca="false">IF(AND(F8*X8&gt;Y8,Y8&gt;0),Y8, F8*X8)</f>
        <v>0</v>
      </c>
    </row>
    <row r="9" customFormat="false" ht="15" hidden="false" customHeight="false" outlineLevel="0" collapsed="false">
      <c r="A9" s="13" t="n">
        <v>7</v>
      </c>
      <c r="B9" s="14"/>
      <c r="C9" s="14"/>
      <c r="D9" s="15"/>
      <c r="E9" s="16"/>
      <c r="F9" s="17"/>
      <c r="G9" s="13"/>
      <c r="H9" s="2"/>
      <c r="I9" s="2"/>
      <c r="J9" s="18"/>
      <c r="K9" s="13"/>
      <c r="L9" s="2"/>
      <c r="M9" s="2"/>
      <c r="N9" s="18"/>
      <c r="O9" s="13"/>
      <c r="P9" s="2"/>
      <c r="Q9" s="2"/>
      <c r="R9" s="18"/>
      <c r="S9" s="13"/>
      <c r="T9" s="2"/>
      <c r="U9" s="2"/>
      <c r="V9" s="18" t="n">
        <f aca="false">IF(AND(F9*T9&gt;U9,U9&gt;0),U9, F9*T9)</f>
        <v>0</v>
      </c>
      <c r="W9" s="13"/>
      <c r="X9" s="2"/>
      <c r="Y9" s="2"/>
      <c r="Z9" s="18" t="n">
        <f aca="false">IF(AND(F9*X9&gt;Y9,Y9&gt;0),Y9, F9*X9)</f>
        <v>0</v>
      </c>
    </row>
    <row r="10" customFormat="false" ht="15" hidden="false" customHeight="false" outlineLevel="0" collapsed="false">
      <c r="A10" s="13" t="n">
        <v>8</v>
      </c>
      <c r="B10" s="14"/>
      <c r="C10" s="14"/>
      <c r="D10" s="15"/>
      <c r="E10" s="16"/>
      <c r="F10" s="17"/>
      <c r="G10" s="13"/>
      <c r="H10" s="2"/>
      <c r="I10" s="2"/>
      <c r="J10" s="18"/>
      <c r="K10" s="13"/>
      <c r="L10" s="2"/>
      <c r="M10" s="2"/>
      <c r="N10" s="18"/>
      <c r="O10" s="13"/>
      <c r="P10" s="2"/>
      <c r="Q10" s="2"/>
      <c r="R10" s="18"/>
      <c r="S10" s="13"/>
      <c r="T10" s="2"/>
      <c r="U10" s="2"/>
      <c r="V10" s="18" t="n">
        <f aca="false">IF(AND(F10*T10&gt;U10,U10&gt;0),U10, F10*T10)</f>
        <v>0</v>
      </c>
      <c r="W10" s="13"/>
      <c r="X10" s="2"/>
      <c r="Y10" s="2"/>
      <c r="Z10" s="18" t="n">
        <f aca="false">IF(AND(F10*X10&gt;Y10,Y10&gt;0),Y10, F10*X10)</f>
        <v>0</v>
      </c>
    </row>
    <row r="11" customFormat="false" ht="15" hidden="false" customHeight="false" outlineLevel="0" collapsed="false">
      <c r="A11" s="19" t="n">
        <v>9</v>
      </c>
      <c r="B11" s="1" t="s">
        <v>15</v>
      </c>
      <c r="C11" s="1" t="s">
        <v>17</v>
      </c>
      <c r="D11" s="20" t="n">
        <v>40654</v>
      </c>
      <c r="E11" s="16" t="n">
        <v>503</v>
      </c>
      <c r="F11" s="17" t="n">
        <v>70</v>
      </c>
      <c r="G11" s="13" t="n">
        <v>1003</v>
      </c>
      <c r="H11" s="2" t="n">
        <v>0.5</v>
      </c>
      <c r="I11" s="2"/>
      <c r="J11" s="18" t="n">
        <f aca="false">IF(AND(F11*H11&gt;I11,I11&gt;0),I11, F11*H11)</f>
        <v>35</v>
      </c>
      <c r="K11" s="13"/>
      <c r="L11" s="2"/>
      <c r="M11" s="2"/>
      <c r="N11" s="18" t="n">
        <f aca="false">IF(AND(F11*L11&gt;M11,M11&gt;0),M11, F11*L11)</f>
        <v>0</v>
      </c>
      <c r="O11" s="13"/>
      <c r="P11" s="2"/>
      <c r="Q11" s="2"/>
      <c r="R11" s="18" t="n">
        <f aca="false">IF(AND(F11*P11&gt;Q11,Q11&gt;0),Q11, F11*P11)</f>
        <v>0</v>
      </c>
      <c r="S11" s="13"/>
      <c r="T11" s="2"/>
      <c r="U11" s="2"/>
      <c r="V11" s="18" t="n">
        <f aca="false">IF(AND(F11*T11&gt;U11,U11&gt;0),U11, F11*T11)</f>
        <v>0</v>
      </c>
      <c r="W11" s="13"/>
      <c r="X11" s="2"/>
      <c r="Y11" s="2"/>
      <c r="Z11" s="18" t="n">
        <f aca="false">IF(AND(F4*X11&gt;Y11,Y11&gt;0),Y11, F4*X11)</f>
        <v>0</v>
      </c>
    </row>
    <row r="12" customFormat="false" ht="15" hidden="false" customHeight="false" outlineLevel="0" collapsed="false">
      <c r="A12" s="13" t="n">
        <v>10</v>
      </c>
      <c r="B12" s="14"/>
      <c r="C12" s="14"/>
      <c r="D12" s="15"/>
      <c r="E12" s="16"/>
      <c r="F12" s="17"/>
      <c r="G12" s="13"/>
      <c r="H12" s="2"/>
      <c r="I12" s="2"/>
      <c r="J12" s="18"/>
      <c r="K12" s="13"/>
      <c r="L12" s="2"/>
      <c r="M12" s="2"/>
      <c r="N12" s="18"/>
      <c r="O12" s="13"/>
      <c r="P12" s="2"/>
      <c r="Q12" s="2"/>
      <c r="R12" s="18"/>
      <c r="S12" s="13"/>
      <c r="T12" s="2"/>
      <c r="U12" s="2"/>
      <c r="V12" s="18" t="n">
        <f aca="false">IF(AND(F12*T12&gt;U12,U12&gt;0),U12, F12*T12)</f>
        <v>0</v>
      </c>
      <c r="W12" s="13"/>
      <c r="X12" s="2"/>
      <c r="Y12" s="2"/>
      <c r="Z12" s="18" t="n">
        <f aca="false">IF(AND(F12*X12&gt;Y12,Y12&gt;0),Y12, F12*X12)</f>
        <v>0</v>
      </c>
    </row>
    <row r="13" customFormat="false" ht="15" hidden="false" customHeight="false" outlineLevel="0" collapsed="false">
      <c r="A13" s="13" t="n">
        <v>11</v>
      </c>
      <c r="B13" s="14"/>
      <c r="C13" s="14"/>
      <c r="D13" s="15"/>
      <c r="E13" s="16"/>
      <c r="F13" s="17"/>
      <c r="G13" s="13"/>
      <c r="H13" s="2"/>
      <c r="I13" s="2"/>
      <c r="J13" s="18"/>
      <c r="K13" s="13"/>
      <c r="L13" s="2"/>
      <c r="M13" s="2"/>
      <c r="N13" s="18"/>
      <c r="O13" s="13"/>
      <c r="P13" s="2"/>
      <c r="Q13" s="2"/>
      <c r="R13" s="18"/>
      <c r="S13" s="13"/>
      <c r="T13" s="2"/>
      <c r="U13" s="2"/>
      <c r="V13" s="18" t="n">
        <f aca="false">IF(AND(F13*T13&gt;U13,U13&gt;0),U13, F13*T13)</f>
        <v>0</v>
      </c>
      <c r="W13" s="13"/>
      <c r="X13" s="2"/>
      <c r="Y13" s="2"/>
      <c r="Z13" s="18" t="n">
        <f aca="false">IF(AND(F13*X13&gt;Y13,Y13&gt;0),Y13, F13*X13)</f>
        <v>0</v>
      </c>
    </row>
    <row r="14" customFormat="false" ht="15" hidden="false" customHeight="false" outlineLevel="0" collapsed="false">
      <c r="A14" s="13" t="n">
        <v>12</v>
      </c>
      <c r="B14" s="14"/>
      <c r="C14" s="14"/>
      <c r="D14" s="15"/>
      <c r="E14" s="16"/>
      <c r="F14" s="17"/>
      <c r="G14" s="13"/>
      <c r="H14" s="2"/>
      <c r="I14" s="2"/>
      <c r="J14" s="18"/>
      <c r="K14" s="13"/>
      <c r="L14" s="2"/>
      <c r="M14" s="2"/>
      <c r="N14" s="18"/>
      <c r="O14" s="13"/>
      <c r="P14" s="2"/>
      <c r="Q14" s="2"/>
      <c r="R14" s="18"/>
      <c r="S14" s="13"/>
      <c r="T14" s="2"/>
      <c r="U14" s="2"/>
      <c r="V14" s="18" t="n">
        <f aca="false">IF(AND(F14*T14&gt;U14,U14&gt;0),U14, F14*T14)</f>
        <v>0</v>
      </c>
      <c r="W14" s="13"/>
      <c r="X14" s="2"/>
      <c r="Y14" s="2"/>
      <c r="Z14" s="18" t="n">
        <f aca="false">IF(AND(F14*X14&gt;Y14,Y14&gt;0),Y14, F14*X14)</f>
        <v>0</v>
      </c>
    </row>
    <row r="15" customFormat="false" ht="15" hidden="false" customHeight="false" outlineLevel="0" collapsed="false">
      <c r="A15" s="13" t="n">
        <v>13</v>
      </c>
      <c r="B15" s="14"/>
      <c r="C15" s="14"/>
      <c r="D15" s="15"/>
      <c r="E15" s="16"/>
      <c r="F15" s="17"/>
      <c r="G15" s="13"/>
      <c r="H15" s="2"/>
      <c r="I15" s="2"/>
      <c r="J15" s="18"/>
      <c r="K15" s="13"/>
      <c r="L15" s="2"/>
      <c r="M15" s="2"/>
      <c r="N15" s="18"/>
      <c r="O15" s="13"/>
      <c r="P15" s="2"/>
      <c r="Q15" s="2"/>
      <c r="R15" s="18"/>
      <c r="S15" s="13"/>
      <c r="T15" s="2"/>
      <c r="U15" s="2"/>
      <c r="V15" s="18" t="n">
        <f aca="false">IF(AND(F15*T15&gt;U15,U15&gt;0),U15, F15*T15)</f>
        <v>0</v>
      </c>
      <c r="W15" s="13"/>
      <c r="X15" s="2"/>
      <c r="Y15" s="2"/>
      <c r="Z15" s="18" t="n">
        <f aca="false">IF(AND(F15*X15&gt;Y15,Y15&gt;0),Y15, F15*X15)</f>
        <v>0</v>
      </c>
    </row>
    <row r="16" customFormat="false" ht="15" hidden="false" customHeight="false" outlineLevel="0" collapsed="false">
      <c r="A16" s="13" t="n">
        <v>14</v>
      </c>
      <c r="B16" s="14"/>
      <c r="C16" s="14"/>
      <c r="D16" s="15"/>
      <c r="E16" s="16"/>
      <c r="F16" s="17"/>
      <c r="G16" s="13"/>
      <c r="H16" s="2"/>
      <c r="I16" s="2"/>
      <c r="J16" s="18"/>
      <c r="K16" s="13"/>
      <c r="L16" s="2"/>
      <c r="M16" s="2"/>
      <c r="N16" s="18"/>
      <c r="O16" s="13"/>
      <c r="P16" s="2"/>
      <c r="Q16" s="2"/>
      <c r="R16" s="18"/>
      <c r="S16" s="13"/>
      <c r="T16" s="2"/>
      <c r="U16" s="2"/>
      <c r="V16" s="18" t="n">
        <f aca="false">IF(AND(F16*T16&gt;U16,U16&gt;0),U16, F16*T16)</f>
        <v>0</v>
      </c>
      <c r="W16" s="13"/>
      <c r="X16" s="2"/>
      <c r="Y16" s="2"/>
      <c r="Z16" s="18" t="n">
        <f aca="false">IF(AND(F16*X16&gt;Y16,Y16&gt;0),Y16, F16*X16)</f>
        <v>0</v>
      </c>
    </row>
    <row r="17" customFormat="false" ht="15" hidden="false" customHeight="false" outlineLevel="0" collapsed="false">
      <c r="A17" s="13" t="n">
        <v>15</v>
      </c>
      <c r="B17" s="14"/>
      <c r="C17" s="14"/>
      <c r="D17" s="15"/>
      <c r="E17" s="16"/>
      <c r="F17" s="17"/>
      <c r="G17" s="13"/>
      <c r="H17" s="2"/>
      <c r="I17" s="2"/>
      <c r="J17" s="18"/>
      <c r="K17" s="13"/>
      <c r="L17" s="2"/>
      <c r="M17" s="2"/>
      <c r="N17" s="18"/>
      <c r="O17" s="13"/>
      <c r="P17" s="2"/>
      <c r="Q17" s="2"/>
      <c r="R17" s="18"/>
      <c r="S17" s="13"/>
      <c r="T17" s="2"/>
      <c r="U17" s="2"/>
      <c r="V17" s="18" t="n">
        <f aca="false">IF(AND(F17*T17&gt;U17,U17&gt;0),U17, F17*T17)</f>
        <v>0</v>
      </c>
      <c r="W17" s="13"/>
      <c r="X17" s="2"/>
      <c r="Y17" s="2"/>
      <c r="Z17" s="18" t="n">
        <f aca="false">IF(AND(F17*X17&gt;Y17,Y17&gt;0),Y17, F17*X17)</f>
        <v>0</v>
      </c>
    </row>
    <row r="18" customFormat="false" ht="15" hidden="false" customHeight="false" outlineLevel="0" collapsed="false">
      <c r="A18" s="13" t="n">
        <v>16</v>
      </c>
      <c r="B18" s="14"/>
      <c r="C18" s="14"/>
      <c r="D18" s="15"/>
      <c r="E18" s="16"/>
      <c r="F18" s="17"/>
      <c r="G18" s="13"/>
      <c r="H18" s="2"/>
      <c r="I18" s="2"/>
      <c r="J18" s="18"/>
      <c r="K18" s="13"/>
      <c r="L18" s="2"/>
      <c r="M18" s="2"/>
      <c r="N18" s="18"/>
      <c r="O18" s="13"/>
      <c r="P18" s="2"/>
      <c r="Q18" s="2"/>
      <c r="R18" s="18"/>
      <c r="S18" s="13"/>
      <c r="T18" s="2"/>
      <c r="U18" s="2"/>
      <c r="V18" s="18" t="n">
        <f aca="false">IF(AND(F18*T18&gt;U18,U18&gt;0),U18, F18*T18)</f>
        <v>0</v>
      </c>
      <c r="W18" s="13"/>
      <c r="X18" s="2"/>
      <c r="Y18" s="2"/>
      <c r="Z18" s="18" t="n">
        <f aca="false">IF(AND(F18*X18&gt;Y18,Y18&gt;0),Y18, F18*X18)</f>
        <v>0</v>
      </c>
    </row>
    <row r="19" customFormat="false" ht="15" hidden="false" customHeight="false" outlineLevel="0" collapsed="false">
      <c r="A19" s="13" t="n">
        <v>17</v>
      </c>
      <c r="B19" s="14"/>
      <c r="C19" s="14"/>
      <c r="D19" s="15"/>
      <c r="E19" s="16"/>
      <c r="F19" s="17"/>
      <c r="G19" s="13"/>
      <c r="H19" s="2"/>
      <c r="I19" s="2"/>
      <c r="J19" s="18"/>
      <c r="K19" s="13"/>
      <c r="L19" s="2"/>
      <c r="M19" s="2"/>
      <c r="N19" s="18"/>
      <c r="O19" s="13"/>
      <c r="P19" s="2"/>
      <c r="Q19" s="2"/>
      <c r="R19" s="18"/>
      <c r="S19" s="13"/>
      <c r="T19" s="2"/>
      <c r="U19" s="2"/>
      <c r="V19" s="18" t="n">
        <f aca="false">IF(AND(F19*T19&gt;U19,U19&gt;0),U19, F19*T19)</f>
        <v>0</v>
      </c>
      <c r="W19" s="13"/>
      <c r="X19" s="2"/>
      <c r="Y19" s="2"/>
      <c r="Z19" s="18" t="n">
        <f aca="false">IF(AND(F19*X19&gt;Y19,Y19&gt;0),Y19, F19*X19)</f>
        <v>0</v>
      </c>
    </row>
    <row r="20" customFormat="false" ht="15" hidden="false" customHeight="false" outlineLevel="0" collapsed="false">
      <c r="A20" s="13" t="n">
        <v>18</v>
      </c>
      <c r="B20" s="14"/>
      <c r="C20" s="14"/>
      <c r="D20" s="15"/>
      <c r="E20" s="16"/>
      <c r="F20" s="17"/>
      <c r="G20" s="13"/>
      <c r="H20" s="2"/>
      <c r="I20" s="2"/>
      <c r="J20" s="18"/>
      <c r="K20" s="13"/>
      <c r="L20" s="2"/>
      <c r="M20" s="2"/>
      <c r="N20" s="18"/>
      <c r="O20" s="13"/>
      <c r="P20" s="2"/>
      <c r="Q20" s="2"/>
      <c r="R20" s="18"/>
      <c r="S20" s="13"/>
      <c r="T20" s="2"/>
      <c r="U20" s="2"/>
      <c r="V20" s="18" t="n">
        <f aca="false">IF(AND(F20*T20&gt;U20,U20&gt;0),U20, F20*T20)</f>
        <v>0</v>
      </c>
      <c r="W20" s="13"/>
      <c r="X20" s="2"/>
      <c r="Y20" s="2"/>
      <c r="Z20" s="18" t="n">
        <f aca="false">IF(AND(F20*X20&gt;Y20,Y20&gt;0),Y20, F20*X20)</f>
        <v>0</v>
      </c>
    </row>
    <row r="21" customFormat="false" ht="15" hidden="false" customHeight="false" outlineLevel="0" collapsed="false">
      <c r="A21" s="13" t="n">
        <v>19</v>
      </c>
      <c r="B21" s="14"/>
      <c r="C21" s="14"/>
      <c r="D21" s="15"/>
      <c r="E21" s="16"/>
      <c r="F21" s="17"/>
      <c r="G21" s="13"/>
      <c r="H21" s="2"/>
      <c r="I21" s="2"/>
      <c r="J21" s="18"/>
      <c r="K21" s="13"/>
      <c r="L21" s="2"/>
      <c r="M21" s="2"/>
      <c r="N21" s="18"/>
      <c r="O21" s="13"/>
      <c r="P21" s="2"/>
      <c r="Q21" s="2"/>
      <c r="R21" s="18"/>
      <c r="S21" s="13"/>
      <c r="T21" s="2"/>
      <c r="U21" s="2"/>
      <c r="V21" s="18" t="n">
        <f aca="false">IF(AND(F21*T21&gt;U21,U21&gt;0),U21, F21*T21)</f>
        <v>0</v>
      </c>
      <c r="W21" s="13"/>
      <c r="X21" s="2"/>
      <c r="Y21" s="2"/>
      <c r="Z21" s="18" t="n">
        <f aca="false">IF(AND(F21*X21&gt;Y21,Y21&gt;0),Y21, F21*X21)</f>
        <v>0</v>
      </c>
    </row>
    <row r="22" customFormat="false" ht="15" hidden="false" customHeight="false" outlineLevel="0" collapsed="false">
      <c r="A22" s="13" t="n">
        <v>20</v>
      </c>
      <c r="B22" s="14"/>
      <c r="C22" s="14"/>
      <c r="D22" s="15"/>
      <c r="E22" s="16"/>
      <c r="F22" s="17"/>
      <c r="G22" s="13"/>
      <c r="H22" s="2"/>
      <c r="I22" s="2"/>
      <c r="J22" s="18"/>
      <c r="K22" s="13"/>
      <c r="L22" s="2"/>
      <c r="M22" s="2"/>
      <c r="N22" s="18"/>
      <c r="O22" s="13"/>
      <c r="P22" s="2"/>
      <c r="Q22" s="2"/>
      <c r="R22" s="18"/>
      <c r="S22" s="13"/>
      <c r="T22" s="2"/>
      <c r="U22" s="2"/>
      <c r="V22" s="18" t="n">
        <f aca="false">IF(AND(F22*T22&gt;U22,U22&gt;0),U22, F22*T22)</f>
        <v>0</v>
      </c>
      <c r="W22" s="13"/>
      <c r="X22" s="2"/>
      <c r="Y22" s="2"/>
      <c r="Z22" s="18" t="n">
        <f aca="false">IF(AND(F22*X22&gt;Y22,Y22&gt;0),Y22, F22*X22)</f>
        <v>0</v>
      </c>
    </row>
    <row r="23" customFormat="false" ht="15" hidden="false" customHeight="false" outlineLevel="0" collapsed="false">
      <c r="A23" s="13" t="n">
        <v>21</v>
      </c>
      <c r="B23" s="14"/>
      <c r="C23" s="14"/>
      <c r="D23" s="15"/>
      <c r="E23" s="16"/>
      <c r="F23" s="17"/>
      <c r="G23" s="13"/>
      <c r="H23" s="2"/>
      <c r="I23" s="2"/>
      <c r="J23" s="18"/>
      <c r="K23" s="13"/>
      <c r="L23" s="2"/>
      <c r="M23" s="2"/>
      <c r="N23" s="18"/>
      <c r="O23" s="13"/>
      <c r="P23" s="2"/>
      <c r="Q23" s="2"/>
      <c r="R23" s="18"/>
      <c r="S23" s="13"/>
      <c r="T23" s="2"/>
      <c r="U23" s="2"/>
      <c r="V23" s="18" t="n">
        <f aca="false">IF(AND(F23*T23&gt;U23,U23&gt;0),U23, F23*T23)</f>
        <v>0</v>
      </c>
      <c r="W23" s="13"/>
      <c r="X23" s="2"/>
      <c r="Y23" s="2"/>
      <c r="Z23" s="18" t="n">
        <f aca="false">IF(AND(F23*X23&gt;Y23,Y23&gt;0),Y23, F23*X23)</f>
        <v>0</v>
      </c>
    </row>
    <row r="24" customFormat="false" ht="15" hidden="false" customHeight="false" outlineLevel="0" collapsed="false">
      <c r="A24" s="13" t="n">
        <v>22</v>
      </c>
      <c r="B24" s="14"/>
      <c r="C24" s="14"/>
      <c r="D24" s="15"/>
      <c r="E24" s="16"/>
      <c r="F24" s="17"/>
      <c r="G24" s="13"/>
      <c r="H24" s="2"/>
      <c r="I24" s="2"/>
      <c r="J24" s="18"/>
      <c r="K24" s="13"/>
      <c r="L24" s="2"/>
      <c r="M24" s="2"/>
      <c r="N24" s="18"/>
      <c r="O24" s="13"/>
      <c r="P24" s="2"/>
      <c r="Q24" s="2"/>
      <c r="R24" s="18"/>
      <c r="S24" s="13"/>
      <c r="T24" s="2"/>
      <c r="U24" s="2"/>
      <c r="V24" s="18" t="n">
        <f aca="false">IF(AND(F24*T24&gt;U24,U24&gt;0),U24, F24*T24)</f>
        <v>0</v>
      </c>
      <c r="W24" s="13"/>
      <c r="X24" s="2"/>
      <c r="Y24" s="2"/>
      <c r="Z24" s="18" t="n">
        <f aca="false">IF(AND(F24*X24&gt;Y24,Y24&gt;0),Y24, F24*X24)</f>
        <v>0</v>
      </c>
    </row>
    <row r="25" customFormat="false" ht="15" hidden="false" customHeight="false" outlineLevel="0" collapsed="false">
      <c r="A25" s="13" t="n">
        <v>23</v>
      </c>
      <c r="B25" s="14"/>
      <c r="C25" s="14"/>
      <c r="D25" s="15"/>
      <c r="E25" s="16"/>
      <c r="F25" s="17"/>
      <c r="G25" s="13"/>
      <c r="H25" s="2"/>
      <c r="I25" s="2"/>
      <c r="J25" s="18"/>
      <c r="K25" s="13"/>
      <c r="L25" s="2"/>
      <c r="M25" s="2"/>
      <c r="N25" s="18"/>
      <c r="O25" s="13"/>
      <c r="P25" s="2"/>
      <c r="Q25" s="2"/>
      <c r="R25" s="18"/>
      <c r="S25" s="13"/>
      <c r="T25" s="2"/>
      <c r="U25" s="2"/>
      <c r="V25" s="18" t="n">
        <f aca="false">IF(AND(F25*T25&gt;U25,U25&gt;0),U25, F25*T25)</f>
        <v>0</v>
      </c>
      <c r="W25" s="13"/>
      <c r="X25" s="2"/>
      <c r="Y25" s="2"/>
      <c r="Z25" s="18" t="n">
        <f aca="false">IF(AND(F25*X25&gt;Y25,Y25&gt;0),Y25, F25*X25)</f>
        <v>0</v>
      </c>
    </row>
    <row r="26" customFormat="false" ht="15" hidden="false" customHeight="false" outlineLevel="0" collapsed="false">
      <c r="A26" s="13" t="n">
        <v>24</v>
      </c>
      <c r="B26" s="14"/>
      <c r="C26" s="14"/>
      <c r="D26" s="15"/>
      <c r="E26" s="16"/>
      <c r="F26" s="17"/>
      <c r="G26" s="13"/>
      <c r="H26" s="2"/>
      <c r="I26" s="2"/>
      <c r="J26" s="18"/>
      <c r="K26" s="13"/>
      <c r="L26" s="2"/>
      <c r="M26" s="2"/>
      <c r="N26" s="18"/>
      <c r="O26" s="13"/>
      <c r="P26" s="2"/>
      <c r="Q26" s="2"/>
      <c r="R26" s="18"/>
      <c r="S26" s="13"/>
      <c r="T26" s="2"/>
      <c r="U26" s="2"/>
      <c r="V26" s="18" t="n">
        <f aca="false">IF(AND(F26*T26&gt;U26,U26&gt;0),U26, F26*T26)</f>
        <v>0</v>
      </c>
      <c r="W26" s="13"/>
      <c r="X26" s="2"/>
      <c r="Y26" s="2"/>
      <c r="Z26" s="18" t="n">
        <f aca="false">IF(AND(F26*X26&gt;Y26,Y26&gt;0),Y26, F26*X26)</f>
        <v>0</v>
      </c>
    </row>
    <row r="27" customFormat="false" ht="15" hidden="false" customHeight="false" outlineLevel="0" collapsed="false">
      <c r="A27" s="13" t="n">
        <v>25</v>
      </c>
      <c r="B27" s="14"/>
      <c r="C27" s="14"/>
      <c r="D27" s="15"/>
      <c r="E27" s="16"/>
      <c r="F27" s="17"/>
      <c r="G27" s="13"/>
      <c r="H27" s="2"/>
      <c r="I27" s="2"/>
      <c r="J27" s="18"/>
      <c r="K27" s="13"/>
      <c r="L27" s="2"/>
      <c r="M27" s="2"/>
      <c r="N27" s="18"/>
      <c r="O27" s="13"/>
      <c r="P27" s="2"/>
      <c r="Q27" s="2"/>
      <c r="R27" s="18"/>
      <c r="S27" s="13"/>
      <c r="T27" s="2"/>
      <c r="U27" s="2"/>
      <c r="V27" s="18" t="n">
        <f aca="false">IF(AND(F27*T27&gt;U27,U27&gt;0),U27, F27*T27)</f>
        <v>0</v>
      </c>
      <c r="W27" s="13"/>
      <c r="X27" s="2"/>
      <c r="Y27" s="2"/>
      <c r="Z27" s="18" t="n">
        <f aca="false">IF(AND(F27*X27&gt;Y27,Y27&gt;0),Y27, F27*X27)</f>
        <v>0</v>
      </c>
    </row>
    <row r="28" customFormat="false" ht="15" hidden="false" customHeight="false" outlineLevel="0" collapsed="false">
      <c r="A28" s="19" t="n">
        <v>26</v>
      </c>
      <c r="B28" s="14" t="s">
        <v>18</v>
      </c>
      <c r="C28" s="14" t="s">
        <v>19</v>
      </c>
      <c r="D28" s="15" t="n">
        <v>35823</v>
      </c>
      <c r="E28" s="16" t="n">
        <v>503</v>
      </c>
      <c r="F28" s="17" t="n">
        <v>58</v>
      </c>
      <c r="G28" s="13" t="n">
        <v>1003</v>
      </c>
      <c r="H28" s="2" t="n">
        <v>0.5</v>
      </c>
      <c r="I28" s="2"/>
      <c r="J28" s="18" t="n">
        <f aca="false">IF(AND(F28*H28&gt;I28,I28&gt;0),I28, F28*H28)</f>
        <v>29</v>
      </c>
      <c r="K28" s="13"/>
      <c r="L28" s="2"/>
      <c r="M28" s="2"/>
      <c r="N28" s="18" t="n">
        <f aca="false">IF(AND(F28*L28&gt;M28,M28&gt;0),M28, F28*L28)</f>
        <v>0</v>
      </c>
      <c r="O28" s="13"/>
      <c r="P28" s="2"/>
      <c r="Q28" s="2"/>
      <c r="R28" s="18" t="n">
        <f aca="false">IF(AND(F28*P28&gt;Q28,Q28&gt;0),Q28, F28*P28)</f>
        <v>0</v>
      </c>
      <c r="S28" s="13"/>
      <c r="T28" s="2"/>
      <c r="U28" s="2"/>
      <c r="V28" s="18" t="n">
        <f aca="false">IF(AND(F28*T28&gt;U28,U28&gt;0),U28, F28*T28)</f>
        <v>0</v>
      </c>
      <c r="W28" s="13"/>
      <c r="X28" s="2"/>
      <c r="Y28" s="2"/>
      <c r="Z28" s="18" t="n">
        <f aca="false">IF(AND(F28*X28&gt;Y28,Y28&gt;0),Y28, F28*X28)</f>
        <v>0</v>
      </c>
    </row>
    <row r="29" customFormat="false" ht="15" hidden="false" customHeight="false" outlineLevel="0" collapsed="false">
      <c r="A29" s="13" t="n">
        <v>27</v>
      </c>
      <c r="B29" s="14"/>
      <c r="C29" s="14"/>
      <c r="D29" s="15"/>
      <c r="E29" s="16"/>
      <c r="F29" s="17"/>
      <c r="G29" s="13"/>
      <c r="H29" s="2"/>
      <c r="I29" s="2"/>
      <c r="J29" s="18"/>
      <c r="K29" s="13"/>
      <c r="L29" s="2"/>
      <c r="M29" s="2"/>
      <c r="N29" s="18" t="n">
        <f aca="false">IF(AND(F29*L29&gt;M29,M29&gt;0),M29, F29*L29)</f>
        <v>0</v>
      </c>
      <c r="O29" s="13"/>
      <c r="P29" s="2"/>
      <c r="Q29" s="2"/>
      <c r="R29" s="18" t="n">
        <f aca="false">IF(AND(F29*P29&gt;Q29,Q29&gt;0),Q29, F29*P29)</f>
        <v>0</v>
      </c>
      <c r="S29" s="13"/>
      <c r="T29" s="2"/>
      <c r="U29" s="2"/>
      <c r="V29" s="18" t="n">
        <f aca="false">IF(AND(F29*T29&gt;U29,U29&gt;0),U29, F29*T29)</f>
        <v>0</v>
      </c>
      <c r="W29" s="13"/>
      <c r="X29" s="2"/>
      <c r="Y29" s="2"/>
      <c r="Z29" s="18" t="n">
        <f aca="false">IF(AND(F29*X29&gt;Y29,Y29&gt;0),Y29, F29*X29)</f>
        <v>0</v>
      </c>
    </row>
    <row r="30" customFormat="false" ht="15" hidden="false" customHeight="false" outlineLevel="0" collapsed="false">
      <c r="A30" s="13" t="n">
        <v>28</v>
      </c>
      <c r="B30" s="14"/>
      <c r="C30" s="14"/>
      <c r="D30" s="15"/>
      <c r="E30" s="16"/>
      <c r="F30" s="17"/>
      <c r="G30" s="13"/>
      <c r="H30" s="2"/>
      <c r="I30" s="2"/>
      <c r="J30" s="18"/>
      <c r="K30" s="13"/>
      <c r="L30" s="2"/>
      <c r="M30" s="2"/>
      <c r="N30" s="18" t="n">
        <f aca="false">IF(AND(F30*L30&gt;M30,M30&gt;0),M30, F30*L30)</f>
        <v>0</v>
      </c>
      <c r="O30" s="13"/>
      <c r="P30" s="2"/>
      <c r="Q30" s="2"/>
      <c r="R30" s="18" t="n">
        <f aca="false">IF(AND(F30*P30&gt;Q30,Q30&gt;0),Q30, F30*P30)</f>
        <v>0</v>
      </c>
      <c r="S30" s="13"/>
      <c r="T30" s="2"/>
      <c r="U30" s="2"/>
      <c r="V30" s="18" t="n">
        <f aca="false">IF(AND(F30*T30&gt;U30,U30&gt;0),U30, F30*T30)</f>
        <v>0</v>
      </c>
      <c r="W30" s="13"/>
      <c r="X30" s="2"/>
      <c r="Y30" s="2"/>
      <c r="Z30" s="18" t="n">
        <f aca="false">IF(AND(F30*X30&gt;Y30,Y30&gt;0),Y30, F30*X30)</f>
        <v>0</v>
      </c>
    </row>
    <row r="31" customFormat="false" ht="15" hidden="false" customHeight="false" outlineLevel="0" collapsed="false">
      <c r="A31" s="13" t="n">
        <v>29</v>
      </c>
      <c r="B31" s="14"/>
      <c r="C31" s="14"/>
      <c r="D31" s="15"/>
      <c r="E31" s="16"/>
      <c r="F31" s="21"/>
      <c r="G31" s="13"/>
      <c r="H31" s="2"/>
      <c r="I31" s="2"/>
      <c r="J31" s="18"/>
      <c r="K31" s="13"/>
      <c r="L31" s="2"/>
      <c r="M31" s="2"/>
      <c r="N31" s="18" t="n">
        <f aca="false">IF(AND(F31*L31&gt;M31,M31&gt;0),M31, F31*L31)</f>
        <v>0</v>
      </c>
      <c r="O31" s="13"/>
      <c r="P31" s="2"/>
      <c r="Q31" s="2"/>
      <c r="R31" s="18" t="n">
        <f aca="false">IF(AND(F31*P31&gt;Q31,Q31&gt;0),Q31, F31*P31)</f>
        <v>0</v>
      </c>
      <c r="S31" s="13"/>
      <c r="T31" s="2"/>
      <c r="U31" s="2"/>
      <c r="V31" s="18" t="n">
        <f aca="false">IF(AND(F31*T31&gt;U31,U31&gt;0),U31, F31*T31)</f>
        <v>0</v>
      </c>
      <c r="W31" s="13"/>
      <c r="X31" s="2"/>
      <c r="Y31" s="2"/>
      <c r="Z31" s="18" t="n">
        <f aca="false">IF(AND(F31*X31&gt;Y31,Y31&gt;0),Y31, F31*X31)</f>
        <v>0</v>
      </c>
    </row>
    <row r="32" customFormat="false" ht="15" hidden="false" customHeight="false" outlineLevel="0" collapsed="false">
      <c r="A32" s="19" t="n">
        <v>30</v>
      </c>
      <c r="B32" s="14" t="s">
        <v>20</v>
      </c>
      <c r="C32" s="14" t="s">
        <v>21</v>
      </c>
      <c r="D32" s="15" t="n">
        <v>43635</v>
      </c>
      <c r="E32" s="16" t="n">
        <v>502</v>
      </c>
      <c r="F32" s="17" t="n">
        <v>40</v>
      </c>
      <c r="G32" s="13" t="n">
        <v>1002</v>
      </c>
      <c r="H32" s="2" t="n">
        <v>0.5</v>
      </c>
      <c r="I32" s="2"/>
      <c r="J32" s="18" t="n">
        <f aca="false">IF(AND(F32*H32&gt;I32,I32&gt;0),I32, F32*H32)</f>
        <v>20</v>
      </c>
      <c r="K32" s="13" t="n">
        <v>1022</v>
      </c>
      <c r="L32" s="2" t="n">
        <v>0.5</v>
      </c>
      <c r="M32" s="2" t="n">
        <v>50</v>
      </c>
      <c r="N32" s="18" t="n">
        <f aca="false">IF(AND(F32*L32&gt;M32,M32&gt;0),M32, F32*L32)</f>
        <v>20</v>
      </c>
      <c r="O32" s="13" t="n">
        <v>1023</v>
      </c>
      <c r="P32" s="2" t="n">
        <v>0.5</v>
      </c>
      <c r="Q32" s="2" t="n">
        <v>50</v>
      </c>
      <c r="R32" s="18" t="n">
        <f aca="false">IF(AND(F32*P32&gt;Q32,Q32&gt;0),Q32, F32*P32)</f>
        <v>20</v>
      </c>
      <c r="S32" s="13" t="n">
        <v>1024</v>
      </c>
      <c r="T32" s="2" t="n">
        <v>0.5</v>
      </c>
      <c r="U32" s="2" t="n">
        <v>50</v>
      </c>
      <c r="V32" s="18" t="n">
        <f aca="false">IF(AND(F32*T32&gt;U32,U32&gt;0),U32, F32*T32)</f>
        <v>20</v>
      </c>
      <c r="W32" s="13"/>
      <c r="X32" s="2"/>
      <c r="Y32" s="2"/>
      <c r="Z32" s="18" t="n">
        <f aca="false">IF(AND(F32*X32&gt;Y32,Y32&gt;0),Y32, F32*X32)</f>
        <v>0</v>
      </c>
    </row>
    <row r="33" customFormat="false" ht="15" hidden="false" customHeight="false" outlineLevel="0" collapsed="false">
      <c r="A33" s="19" t="n">
        <v>31</v>
      </c>
      <c r="B33" s="14" t="s">
        <v>20</v>
      </c>
      <c r="C33" s="14" t="s">
        <v>22</v>
      </c>
      <c r="D33" s="15" t="n">
        <v>30515</v>
      </c>
      <c r="E33" s="16" t="n">
        <v>502</v>
      </c>
      <c r="F33" s="17" t="n">
        <v>46</v>
      </c>
      <c r="G33" s="13" t="n">
        <v>1002</v>
      </c>
      <c r="H33" s="2" t="n">
        <v>0.5</v>
      </c>
      <c r="I33" s="2"/>
      <c r="J33" s="18" t="n">
        <f aca="false">IF(AND(F33*H33&gt;I33,I33&gt;0),I33, F33*H33)</f>
        <v>23</v>
      </c>
      <c r="K33" s="13" t="n">
        <v>1022</v>
      </c>
      <c r="L33" s="2" t="n">
        <v>0.5</v>
      </c>
      <c r="M33" s="2" t="n">
        <v>50</v>
      </c>
      <c r="N33" s="18" t="n">
        <f aca="false">IF(AND(F33*L33&gt;M33,M33&gt;0),M33, F33*L33)</f>
        <v>23</v>
      </c>
      <c r="O33" s="13" t="n">
        <v>1023</v>
      </c>
      <c r="P33" s="2" t="n">
        <v>0.5</v>
      </c>
      <c r="Q33" s="2" t="n">
        <v>50</v>
      </c>
      <c r="R33" s="18" t="n">
        <f aca="false">IF(AND(F33*P33&gt;Q33,Q33&gt;0),Q33, F33*P33)</f>
        <v>23</v>
      </c>
      <c r="S33" s="13" t="n">
        <v>1024</v>
      </c>
      <c r="T33" s="2" t="n">
        <v>0.5</v>
      </c>
      <c r="U33" s="2" t="n">
        <v>50</v>
      </c>
      <c r="V33" s="18" t="n">
        <f aca="false">IF(AND(F33*T33&gt;U33,U33&gt;0),U33, F33*T33)</f>
        <v>23</v>
      </c>
      <c r="W33" s="13"/>
      <c r="X33" s="2"/>
      <c r="Y33" s="2"/>
      <c r="Z33" s="18" t="n">
        <f aca="false">IF(AND(F33*X33&gt;Y33,Y33&gt;0),Y33, F33*X33)</f>
        <v>0</v>
      </c>
    </row>
    <row r="34" customFormat="false" ht="15" hidden="false" customHeight="false" outlineLevel="0" collapsed="false">
      <c r="A34" s="13" t="n">
        <v>32</v>
      </c>
      <c r="B34" s="14"/>
      <c r="C34" s="14"/>
      <c r="D34" s="15"/>
      <c r="E34" s="16"/>
      <c r="F34" s="17"/>
      <c r="G34" s="13"/>
      <c r="H34" s="2"/>
      <c r="I34" s="2"/>
      <c r="J34" s="18"/>
      <c r="K34" s="13"/>
      <c r="L34" s="2"/>
      <c r="M34" s="2"/>
      <c r="N34" s="18"/>
      <c r="O34" s="13"/>
      <c r="P34" s="2"/>
      <c r="Q34" s="2"/>
      <c r="R34" s="18" t="n">
        <f aca="false">IF(AND(F34*P34&gt;Q34,Q34&gt;0),Q34, F34*P34)</f>
        <v>0</v>
      </c>
      <c r="S34" s="13"/>
      <c r="T34" s="2"/>
      <c r="U34" s="2"/>
      <c r="V34" s="18" t="n">
        <f aca="false">IF(AND(F34*T34&gt;U34,U34&gt;0),U34, F34*T34)</f>
        <v>0</v>
      </c>
      <c r="W34" s="13"/>
      <c r="X34" s="2"/>
      <c r="Y34" s="2"/>
      <c r="Z34" s="18" t="n">
        <f aca="false">IF(AND(F34*X34&gt;Y34,Y34&gt;0),Y34, F34*X34)</f>
        <v>0</v>
      </c>
    </row>
    <row r="35" customFormat="false" ht="15" hidden="false" customHeight="false" outlineLevel="0" collapsed="false">
      <c r="A35" s="19" t="n">
        <v>33</v>
      </c>
      <c r="B35" s="14" t="s">
        <v>20</v>
      </c>
      <c r="C35" s="14" t="s">
        <v>23</v>
      </c>
      <c r="D35" s="15" t="n">
        <v>41712</v>
      </c>
      <c r="E35" s="16" t="n">
        <v>502</v>
      </c>
      <c r="F35" s="17" t="n">
        <v>54</v>
      </c>
      <c r="G35" s="13" t="n">
        <v>1002</v>
      </c>
      <c r="H35" s="2" t="n">
        <v>0.5</v>
      </c>
      <c r="I35" s="2"/>
      <c r="J35" s="18" t="n">
        <f aca="false">IF(AND(F35*H35&gt;I35,I35&gt;0),I35, F35*H35)</f>
        <v>27</v>
      </c>
      <c r="K35" s="13" t="n">
        <v>1022</v>
      </c>
      <c r="L35" s="2" t="n">
        <v>0.5</v>
      </c>
      <c r="M35" s="2" t="n">
        <v>50</v>
      </c>
      <c r="N35" s="18" t="n">
        <f aca="false">IF(AND(F35*L35&gt;M35,M35&gt;0),M35, F35*L35)</f>
        <v>27</v>
      </c>
      <c r="O35" s="13" t="n">
        <v>1023</v>
      </c>
      <c r="P35" s="2" t="n">
        <v>0.5</v>
      </c>
      <c r="Q35" s="2" t="n">
        <v>50</v>
      </c>
      <c r="R35" s="18" t="n">
        <f aca="false">IF(AND(F35*P35&gt;Q35,Q35&gt;0),Q35, F35*P35)</f>
        <v>27</v>
      </c>
      <c r="S35" s="13" t="n">
        <v>1024</v>
      </c>
      <c r="T35" s="2" t="n">
        <v>0.5</v>
      </c>
      <c r="U35" s="2" t="n">
        <v>50</v>
      </c>
      <c r="V35" s="18" t="n">
        <f aca="false">IF(AND(F35*T35&gt;U35,U35&gt;0),U35, F35*T35)</f>
        <v>27</v>
      </c>
      <c r="W35" s="13"/>
      <c r="X35" s="2"/>
      <c r="Y35" s="2"/>
      <c r="Z35" s="18" t="n">
        <f aca="false">IF(AND(F35*X35&gt;Y35,Y35&gt;0),Y35, F35*X35)</f>
        <v>0</v>
      </c>
    </row>
    <row r="36" customFormat="false" ht="15" hidden="false" customHeight="false" outlineLevel="0" collapsed="false">
      <c r="A36" s="13" t="n">
        <v>34</v>
      </c>
      <c r="B36" s="14"/>
      <c r="C36" s="14"/>
      <c r="D36" s="15"/>
      <c r="E36" s="16"/>
      <c r="F36" s="17"/>
      <c r="G36" s="13"/>
      <c r="H36" s="2"/>
      <c r="I36" s="2"/>
      <c r="J36" s="18"/>
      <c r="K36" s="13"/>
      <c r="L36" s="2"/>
      <c r="M36" s="2"/>
      <c r="N36" s="18"/>
      <c r="O36" s="13"/>
      <c r="P36" s="2"/>
      <c r="Q36" s="2"/>
      <c r="R36" s="18"/>
      <c r="S36" s="13"/>
      <c r="T36" s="2"/>
      <c r="U36" s="2"/>
      <c r="V36" s="18" t="n">
        <f aca="false">IF(AND(F36*T36&gt;U36,U36&gt;0),U36, F36*T36)</f>
        <v>0</v>
      </c>
      <c r="W36" s="13"/>
      <c r="X36" s="2"/>
      <c r="Y36" s="2"/>
      <c r="Z36" s="18" t="n">
        <f aca="false">IF(AND(F36*X36&gt;Y36,Y36&gt;0),Y36, F36*X36)</f>
        <v>0</v>
      </c>
    </row>
    <row r="37" customFormat="false" ht="15" hidden="false" customHeight="false" outlineLevel="0" collapsed="false">
      <c r="A37" s="19" t="n">
        <v>35</v>
      </c>
      <c r="B37" s="14" t="s">
        <v>20</v>
      </c>
      <c r="C37" s="14" t="s">
        <v>24</v>
      </c>
      <c r="D37" s="15" t="n">
        <v>42528</v>
      </c>
      <c r="E37" s="16" t="n">
        <v>502</v>
      </c>
      <c r="F37" s="17" t="n">
        <v>84</v>
      </c>
      <c r="G37" s="13" t="n">
        <v>1002</v>
      </c>
      <c r="H37" s="2" t="n">
        <v>0.5</v>
      </c>
      <c r="I37" s="2"/>
      <c r="J37" s="18" t="n">
        <f aca="false">IF(AND(F37*H37&gt;I37,I37&gt;0),I37, F37*H37)</f>
        <v>42</v>
      </c>
      <c r="K37" s="13" t="n">
        <v>1022</v>
      </c>
      <c r="L37" s="2" t="n">
        <v>0.5</v>
      </c>
      <c r="M37" s="2" t="n">
        <v>50</v>
      </c>
      <c r="N37" s="18" t="n">
        <f aca="false">IF(AND(F37*L37&gt;M37,M37&gt;0),M37, F37*L37)</f>
        <v>42</v>
      </c>
      <c r="O37" s="13" t="n">
        <v>1023</v>
      </c>
      <c r="P37" s="2" t="n">
        <v>0.5</v>
      </c>
      <c r="Q37" s="2" t="n">
        <v>50</v>
      </c>
      <c r="R37" s="18" t="n">
        <f aca="false">IF(AND(F37*P37&gt;Q37,Q37&gt;0),Q37, F37*P37)</f>
        <v>42</v>
      </c>
      <c r="S37" s="13" t="n">
        <v>1024</v>
      </c>
      <c r="T37" s="2" t="n">
        <v>0.5</v>
      </c>
      <c r="U37" s="2" t="n">
        <v>50</v>
      </c>
      <c r="V37" s="18" t="n">
        <f aca="false">IF(AND(F37*T37&gt;U37,U37&gt;0),U37, F37*T37)</f>
        <v>42</v>
      </c>
      <c r="W37" s="13"/>
      <c r="X37" s="2"/>
      <c r="Y37" s="2"/>
      <c r="Z37" s="18" t="n">
        <f aca="false">IF(AND(F37*X37&gt;Y37,Y37&gt;0),Y37, F37*X37)</f>
        <v>0</v>
      </c>
    </row>
    <row r="38" customFormat="false" ht="15" hidden="false" customHeight="false" outlineLevel="0" collapsed="false">
      <c r="A38" s="13" t="n">
        <v>36</v>
      </c>
      <c r="B38" s="14"/>
      <c r="C38" s="14"/>
      <c r="D38" s="15"/>
      <c r="E38" s="16"/>
      <c r="F38" s="17"/>
      <c r="G38" s="13"/>
      <c r="H38" s="2"/>
      <c r="I38" s="2"/>
      <c r="J38" s="18" t="n">
        <f aca="false">IF(AND(F38*H38&gt;I38,I38&gt;0),I38, F38*H38)</f>
        <v>0</v>
      </c>
      <c r="K38" s="13"/>
      <c r="L38" s="2"/>
      <c r="M38" s="2"/>
      <c r="N38" s="18" t="n">
        <f aca="false">IF(AND(F38*L38&gt;M38,M38&gt;0),M38, F38*L38)</f>
        <v>0</v>
      </c>
      <c r="O38" s="13"/>
      <c r="P38" s="2"/>
      <c r="Q38" s="2"/>
      <c r="R38" s="18" t="n">
        <f aca="false">IF(AND(F38*P38&gt;Q38,Q38&gt;0),Q38, F38*P38)</f>
        <v>0</v>
      </c>
      <c r="S38" s="13"/>
      <c r="T38" s="2"/>
      <c r="U38" s="2"/>
      <c r="V38" s="18" t="n">
        <f aca="false">IF(AND(F38*T38&gt;U38,U38&gt;0),U38, F38*T38)</f>
        <v>0</v>
      </c>
      <c r="W38" s="13"/>
      <c r="X38" s="2"/>
      <c r="Y38" s="2"/>
      <c r="Z38" s="18" t="n">
        <f aca="false">IF(AND(F38*X38&gt;Y38,Y38&gt;0),Y38, F38*X38)</f>
        <v>0</v>
      </c>
    </row>
    <row r="39" customFormat="false" ht="15" hidden="false" customHeight="false" outlineLevel="0" collapsed="false">
      <c r="A39" s="13" t="n">
        <v>37</v>
      </c>
      <c r="B39" s="14"/>
      <c r="C39" s="14"/>
      <c r="D39" s="15"/>
      <c r="E39" s="16"/>
      <c r="F39" s="17"/>
      <c r="G39" s="13"/>
      <c r="H39" s="2"/>
      <c r="I39" s="2"/>
      <c r="J39" s="18" t="n">
        <f aca="false">IF(AND(F39*H39&gt;I39,I39&gt;0),I39, F39*H39)</f>
        <v>0</v>
      </c>
      <c r="K39" s="13"/>
      <c r="L39" s="2"/>
      <c r="M39" s="2"/>
      <c r="N39" s="18" t="n">
        <f aca="false">IF(AND(F39*L39&gt;M39,M39&gt;0),M39, F39*L39)</f>
        <v>0</v>
      </c>
      <c r="O39" s="13"/>
      <c r="P39" s="2"/>
      <c r="Q39" s="2"/>
      <c r="R39" s="18" t="n">
        <f aca="false">IF(AND(F39*P39&gt;Q39,Q39&gt;0),Q39, F39*P39)</f>
        <v>0</v>
      </c>
      <c r="S39" s="13"/>
      <c r="T39" s="2"/>
      <c r="U39" s="2"/>
      <c r="V39" s="18" t="n">
        <f aca="false">IF(AND(F39*T39&gt;U39,U39&gt;0),U39, F39*T39)</f>
        <v>0</v>
      </c>
      <c r="W39" s="13"/>
      <c r="X39" s="2"/>
      <c r="Y39" s="2"/>
      <c r="Z39" s="18" t="n">
        <f aca="false">IF(AND(F39*X39&gt;Y39,Y39&gt;0),Y39, F39*X39)</f>
        <v>0</v>
      </c>
    </row>
    <row r="40" customFormat="false" ht="15" hidden="false" customHeight="false" outlineLevel="0" collapsed="false">
      <c r="A40" s="13" t="n">
        <v>38</v>
      </c>
      <c r="B40" s="14"/>
      <c r="C40" s="14"/>
      <c r="D40" s="15"/>
      <c r="E40" s="16"/>
      <c r="F40" s="17"/>
      <c r="G40" s="13"/>
      <c r="H40" s="2"/>
      <c r="I40" s="2"/>
      <c r="J40" s="18" t="n">
        <f aca="false">IF(AND(F40*H40&gt;I40,I40&gt;0),I40, F40*H40)</f>
        <v>0</v>
      </c>
      <c r="K40" s="13"/>
      <c r="L40" s="2"/>
      <c r="M40" s="2"/>
      <c r="N40" s="18" t="n">
        <f aca="false">IF(AND(F40*L40&gt;M40,M40&gt;0),M40, F40*L40)</f>
        <v>0</v>
      </c>
      <c r="O40" s="13"/>
      <c r="P40" s="2"/>
      <c r="Q40" s="2"/>
      <c r="R40" s="18" t="n">
        <f aca="false">IF(AND(F40*P40&gt;Q40,Q40&gt;0),Q40, F40*P40)</f>
        <v>0</v>
      </c>
      <c r="S40" s="13"/>
      <c r="T40" s="2"/>
      <c r="U40" s="2"/>
      <c r="V40" s="18" t="n">
        <f aca="false">IF(AND(F40*T40&gt;U40,U40&gt;0),U40, F40*T40)</f>
        <v>0</v>
      </c>
      <c r="W40" s="13"/>
      <c r="X40" s="2"/>
      <c r="Y40" s="2"/>
      <c r="Z40" s="18" t="n">
        <f aca="false">IF(AND(F40*X40&gt;Y40,Y40&gt;0),Y40, F40*X40)</f>
        <v>0</v>
      </c>
    </row>
    <row r="41" customFormat="false" ht="15" hidden="false" customHeight="false" outlineLevel="0" collapsed="false">
      <c r="A41" s="13" t="n">
        <v>39</v>
      </c>
      <c r="B41" s="14"/>
      <c r="C41" s="14"/>
      <c r="D41" s="15"/>
      <c r="E41" s="16"/>
      <c r="F41" s="17"/>
      <c r="G41" s="13"/>
      <c r="H41" s="2"/>
      <c r="I41" s="2"/>
      <c r="J41" s="18" t="n">
        <f aca="false">IF(AND(F41*H41&gt;I41,I41&gt;0),I41, F41*H41)</f>
        <v>0</v>
      </c>
      <c r="K41" s="13"/>
      <c r="L41" s="2"/>
      <c r="M41" s="2"/>
      <c r="N41" s="18" t="n">
        <f aca="false">IF(AND(F41*L41&gt;M41,M41&gt;0),M41, F41*L41)</f>
        <v>0</v>
      </c>
      <c r="O41" s="13"/>
      <c r="P41" s="2"/>
      <c r="Q41" s="2"/>
      <c r="R41" s="18" t="n">
        <f aca="false">IF(AND(F41*P41&gt;Q41,Q41&gt;0),Q41, F41*P41)</f>
        <v>0</v>
      </c>
      <c r="S41" s="13"/>
      <c r="T41" s="2"/>
      <c r="U41" s="2"/>
      <c r="V41" s="18" t="n">
        <f aca="false">IF(AND(F41*T41&gt;U41,U41&gt;0),U41, F41*T41)</f>
        <v>0</v>
      </c>
      <c r="W41" s="13"/>
      <c r="X41" s="2"/>
      <c r="Y41" s="2"/>
      <c r="Z41" s="18" t="n">
        <f aca="false">IF(AND(F41*X41&gt;Y41,Y41&gt;0),Y41, F41*X41)</f>
        <v>0</v>
      </c>
    </row>
    <row r="42" customFormat="false" ht="15" hidden="false" customHeight="false" outlineLevel="0" collapsed="false">
      <c r="A42" s="13" t="n">
        <v>40</v>
      </c>
      <c r="B42" s="14"/>
      <c r="C42" s="14"/>
      <c r="D42" s="15"/>
      <c r="E42" s="16"/>
      <c r="F42" s="17"/>
      <c r="G42" s="13"/>
      <c r="H42" s="2"/>
      <c r="I42" s="2"/>
      <c r="J42" s="18" t="n">
        <f aca="false">IF(AND(F42*H42&gt;I42,I42&gt;0),I42, F42*H42)</f>
        <v>0</v>
      </c>
      <c r="K42" s="13"/>
      <c r="L42" s="2"/>
      <c r="M42" s="2"/>
      <c r="N42" s="18" t="n">
        <f aca="false">IF(AND(F42*L42&gt;M42,M42&gt;0),M42, F42*L42)</f>
        <v>0</v>
      </c>
      <c r="O42" s="13"/>
      <c r="P42" s="2"/>
      <c r="Q42" s="2"/>
      <c r="R42" s="18" t="n">
        <f aca="false">IF(AND(F42*P42&gt;Q42,Q42&gt;0),Q42, F42*P42)</f>
        <v>0</v>
      </c>
      <c r="S42" s="13"/>
      <c r="T42" s="2"/>
      <c r="U42" s="2"/>
      <c r="V42" s="18" t="n">
        <f aca="false">IF(AND(F42*T42&gt;U42,U42&gt;0),U42, F42*T42)</f>
        <v>0</v>
      </c>
      <c r="W42" s="13"/>
      <c r="X42" s="2"/>
      <c r="Y42" s="2"/>
      <c r="Z42" s="18" t="n">
        <f aca="false">IF(AND(F42*X42&gt;Y42,Y42&gt;0),Y42, F42*X42)</f>
        <v>0</v>
      </c>
    </row>
    <row r="43" customFormat="false" ht="15" hidden="false" customHeight="false" outlineLevel="0" collapsed="false">
      <c r="A43" s="13" t="n">
        <v>41</v>
      </c>
      <c r="B43" s="14"/>
      <c r="C43" s="14"/>
      <c r="D43" s="15"/>
      <c r="E43" s="16"/>
      <c r="F43" s="17"/>
      <c r="G43" s="13"/>
      <c r="H43" s="2"/>
      <c r="I43" s="2"/>
      <c r="J43" s="18" t="n">
        <f aca="false">IF(AND(F43*H43&gt;I43,I43&gt;0),I43, F43*H43)</f>
        <v>0</v>
      </c>
      <c r="K43" s="13"/>
      <c r="L43" s="2"/>
      <c r="M43" s="2"/>
      <c r="N43" s="18" t="n">
        <f aca="false">IF(AND(F43*L43&gt;M43,M43&gt;0),M43, F43*L43)</f>
        <v>0</v>
      </c>
      <c r="O43" s="13"/>
      <c r="P43" s="2"/>
      <c r="Q43" s="2"/>
      <c r="R43" s="18" t="n">
        <f aca="false">IF(AND(F43*P43&gt;Q43,Q43&gt;0),Q43, F43*P43)</f>
        <v>0</v>
      </c>
      <c r="S43" s="13"/>
      <c r="T43" s="2"/>
      <c r="U43" s="2"/>
      <c r="V43" s="18" t="n">
        <f aca="false">IF(AND(F43*T43&gt;U43,U43&gt;0),U43, F43*T43)</f>
        <v>0</v>
      </c>
      <c r="W43" s="13"/>
      <c r="X43" s="2"/>
      <c r="Y43" s="2"/>
      <c r="Z43" s="18" t="n">
        <f aca="false">IF(AND(F43*X43&gt;Y43,Y43&gt;0),Y43, F43*X43)</f>
        <v>0</v>
      </c>
    </row>
    <row r="44" customFormat="false" ht="15" hidden="false" customHeight="false" outlineLevel="0" collapsed="false">
      <c r="A44" s="13" t="n">
        <v>42</v>
      </c>
      <c r="B44" s="14"/>
      <c r="C44" s="14"/>
      <c r="D44" s="15"/>
      <c r="E44" s="16"/>
      <c r="F44" s="17"/>
      <c r="G44" s="13"/>
      <c r="H44" s="2"/>
      <c r="I44" s="2"/>
      <c r="J44" s="18" t="n">
        <f aca="false">IF(AND(F44*H44&gt;I44,I44&gt;0),I44, F44*H44)</f>
        <v>0</v>
      </c>
      <c r="K44" s="13"/>
      <c r="L44" s="2"/>
      <c r="M44" s="2"/>
      <c r="N44" s="18" t="n">
        <f aca="false">IF(AND(F44*L44&gt;M44,M44&gt;0),M44, F44*L44)</f>
        <v>0</v>
      </c>
      <c r="O44" s="13"/>
      <c r="P44" s="2"/>
      <c r="Q44" s="2"/>
      <c r="R44" s="18" t="n">
        <f aca="false">IF(AND(F44*P44&gt;Q44,Q44&gt;0),Q44, F44*P44)</f>
        <v>0</v>
      </c>
      <c r="S44" s="13"/>
      <c r="T44" s="2"/>
      <c r="U44" s="2"/>
      <c r="V44" s="18" t="n">
        <f aca="false">IF(AND(F44*T44&gt;U44,U44&gt;0),U44, F44*T44)</f>
        <v>0</v>
      </c>
      <c r="W44" s="13"/>
      <c r="X44" s="2"/>
      <c r="Y44" s="2"/>
      <c r="Z44" s="18" t="n">
        <f aca="false">IF(AND(F44*X44&gt;Y44,Y44&gt;0),Y44, F44*X44)</f>
        <v>0</v>
      </c>
    </row>
    <row r="45" customFormat="false" ht="15" hidden="false" customHeight="false" outlineLevel="0" collapsed="false">
      <c r="A45" s="13" t="n">
        <v>43</v>
      </c>
      <c r="B45" s="14"/>
      <c r="C45" s="14"/>
      <c r="D45" s="15"/>
      <c r="E45" s="16"/>
      <c r="F45" s="17"/>
      <c r="G45" s="13"/>
      <c r="H45" s="2"/>
      <c r="I45" s="2"/>
      <c r="J45" s="18" t="n">
        <f aca="false">IF(AND(F45*H45&gt;I45,I45&gt;0),I45, F45*H45)</f>
        <v>0</v>
      </c>
      <c r="K45" s="13"/>
      <c r="L45" s="2"/>
      <c r="M45" s="2"/>
      <c r="N45" s="18" t="n">
        <f aca="false">IF(AND(F45*L45&gt;M45,M45&gt;0),M45, F45*L45)</f>
        <v>0</v>
      </c>
      <c r="O45" s="13"/>
      <c r="P45" s="2"/>
      <c r="Q45" s="2"/>
      <c r="R45" s="18" t="n">
        <f aca="false">IF(AND(F45*P45&gt;Q45,Q45&gt;0),Q45, F45*P45)</f>
        <v>0</v>
      </c>
      <c r="S45" s="13"/>
      <c r="T45" s="2"/>
      <c r="U45" s="2"/>
      <c r="V45" s="18" t="n">
        <f aca="false">IF(AND(F45*T45&gt;U45,U45&gt;0),U45, F45*T45)</f>
        <v>0</v>
      </c>
      <c r="W45" s="13"/>
      <c r="X45" s="2"/>
      <c r="Y45" s="2"/>
      <c r="Z45" s="18" t="n">
        <f aca="false">IF(AND(F45*X45&gt;Y45,Y45&gt;0),Y45, F45*X45)</f>
        <v>0</v>
      </c>
    </row>
    <row r="46" customFormat="false" ht="15" hidden="false" customHeight="false" outlineLevel="0" collapsed="false">
      <c r="A46" s="13" t="n">
        <v>44</v>
      </c>
      <c r="B46" s="14"/>
      <c r="C46" s="14"/>
      <c r="D46" s="15"/>
      <c r="E46" s="16"/>
      <c r="F46" s="17"/>
      <c r="G46" s="13"/>
      <c r="H46" s="2"/>
      <c r="I46" s="2"/>
      <c r="J46" s="18" t="n">
        <f aca="false">IF(AND(F46*H46&gt;I46,I46&gt;0),I46, F46*H46)</f>
        <v>0</v>
      </c>
      <c r="M46" s="2"/>
      <c r="N46" s="18" t="n">
        <f aca="false">IF(AND(F46*L46&gt;M46,M46&gt;0),M46, F46*L46)</f>
        <v>0</v>
      </c>
      <c r="O46" s="13"/>
      <c r="P46" s="2"/>
      <c r="Q46" s="2"/>
      <c r="R46" s="18" t="n">
        <f aca="false">IF(AND(F46*P46&gt;Q46,Q46&gt;0),Q46, F46*P46)</f>
        <v>0</v>
      </c>
      <c r="S46" s="13"/>
      <c r="T46" s="2"/>
      <c r="U46" s="2"/>
      <c r="V46" s="18" t="n">
        <f aca="false">IF(AND(F46*T46&gt;U46,U46&gt;0),U46, F46*T46)</f>
        <v>0</v>
      </c>
      <c r="W46" s="13"/>
      <c r="X46" s="2"/>
      <c r="Y46" s="2"/>
      <c r="Z46" s="18" t="n">
        <f aca="false">IF(AND(F46*X46&gt;Y46,Y46&gt;0),Y46, F46*X46)</f>
        <v>0</v>
      </c>
    </row>
    <row r="47" customFormat="false" ht="15" hidden="false" customHeight="false" outlineLevel="0" collapsed="false">
      <c r="A47" s="13" t="n">
        <v>45</v>
      </c>
      <c r="B47" s="14"/>
      <c r="C47" s="14"/>
      <c r="D47" s="15"/>
      <c r="E47" s="16"/>
      <c r="F47" s="17"/>
      <c r="G47" s="13"/>
      <c r="H47" s="2"/>
      <c r="I47" s="2"/>
      <c r="J47" s="18" t="n">
        <f aca="false">IF(AND(F47*H47&gt;I47,I47&gt;0),I47, F47*H47)</f>
        <v>0</v>
      </c>
      <c r="K47" s="13"/>
      <c r="L47" s="2"/>
      <c r="M47" s="2"/>
      <c r="N47" s="18" t="n">
        <f aca="false">IF(AND(F47*L47&gt;M47,M47&gt;0),M47, F47*L47)</f>
        <v>0</v>
      </c>
      <c r="O47" s="13"/>
      <c r="P47" s="2"/>
      <c r="Q47" s="2"/>
      <c r="R47" s="18" t="n">
        <f aca="false">IF(AND(F47*P47&gt;Q47,Q47&gt;0),Q47, F47*P47)</f>
        <v>0</v>
      </c>
      <c r="S47" s="13"/>
      <c r="T47" s="2"/>
      <c r="U47" s="2"/>
      <c r="V47" s="18" t="n">
        <f aca="false">IF(AND(F47*T47&gt;U47,U47&gt;0),U47, F47*T47)</f>
        <v>0</v>
      </c>
      <c r="W47" s="13"/>
      <c r="X47" s="2"/>
      <c r="Y47" s="2"/>
      <c r="Z47" s="18" t="n">
        <f aca="false">IF(AND(F47*X47&gt;Y47,Y47&gt;0),Y47, F47*X47)</f>
        <v>0</v>
      </c>
    </row>
    <row r="48" customFormat="false" ht="15" hidden="false" customHeight="false" outlineLevel="0" collapsed="false">
      <c r="A48" s="13" t="n">
        <v>46</v>
      </c>
      <c r="B48" s="14"/>
      <c r="C48" s="14"/>
      <c r="D48" s="15"/>
      <c r="E48" s="16"/>
      <c r="F48" s="17"/>
      <c r="G48" s="13"/>
      <c r="H48" s="2"/>
      <c r="I48" s="2"/>
      <c r="J48" s="18" t="n">
        <f aca="false">IF(AND(F48*H48&gt;I48,I48&gt;0),I48, F48*H48)</f>
        <v>0</v>
      </c>
      <c r="K48" s="13"/>
      <c r="L48" s="2"/>
      <c r="M48" s="2"/>
      <c r="N48" s="18" t="n">
        <f aca="false">IF(AND(F48*L48&gt;M48,M48&gt;0),M48, F48*L48)</f>
        <v>0</v>
      </c>
      <c r="O48" s="13"/>
      <c r="P48" s="2"/>
      <c r="Q48" s="2"/>
      <c r="R48" s="18" t="n">
        <f aca="false">IF(AND(F48*P48&gt;Q48,Q48&gt;0),Q48, F48*P48)</f>
        <v>0</v>
      </c>
      <c r="S48" s="13"/>
      <c r="T48" s="2"/>
      <c r="U48" s="2"/>
      <c r="V48" s="18" t="n">
        <f aca="false">IF(AND(F48*T48&gt;U48,U48&gt;0),U48, F48*T48)</f>
        <v>0</v>
      </c>
      <c r="W48" s="13"/>
      <c r="X48" s="2"/>
      <c r="Y48" s="2"/>
      <c r="Z48" s="18" t="n">
        <f aca="false">IF(AND(F48*X48&gt;Y48,Y48&gt;0),Y48, F48*X48)</f>
        <v>0</v>
      </c>
    </row>
    <row r="49" customFormat="false" ht="15" hidden="false" customHeight="false" outlineLevel="0" collapsed="false">
      <c r="A49" s="19" t="n">
        <v>47</v>
      </c>
      <c r="B49" s="14" t="s">
        <v>25</v>
      </c>
      <c r="C49" s="14" t="s">
        <v>26</v>
      </c>
      <c r="D49" s="15" t="n">
        <v>30358</v>
      </c>
      <c r="E49" s="16" t="n">
        <v>503</v>
      </c>
      <c r="F49" s="17" t="n">
        <v>62</v>
      </c>
      <c r="G49" s="13" t="n">
        <v>1003</v>
      </c>
      <c r="H49" s="2" t="n">
        <v>0.5</v>
      </c>
      <c r="I49" s="2"/>
      <c r="J49" s="18" t="n">
        <f aca="false">IF(AND(F49*H49&gt;I49,I49&gt;0),I49, F49*H49)</f>
        <v>31</v>
      </c>
      <c r="K49" s="13"/>
      <c r="L49" s="2"/>
      <c r="M49" s="2"/>
      <c r="N49" s="18" t="n">
        <f aca="false">IF(AND(F49*L49&gt;M49,M49&gt;0),M49, F49*L49)</f>
        <v>0</v>
      </c>
      <c r="O49" s="13"/>
      <c r="P49" s="2"/>
      <c r="Q49" s="2"/>
      <c r="R49" s="18" t="n">
        <f aca="false">IF(AND(F49*P49&gt;Q49,Q49&gt;0),Q49, F49*P49)</f>
        <v>0</v>
      </c>
      <c r="S49" s="13"/>
      <c r="T49" s="2"/>
      <c r="U49" s="2"/>
      <c r="V49" s="18" t="n">
        <f aca="false">IF(AND(F49*T49&gt;U49,U49&gt;0),U49, F49*T49)</f>
        <v>0</v>
      </c>
      <c r="W49" s="13"/>
      <c r="X49" s="2"/>
      <c r="Y49" s="2"/>
      <c r="Z49" s="18" t="n">
        <f aca="false">IF(AND(F49*X49&gt;Y49,Y49&gt;0),Y49, F49*X49)</f>
        <v>0</v>
      </c>
    </row>
    <row r="50" customFormat="false" ht="15" hidden="false" customHeight="false" outlineLevel="0" collapsed="false">
      <c r="A50" s="13" t="n">
        <v>48</v>
      </c>
      <c r="B50" s="14"/>
      <c r="C50" s="14"/>
      <c r="D50" s="15"/>
      <c r="E50" s="16"/>
      <c r="F50" s="17"/>
      <c r="G50" s="13"/>
      <c r="H50" s="2"/>
      <c r="I50" s="2"/>
      <c r="J50" s="18"/>
      <c r="K50" s="13"/>
      <c r="L50" s="2"/>
      <c r="M50" s="2"/>
      <c r="N50" s="18"/>
      <c r="O50" s="13"/>
      <c r="P50" s="2"/>
      <c r="Q50" s="2"/>
      <c r="R50" s="18"/>
      <c r="S50" s="13"/>
      <c r="T50" s="2"/>
      <c r="U50" s="2"/>
      <c r="V50" s="18" t="n">
        <f aca="false">IF(AND(F50*T50&gt;U50,U50&gt;0),U50, F50*T50)</f>
        <v>0</v>
      </c>
      <c r="W50" s="13"/>
      <c r="X50" s="2"/>
      <c r="Y50" s="2"/>
      <c r="Z50" s="18" t="n">
        <f aca="false">IF(AND(F50*X50&gt;Y50,Y50&gt;0),Y50, F50*X50)</f>
        <v>0</v>
      </c>
    </row>
    <row r="51" customFormat="false" ht="15" hidden="false" customHeight="false" outlineLevel="0" collapsed="false">
      <c r="A51" s="13" t="n">
        <v>49</v>
      </c>
      <c r="B51" s="14"/>
      <c r="C51" s="14"/>
      <c r="D51" s="15"/>
      <c r="E51" s="16"/>
      <c r="F51" s="17"/>
      <c r="G51" s="13"/>
      <c r="H51" s="2"/>
      <c r="I51" s="2"/>
      <c r="J51" s="18"/>
      <c r="K51" s="13"/>
      <c r="L51" s="2"/>
      <c r="M51" s="2"/>
      <c r="N51" s="18"/>
      <c r="O51" s="13"/>
      <c r="P51" s="2"/>
      <c r="Q51" s="2"/>
      <c r="R51" s="18"/>
      <c r="S51" s="13"/>
      <c r="T51" s="2"/>
      <c r="U51" s="2"/>
      <c r="V51" s="18" t="n">
        <f aca="false">IF(AND(F51*T51&gt;U51,U51&gt;0),U51, F51*T51)</f>
        <v>0</v>
      </c>
      <c r="W51" s="13"/>
      <c r="X51" s="2"/>
      <c r="Y51" s="2"/>
      <c r="Z51" s="18" t="n">
        <f aca="false">IF(AND(F51*X51&gt;Y51,Y51&gt;0),Y51, F51*X51)</f>
        <v>0</v>
      </c>
    </row>
    <row r="52" customFormat="false" ht="15" hidden="false" customHeight="false" outlineLevel="0" collapsed="false">
      <c r="A52" s="13" t="n">
        <v>50</v>
      </c>
      <c r="B52" s="14" t="s">
        <v>27</v>
      </c>
      <c r="C52" s="14" t="s">
        <v>28</v>
      </c>
      <c r="D52" s="15" t="n">
        <v>40298</v>
      </c>
      <c r="E52" s="16" t="n">
        <v>502</v>
      </c>
      <c r="F52" s="17" t="n">
        <v>54</v>
      </c>
      <c r="G52" s="13" t="n">
        <v>1002</v>
      </c>
      <c r="H52" s="2" t="n">
        <v>0.5</v>
      </c>
      <c r="I52" s="2"/>
      <c r="J52" s="18" t="n">
        <f aca="false">IF(AND(F52*H52&gt;I52,I52&gt;0),I52, F52*H52)</f>
        <v>27</v>
      </c>
      <c r="K52" s="13" t="n">
        <v>1034</v>
      </c>
      <c r="L52" s="2" t="n">
        <v>1</v>
      </c>
      <c r="M52" s="2"/>
      <c r="N52" s="18" t="n">
        <f aca="false">IF(AND(F52*L52&gt;M52,M52&gt;0),M52, F52*L52)</f>
        <v>54</v>
      </c>
      <c r="O52" s="13"/>
      <c r="P52" s="2"/>
      <c r="Q52" s="2"/>
      <c r="R52" s="18"/>
      <c r="S52" s="13"/>
      <c r="T52" s="2"/>
      <c r="U52" s="2"/>
      <c r="V52" s="18" t="n">
        <f aca="false">IF(AND(F52*T52&gt;U52,U52&gt;0),U52, F52*T52)</f>
        <v>0</v>
      </c>
      <c r="W52" s="13"/>
      <c r="X52" s="2"/>
      <c r="Y52" s="2"/>
      <c r="Z52" s="18" t="n">
        <f aca="false">IF(AND(F52*X52&gt;Y52,Y52&gt;0),Y52, F52*X52)</f>
        <v>0</v>
      </c>
    </row>
    <row r="53" customFormat="false" ht="15" hidden="false" customHeight="false" outlineLevel="0" collapsed="false">
      <c r="A53" s="13" t="n">
        <v>51</v>
      </c>
      <c r="B53" s="14" t="s">
        <v>29</v>
      </c>
      <c r="C53" s="14" t="s">
        <v>30</v>
      </c>
      <c r="D53" s="15" t="n">
        <v>42629</v>
      </c>
      <c r="E53" s="16" t="n">
        <v>507</v>
      </c>
      <c r="F53" s="17" t="n">
        <v>102</v>
      </c>
      <c r="G53" s="13"/>
      <c r="H53" s="2"/>
      <c r="I53" s="2"/>
      <c r="J53" s="18"/>
      <c r="K53" s="13"/>
      <c r="L53" s="2"/>
      <c r="M53" s="2"/>
      <c r="N53" s="18"/>
      <c r="O53" s="13"/>
      <c r="P53" s="2"/>
      <c r="Q53" s="2"/>
      <c r="R53" s="18"/>
      <c r="S53" s="13"/>
      <c r="T53" s="2"/>
      <c r="U53" s="2"/>
      <c r="V53" s="18" t="n">
        <f aca="false">IF(AND(F53*T53&gt;U53,U53&gt;0),U53, F53*T53)</f>
        <v>0</v>
      </c>
      <c r="W53" s="13"/>
      <c r="X53" s="2"/>
      <c r="Y53" s="2"/>
      <c r="Z53" s="18" t="n">
        <f aca="false">IF(AND(F53*X53&gt;Y53,Y53&gt;0),Y53, F53*X53)</f>
        <v>0</v>
      </c>
    </row>
    <row r="54" customFormat="false" ht="15" hidden="false" customHeight="false" outlineLevel="0" collapsed="false">
      <c r="A54" s="13" t="n">
        <v>52</v>
      </c>
      <c r="B54" s="14" t="s">
        <v>29</v>
      </c>
      <c r="C54" s="14" t="s">
        <v>31</v>
      </c>
      <c r="D54" s="15" t="n">
        <v>27766</v>
      </c>
      <c r="E54" s="16" t="n">
        <v>507</v>
      </c>
      <c r="F54" s="17" t="n">
        <v>40</v>
      </c>
      <c r="G54" s="13"/>
      <c r="H54" s="2"/>
      <c r="I54" s="2"/>
      <c r="J54" s="18"/>
      <c r="K54" s="13"/>
      <c r="L54" s="2"/>
      <c r="M54" s="2"/>
      <c r="N54" s="18"/>
      <c r="O54" s="13"/>
      <c r="P54" s="2"/>
      <c r="Q54" s="2"/>
      <c r="R54" s="18"/>
      <c r="S54" s="13"/>
      <c r="T54" s="2"/>
      <c r="U54" s="2"/>
      <c r="V54" s="18" t="n">
        <f aca="false">IF(AND(F54*T54&gt;U54,U54&gt;0),U54, F54*T54)</f>
        <v>0</v>
      </c>
      <c r="W54" s="13"/>
      <c r="X54" s="2"/>
      <c r="Y54" s="2"/>
      <c r="Z54" s="18" t="n">
        <f aca="false">IF(AND(F54*X54&gt;Y54,Y54&gt;0),Y54, F54*X54)</f>
        <v>0</v>
      </c>
    </row>
    <row r="55" customFormat="false" ht="15" hidden="false" customHeight="false" outlineLevel="0" collapsed="false">
      <c r="A55" s="13" t="n">
        <v>53</v>
      </c>
      <c r="B55" s="14" t="s">
        <v>29</v>
      </c>
      <c r="C55" s="14" t="s">
        <v>32</v>
      </c>
      <c r="D55" s="15" t="n">
        <v>39823</v>
      </c>
      <c r="E55" s="16" t="n">
        <v>507</v>
      </c>
      <c r="F55" s="17" t="n">
        <v>58</v>
      </c>
      <c r="G55" s="13"/>
      <c r="H55" s="2"/>
      <c r="I55" s="2"/>
      <c r="J55" s="18"/>
      <c r="K55" s="13"/>
      <c r="L55" s="2"/>
      <c r="M55" s="2"/>
      <c r="N55" s="18"/>
      <c r="O55" s="13"/>
      <c r="P55" s="2"/>
      <c r="Q55" s="2"/>
      <c r="R55" s="18"/>
      <c r="S55" s="13"/>
      <c r="T55" s="2"/>
      <c r="U55" s="2"/>
      <c r="V55" s="18" t="n">
        <f aca="false">IF(AND(F55*T55&gt;U55,U55&gt;0),U55, F55*T55)</f>
        <v>0</v>
      </c>
      <c r="W55" s="13"/>
      <c r="X55" s="2"/>
      <c r="Y55" s="2"/>
      <c r="Z55" s="18" t="n">
        <f aca="false">IF(AND(F55*X55&gt;Y55,Y55&gt;0),Y55, F55*X55)</f>
        <v>0</v>
      </c>
    </row>
    <row r="56" customFormat="false" ht="15" hidden="false" customHeight="false" outlineLevel="0" collapsed="false">
      <c r="A56" s="13" t="n">
        <v>54</v>
      </c>
      <c r="B56" s="14" t="s">
        <v>29</v>
      </c>
      <c r="C56" s="14" t="s">
        <v>33</v>
      </c>
      <c r="D56" s="15" t="n">
        <v>27486</v>
      </c>
      <c r="E56" s="16" t="n">
        <v>507</v>
      </c>
      <c r="F56" s="17" t="n">
        <v>38</v>
      </c>
      <c r="G56" s="13"/>
      <c r="H56" s="2"/>
      <c r="I56" s="2"/>
      <c r="J56" s="18"/>
      <c r="K56" s="13"/>
      <c r="L56" s="2"/>
      <c r="M56" s="2"/>
      <c r="N56" s="18"/>
      <c r="O56" s="13"/>
      <c r="P56" s="2"/>
      <c r="Q56" s="2"/>
      <c r="R56" s="18"/>
      <c r="S56" s="13"/>
      <c r="T56" s="2"/>
      <c r="U56" s="2"/>
      <c r="V56" s="18" t="n">
        <f aca="false">IF(AND(F56*T56&gt;U56,U56&gt;0),U56, F56*T56)</f>
        <v>0</v>
      </c>
      <c r="W56" s="13"/>
      <c r="X56" s="2"/>
      <c r="Y56" s="2"/>
      <c r="Z56" s="18" t="n">
        <f aca="false">IF(AND(F56*X56&gt;Y56,Y56&gt;0),Y56, F56*X56)</f>
        <v>0</v>
      </c>
    </row>
    <row r="57" customFormat="false" ht="15" hidden="false" customHeight="false" outlineLevel="0" collapsed="false">
      <c r="A57" s="13" t="n">
        <v>55</v>
      </c>
      <c r="B57" s="14"/>
      <c r="C57" s="14"/>
      <c r="D57" s="15"/>
      <c r="E57" s="16"/>
      <c r="F57" s="17"/>
      <c r="G57" s="13"/>
      <c r="H57" s="2"/>
      <c r="I57" s="2"/>
      <c r="J57" s="18"/>
      <c r="K57" s="13"/>
      <c r="L57" s="2"/>
      <c r="M57" s="2"/>
      <c r="N57" s="18"/>
      <c r="O57" s="13"/>
      <c r="P57" s="2"/>
      <c r="Q57" s="2"/>
      <c r="R57" s="18"/>
      <c r="S57" s="13"/>
      <c r="T57" s="2"/>
      <c r="U57" s="2"/>
      <c r="V57" s="18" t="n">
        <f aca="false">IF(AND(F57*T57&gt;U57,U57&gt;0),U57, F57*T57)</f>
        <v>0</v>
      </c>
      <c r="W57" s="13"/>
      <c r="X57" s="2"/>
      <c r="Y57" s="2"/>
      <c r="Z57" s="18" t="n">
        <f aca="false">IF(AND(F57*X57&gt;Y57,Y57&gt;0),Y57, F57*X57)</f>
        <v>0</v>
      </c>
    </row>
    <row r="58" customFormat="false" ht="15" hidden="false" customHeight="false" outlineLevel="0" collapsed="false">
      <c r="A58" s="13" t="n">
        <v>56</v>
      </c>
      <c r="B58" s="14"/>
      <c r="C58" s="14"/>
      <c r="D58" s="15"/>
      <c r="E58" s="16"/>
      <c r="F58" s="17"/>
      <c r="G58" s="13"/>
      <c r="H58" s="2"/>
      <c r="I58" s="2"/>
      <c r="J58" s="18"/>
      <c r="K58" s="13"/>
      <c r="L58" s="2"/>
      <c r="M58" s="2"/>
      <c r="N58" s="18"/>
      <c r="O58" s="13"/>
      <c r="P58" s="2"/>
      <c r="Q58" s="2"/>
      <c r="R58" s="18"/>
      <c r="S58" s="13"/>
      <c r="T58" s="2"/>
      <c r="U58" s="2"/>
      <c r="V58" s="18" t="n">
        <f aca="false">IF(AND(F58*T58&gt;U58,U58&gt;0),U58, F58*T58)</f>
        <v>0</v>
      </c>
      <c r="W58" s="13"/>
      <c r="X58" s="2"/>
      <c r="Y58" s="2"/>
      <c r="Z58" s="18" t="n">
        <f aca="false">IF(AND(F58*X58&gt;Y58,Y58&gt;0),Y58, F58*X58)</f>
        <v>0</v>
      </c>
    </row>
    <row r="59" customFormat="false" ht="15" hidden="false" customHeight="false" outlineLevel="0" collapsed="false">
      <c r="A59" s="13" t="n">
        <v>57</v>
      </c>
      <c r="B59" s="14"/>
      <c r="C59" s="14"/>
      <c r="D59" s="15"/>
      <c r="E59" s="16"/>
      <c r="F59" s="17"/>
      <c r="G59" s="13"/>
      <c r="H59" s="2"/>
      <c r="I59" s="2"/>
      <c r="J59" s="18"/>
      <c r="K59" s="13"/>
      <c r="L59" s="2"/>
      <c r="M59" s="2"/>
      <c r="N59" s="18"/>
      <c r="O59" s="13"/>
      <c r="P59" s="2"/>
      <c r="Q59" s="2"/>
      <c r="R59" s="18"/>
      <c r="S59" s="13"/>
      <c r="T59" s="2"/>
      <c r="U59" s="2"/>
      <c r="V59" s="18" t="n">
        <f aca="false">IF(AND(F59*T59&gt;U59,U59&gt;0),U59, F59*T59)</f>
        <v>0</v>
      </c>
      <c r="W59" s="13"/>
      <c r="X59" s="2"/>
      <c r="Y59" s="2"/>
      <c r="Z59" s="18" t="n">
        <f aca="false">IF(AND(F59*X59&gt;Y59,Y59&gt;0),Y59, F59*X59)</f>
        <v>0</v>
      </c>
    </row>
    <row r="60" customFormat="false" ht="15" hidden="false" customHeight="false" outlineLevel="0" collapsed="false">
      <c r="A60" s="13" t="n">
        <v>58</v>
      </c>
      <c r="B60" s="14"/>
      <c r="C60" s="14"/>
      <c r="D60" s="15"/>
      <c r="E60" s="16"/>
      <c r="F60" s="17"/>
      <c r="G60" s="13"/>
      <c r="H60" s="2"/>
      <c r="I60" s="2"/>
      <c r="J60" s="18"/>
      <c r="K60" s="13"/>
      <c r="L60" s="2"/>
      <c r="M60" s="2"/>
      <c r="N60" s="18"/>
      <c r="O60" s="13"/>
      <c r="P60" s="2"/>
      <c r="Q60" s="2"/>
      <c r="R60" s="18"/>
      <c r="S60" s="13"/>
      <c r="T60" s="2"/>
      <c r="U60" s="2"/>
      <c r="V60" s="18" t="n">
        <f aca="false">IF(AND(F60*T60&gt;U60,U60&gt;0),U60, F60*T60)</f>
        <v>0</v>
      </c>
      <c r="W60" s="13"/>
      <c r="X60" s="2"/>
      <c r="Y60" s="2"/>
      <c r="Z60" s="18" t="n">
        <f aca="false">IF(AND(F60*X60&gt;Y60,Y60&gt;0),Y60, F60*X60)</f>
        <v>0</v>
      </c>
    </row>
    <row r="61" customFormat="false" ht="15" hidden="false" customHeight="false" outlineLevel="0" collapsed="false">
      <c r="A61" s="13" t="n">
        <v>59</v>
      </c>
      <c r="B61" s="14"/>
      <c r="C61" s="14"/>
      <c r="D61" s="15"/>
      <c r="E61" s="16"/>
      <c r="F61" s="17"/>
      <c r="G61" s="13"/>
      <c r="H61" s="2"/>
      <c r="I61" s="2"/>
      <c r="J61" s="18"/>
      <c r="K61" s="13"/>
      <c r="L61" s="2"/>
      <c r="M61" s="2"/>
      <c r="N61" s="18"/>
      <c r="O61" s="13"/>
      <c r="P61" s="2"/>
      <c r="Q61" s="2"/>
      <c r="R61" s="18"/>
      <c r="S61" s="13"/>
      <c r="T61" s="2"/>
      <c r="U61" s="2"/>
      <c r="V61" s="18" t="n">
        <f aca="false">IF(AND(F61*T61&gt;U61,U61&gt;0),U61, F61*T61)</f>
        <v>0</v>
      </c>
      <c r="W61" s="13"/>
      <c r="X61" s="2"/>
      <c r="Y61" s="2"/>
      <c r="Z61" s="18" t="n">
        <f aca="false">IF(AND(F61*X61&gt;Y61,Y61&gt;0),Y61, F61*X61)</f>
        <v>0</v>
      </c>
    </row>
    <row r="62" customFormat="false" ht="15" hidden="false" customHeight="false" outlineLevel="0" collapsed="false">
      <c r="A62" s="13" t="n">
        <v>60</v>
      </c>
      <c r="B62" s="14"/>
      <c r="C62" s="14"/>
      <c r="D62" s="15"/>
      <c r="E62" s="16"/>
      <c r="F62" s="17"/>
      <c r="G62" s="13"/>
      <c r="H62" s="2"/>
      <c r="I62" s="2"/>
      <c r="J62" s="18"/>
      <c r="K62" s="13"/>
      <c r="L62" s="2"/>
      <c r="M62" s="2"/>
      <c r="N62" s="18"/>
      <c r="O62" s="13"/>
      <c r="P62" s="2"/>
      <c r="Q62" s="2"/>
      <c r="R62" s="18"/>
      <c r="S62" s="13"/>
      <c r="T62" s="2"/>
      <c r="U62" s="2"/>
      <c r="V62" s="18"/>
      <c r="W62" s="13"/>
      <c r="X62" s="2"/>
      <c r="Y62" s="2"/>
      <c r="Z62" s="18" t="n">
        <f aca="false">IF(AND(F62*X62&gt;Y62,Y62&gt;0),Y62, F62*X62)</f>
        <v>0</v>
      </c>
    </row>
    <row r="63" customFormat="false" ht="15" hidden="false" customHeight="false" outlineLevel="0" collapsed="false">
      <c r="A63" s="13" t="n">
        <v>61</v>
      </c>
      <c r="B63" s="14"/>
      <c r="C63" s="14"/>
      <c r="D63" s="15"/>
      <c r="E63" s="16"/>
      <c r="F63" s="17"/>
      <c r="G63" s="13"/>
      <c r="H63" s="2"/>
      <c r="I63" s="2"/>
      <c r="J63" s="18"/>
      <c r="K63" s="13"/>
      <c r="L63" s="2"/>
      <c r="M63" s="2"/>
      <c r="N63" s="18"/>
      <c r="O63" s="13"/>
      <c r="P63" s="2"/>
      <c r="Q63" s="2"/>
      <c r="R63" s="18"/>
      <c r="S63" s="13"/>
      <c r="T63" s="2"/>
      <c r="U63" s="2"/>
      <c r="V63" s="18" t="n">
        <f aca="false">IF(AND(F63*T63&gt;U63,U63&gt;0),U63, F63*T63)</f>
        <v>0</v>
      </c>
      <c r="W63" s="13"/>
      <c r="X63" s="2"/>
      <c r="Y63" s="2"/>
      <c r="Z63" s="18" t="n">
        <f aca="false">IF(AND(F63*X63&gt;Y63,Y63&gt;0),Y63, F63*X63)</f>
        <v>0</v>
      </c>
    </row>
    <row r="64" customFormat="false" ht="15" hidden="false" customHeight="false" outlineLevel="0" collapsed="false">
      <c r="A64" s="13" t="n">
        <v>62</v>
      </c>
      <c r="B64" s="14"/>
      <c r="C64" s="14"/>
      <c r="D64" s="15"/>
      <c r="E64" s="16"/>
      <c r="F64" s="17"/>
      <c r="G64" s="13"/>
      <c r="H64" s="2"/>
      <c r="I64" s="2"/>
      <c r="J64" s="18"/>
      <c r="K64" s="13"/>
      <c r="L64" s="2"/>
      <c r="M64" s="2"/>
      <c r="N64" s="18"/>
      <c r="O64" s="13"/>
      <c r="P64" s="2"/>
      <c r="Q64" s="2"/>
      <c r="R64" s="18"/>
      <c r="S64" s="13"/>
      <c r="T64" s="2"/>
      <c r="U64" s="2"/>
      <c r="V64" s="18" t="n">
        <f aca="false">IF(AND(F64*T64&gt;U64,U64&gt;0),U64, F64*T64)</f>
        <v>0</v>
      </c>
      <c r="W64" s="13"/>
      <c r="X64" s="2"/>
      <c r="Y64" s="2"/>
      <c r="Z64" s="18" t="n">
        <f aca="false">IF(AND(F64*X64&gt;Y64,Y64&gt;0),Y64, F64*X64)</f>
        <v>0</v>
      </c>
    </row>
    <row r="65" customFormat="false" ht="15" hidden="false" customHeight="false" outlineLevel="0" collapsed="false">
      <c r="A65" s="13" t="n">
        <v>63</v>
      </c>
      <c r="B65" s="14"/>
      <c r="C65" s="14"/>
      <c r="D65" s="15"/>
      <c r="E65" s="16"/>
      <c r="F65" s="17"/>
      <c r="G65" s="13"/>
      <c r="H65" s="2"/>
      <c r="I65" s="2"/>
      <c r="J65" s="18"/>
      <c r="K65" s="13"/>
      <c r="L65" s="2"/>
      <c r="M65" s="2"/>
      <c r="N65" s="18"/>
      <c r="O65" s="13"/>
      <c r="P65" s="2"/>
      <c r="Q65" s="2"/>
      <c r="R65" s="18"/>
      <c r="S65" s="13"/>
      <c r="T65" s="2"/>
      <c r="U65" s="2"/>
      <c r="V65" s="18" t="n">
        <f aca="false">IF(AND(F65*T65&gt;U65,U65&gt;0),U65, F65*T65)</f>
        <v>0</v>
      </c>
      <c r="W65" s="13"/>
      <c r="X65" s="2"/>
      <c r="Y65" s="2"/>
      <c r="Z65" s="18" t="n">
        <f aca="false">IF(AND(F65*X65&gt;Y65,Y65&gt;0),Y65, F65*X65)</f>
        <v>0</v>
      </c>
    </row>
    <row r="66" customFormat="false" ht="15" hidden="false" customHeight="false" outlineLevel="0" collapsed="false">
      <c r="A66" s="13" t="n">
        <v>64</v>
      </c>
      <c r="B66" s="14"/>
      <c r="C66" s="14"/>
      <c r="D66" s="15"/>
      <c r="E66" s="16"/>
      <c r="F66" s="17"/>
      <c r="G66" s="13"/>
      <c r="H66" s="2"/>
      <c r="I66" s="2"/>
      <c r="J66" s="18"/>
      <c r="K66" s="13"/>
      <c r="L66" s="2"/>
      <c r="M66" s="2"/>
      <c r="N66" s="18"/>
      <c r="O66" s="13"/>
      <c r="P66" s="2"/>
      <c r="Q66" s="2"/>
      <c r="R66" s="18"/>
      <c r="S66" s="13"/>
      <c r="T66" s="2"/>
      <c r="U66" s="2"/>
      <c r="V66" s="18" t="n">
        <f aca="false">IF(AND(F66*T66&gt;U66,U66&gt;0),U66, F66*T66)</f>
        <v>0</v>
      </c>
      <c r="W66" s="13"/>
      <c r="X66" s="2"/>
      <c r="Y66" s="2"/>
      <c r="Z66" s="18" t="n">
        <f aca="false">IF(AND(F66*X66&gt;Y66,Y66&gt;0),Y66, F66*X66)</f>
        <v>0</v>
      </c>
    </row>
    <row r="67" customFormat="false" ht="15" hidden="false" customHeight="false" outlineLevel="0" collapsed="false">
      <c r="A67" s="13" t="n">
        <v>65</v>
      </c>
      <c r="B67" s="14"/>
      <c r="C67" s="14"/>
      <c r="D67" s="15"/>
      <c r="E67" s="16"/>
      <c r="F67" s="17"/>
      <c r="G67" s="13"/>
      <c r="H67" s="2"/>
      <c r="I67" s="2"/>
      <c r="J67" s="18"/>
      <c r="K67" s="13"/>
      <c r="L67" s="2"/>
      <c r="M67" s="2"/>
      <c r="N67" s="18"/>
      <c r="O67" s="13"/>
      <c r="P67" s="2"/>
      <c r="Q67" s="2"/>
      <c r="R67" s="18"/>
      <c r="S67" s="13"/>
      <c r="T67" s="2"/>
      <c r="U67" s="2"/>
      <c r="V67" s="18" t="n">
        <f aca="false">IF(AND(F67*T67&gt;U67,U67&gt;0),U67, F67*T67)</f>
        <v>0</v>
      </c>
      <c r="W67" s="13"/>
      <c r="X67" s="2"/>
      <c r="Y67" s="2"/>
      <c r="Z67" s="18" t="n">
        <f aca="false">IF(AND(F67*X67&gt;Y67,Y67&gt;0),Y67, F67*X67)</f>
        <v>0</v>
      </c>
    </row>
    <row r="68" customFormat="false" ht="15" hidden="false" customHeight="false" outlineLevel="0" collapsed="false">
      <c r="A68" s="13" t="n">
        <v>66</v>
      </c>
      <c r="B68" s="14"/>
      <c r="C68" s="14"/>
      <c r="D68" s="15"/>
      <c r="E68" s="16"/>
      <c r="F68" s="17"/>
      <c r="G68" s="13"/>
      <c r="H68" s="2"/>
      <c r="I68" s="2"/>
      <c r="J68" s="18"/>
      <c r="K68" s="13"/>
      <c r="L68" s="2"/>
      <c r="M68" s="2"/>
      <c r="N68" s="18"/>
      <c r="O68" s="13"/>
      <c r="P68" s="2"/>
      <c r="Q68" s="2"/>
      <c r="R68" s="18"/>
      <c r="S68" s="13"/>
      <c r="T68" s="2"/>
      <c r="U68" s="2"/>
      <c r="V68" s="18" t="n">
        <f aca="false">IF(AND(F68*T68&gt;U68,U68&gt;0),U68, F68*T68)</f>
        <v>0</v>
      </c>
      <c r="W68" s="13"/>
      <c r="X68" s="2"/>
      <c r="Y68" s="2"/>
      <c r="Z68" s="18" t="n">
        <f aca="false">IF(AND(F68*X68&gt;Y68,Y68&gt;0),Y68, F68*X68)</f>
        <v>0</v>
      </c>
    </row>
    <row r="69" customFormat="false" ht="15" hidden="false" customHeight="false" outlineLevel="0" collapsed="false">
      <c r="A69" s="13" t="n">
        <v>67</v>
      </c>
      <c r="B69" s="14"/>
      <c r="C69" s="14"/>
      <c r="D69" s="15"/>
      <c r="E69" s="16"/>
      <c r="F69" s="17"/>
      <c r="G69" s="13"/>
      <c r="H69" s="2"/>
      <c r="I69" s="2"/>
      <c r="J69" s="18"/>
      <c r="K69" s="13"/>
      <c r="L69" s="2"/>
      <c r="M69" s="2"/>
      <c r="N69" s="18"/>
      <c r="O69" s="13"/>
      <c r="P69" s="2"/>
      <c r="Q69" s="2"/>
      <c r="R69" s="18"/>
      <c r="S69" s="13"/>
      <c r="T69" s="2"/>
      <c r="U69" s="2"/>
      <c r="V69" s="18" t="n">
        <f aca="false">IF(AND(F69*T69&gt;U69,U69&gt;0),U69, F69*T69)</f>
        <v>0</v>
      </c>
      <c r="W69" s="13"/>
      <c r="X69" s="2"/>
      <c r="Y69" s="2"/>
      <c r="Z69" s="18" t="n">
        <f aca="false">IF(AND(F69*X69&gt;Y69,Y69&gt;0),Y69, F69*X69)</f>
        <v>0</v>
      </c>
    </row>
    <row r="70" customFormat="false" ht="15" hidden="false" customHeight="false" outlineLevel="0" collapsed="false">
      <c r="A70" s="13" t="n">
        <v>68</v>
      </c>
      <c r="B70" s="14"/>
      <c r="C70" s="14"/>
      <c r="D70" s="15"/>
      <c r="E70" s="16"/>
      <c r="F70" s="17"/>
      <c r="G70" s="13"/>
      <c r="H70" s="2"/>
      <c r="I70" s="2"/>
      <c r="J70" s="18"/>
      <c r="K70" s="13"/>
      <c r="L70" s="2"/>
      <c r="M70" s="2"/>
      <c r="N70" s="18"/>
      <c r="O70" s="13"/>
      <c r="P70" s="2"/>
      <c r="Q70" s="2"/>
      <c r="R70" s="18"/>
      <c r="S70" s="13"/>
      <c r="T70" s="2"/>
      <c r="U70" s="2"/>
      <c r="V70" s="18" t="n">
        <f aca="false">IF(AND(F70*T70&gt;U70,U70&gt;0),U70, F70*T70)</f>
        <v>0</v>
      </c>
      <c r="W70" s="13"/>
      <c r="X70" s="2"/>
      <c r="Y70" s="2"/>
      <c r="Z70" s="18" t="n">
        <f aca="false">IF(AND(F70*X70&gt;Y70,Y70&gt;0),Y70, F70*X70)</f>
        <v>0</v>
      </c>
    </row>
    <row r="71" customFormat="false" ht="15" hidden="false" customHeight="false" outlineLevel="0" collapsed="false">
      <c r="A71" s="13" t="n">
        <v>69</v>
      </c>
      <c r="B71" s="14"/>
      <c r="C71" s="14"/>
      <c r="D71" s="15"/>
      <c r="E71" s="16"/>
      <c r="F71" s="17"/>
      <c r="G71" s="13"/>
      <c r="H71" s="2"/>
      <c r="I71" s="2"/>
      <c r="J71" s="18"/>
      <c r="K71" s="13"/>
      <c r="L71" s="2"/>
      <c r="M71" s="2"/>
      <c r="N71" s="18"/>
      <c r="O71" s="13"/>
      <c r="P71" s="2"/>
      <c r="Q71" s="2"/>
      <c r="R71" s="18"/>
      <c r="S71" s="13"/>
      <c r="T71" s="2"/>
      <c r="U71" s="2"/>
      <c r="V71" s="18" t="n">
        <f aca="false">IF(AND(F71*T71&gt;U71,U71&gt;0),U71, F71*T71)</f>
        <v>0</v>
      </c>
      <c r="W71" s="13"/>
      <c r="X71" s="2"/>
      <c r="Y71" s="2"/>
      <c r="Z71" s="18" t="n">
        <f aca="false">IF(AND(F71*X71&gt;Y71,Y71&gt;0),Y71, F71*X71)</f>
        <v>0</v>
      </c>
    </row>
    <row r="72" customFormat="false" ht="15" hidden="false" customHeight="false" outlineLevel="0" collapsed="false">
      <c r="A72" s="13" t="n">
        <v>70</v>
      </c>
      <c r="B72" s="1" t="s">
        <v>34</v>
      </c>
      <c r="C72" s="14" t="s">
        <v>35</v>
      </c>
      <c r="D72" s="15" t="n">
        <v>22319</v>
      </c>
      <c r="E72" s="16" t="n">
        <v>508</v>
      </c>
      <c r="F72" s="17" t="n">
        <v>36</v>
      </c>
      <c r="G72" s="13" t="n">
        <v>1109</v>
      </c>
      <c r="H72" s="2" t="n">
        <v>1</v>
      </c>
      <c r="I72" s="2" t="n">
        <v>20</v>
      </c>
      <c r="J72" s="18" t="n">
        <f aca="false">IF(AND(F72*H72&gt;I72,I72&gt;0),I72, F72*H72)</f>
        <v>20</v>
      </c>
      <c r="K72" s="13"/>
      <c r="L72" s="2"/>
      <c r="M72" s="2"/>
      <c r="N72" s="18" t="n">
        <f aca="false">IF(AND(F72*L72&gt;M72,M72&gt;0),M72, F72*L72)</f>
        <v>0</v>
      </c>
      <c r="O72" s="13"/>
      <c r="P72" s="2"/>
      <c r="Q72" s="2"/>
      <c r="R72" s="18" t="n">
        <f aca="false">IF(AND(F72*P72&gt;Q72,Q72&gt;0),Q72, F72*P72)</f>
        <v>0</v>
      </c>
      <c r="S72" s="13"/>
      <c r="T72" s="2"/>
      <c r="U72" s="2"/>
      <c r="V72" s="18" t="n">
        <f aca="false">IF(AND(F72*T72&gt;U72,U72&gt;0),U72, F72*T72)</f>
        <v>0</v>
      </c>
      <c r="W72" s="13"/>
      <c r="X72" s="2"/>
      <c r="Y72" s="2"/>
      <c r="Z72" s="18" t="n">
        <f aca="false">IF(AND(F72*X72&gt;Y72,Y72&gt;0),Y72, F72*X72)</f>
        <v>0</v>
      </c>
    </row>
    <row r="73" customFormat="false" ht="15" hidden="false" customHeight="false" outlineLevel="0" collapsed="false">
      <c r="A73" s="13" t="n">
        <v>71</v>
      </c>
      <c r="B73" s="14" t="s">
        <v>36</v>
      </c>
      <c r="C73" s="14" t="s">
        <v>37</v>
      </c>
      <c r="D73" s="15" t="n">
        <v>21516</v>
      </c>
      <c r="E73" s="16" t="n">
        <v>508</v>
      </c>
      <c r="F73" s="17" t="n">
        <v>22</v>
      </c>
      <c r="G73" s="13" t="n">
        <v>1108</v>
      </c>
      <c r="H73" s="2" t="n">
        <v>1</v>
      </c>
      <c r="I73" s="2" t="n">
        <v>20</v>
      </c>
      <c r="J73" s="18" t="n">
        <f aca="false">IF(AND(F73*H73&gt;I73,I73&gt;0),I73, F73*H73)</f>
        <v>20</v>
      </c>
      <c r="K73" s="13"/>
      <c r="L73" s="2"/>
      <c r="M73" s="2"/>
      <c r="N73" s="18" t="n">
        <f aca="false">IF(AND(F73*L73&gt;M73,M73&gt;0),M73, F73*L73)</f>
        <v>0</v>
      </c>
      <c r="O73" s="13"/>
      <c r="P73" s="2"/>
      <c r="Q73" s="2"/>
      <c r="R73" s="18" t="n">
        <f aca="false">IF(AND(F73*P73&gt;Q73,Q73&gt;0),Q73, F73*P73)</f>
        <v>0</v>
      </c>
      <c r="S73" s="13"/>
      <c r="T73" s="2"/>
      <c r="U73" s="2"/>
      <c r="V73" s="18" t="n">
        <f aca="false">IF(AND(F73*T73&gt;U73,U73&gt;0),U73, F73*T73)</f>
        <v>0</v>
      </c>
      <c r="W73" s="13"/>
      <c r="X73" s="2"/>
      <c r="Y73" s="2"/>
      <c r="Z73" s="18" t="n">
        <f aca="false">IF(AND(F73*X73&gt;Y73,Y73&gt;0),Y73, F73*X73)</f>
        <v>0</v>
      </c>
    </row>
    <row r="74" customFormat="false" ht="15" hidden="false" customHeight="false" outlineLevel="0" collapsed="false">
      <c r="A74" s="13" t="n">
        <v>72</v>
      </c>
      <c r="B74" s="14" t="s">
        <v>38</v>
      </c>
      <c r="C74" s="14" t="s">
        <v>39</v>
      </c>
      <c r="D74" s="15" t="n">
        <v>30400</v>
      </c>
      <c r="E74" s="16" t="n">
        <v>503</v>
      </c>
      <c r="F74" s="17" t="n">
        <v>44</v>
      </c>
      <c r="G74" s="13" t="n">
        <v>1003</v>
      </c>
      <c r="H74" s="2" t="n">
        <v>0.5</v>
      </c>
      <c r="I74" s="2"/>
      <c r="J74" s="18" t="n">
        <f aca="false">IF(AND(F74*H74&gt;I74,I74&gt;0),I74, F74*H74)</f>
        <v>22</v>
      </c>
      <c r="K74" s="13" t="n">
        <v>1115</v>
      </c>
      <c r="L74" s="2" t="n">
        <v>1</v>
      </c>
      <c r="M74" s="2" t="n">
        <v>25</v>
      </c>
      <c r="N74" s="18" t="n">
        <f aca="false">IF(AND(F74*L74&gt;M74,M74&gt;0),M74, F74*L74)</f>
        <v>25</v>
      </c>
      <c r="O74" s="13"/>
      <c r="P74" s="2"/>
      <c r="Q74" s="2"/>
      <c r="R74" s="18" t="n">
        <f aca="false">IF(AND(F74*P74&gt;Q74,Q74&gt;0),Q74, F74*P74)</f>
        <v>0</v>
      </c>
      <c r="S74" s="13"/>
      <c r="T74" s="2"/>
      <c r="U74" s="2"/>
      <c r="V74" s="18" t="n">
        <f aca="false">IF(AND(F74*T74&gt;U74,U74&gt;0),U74, F74*T74)</f>
        <v>0</v>
      </c>
      <c r="W74" s="13"/>
      <c r="X74" s="2"/>
      <c r="Y74" s="2"/>
      <c r="Z74" s="18" t="n">
        <f aca="false">IF(AND(F74*X74&gt;Y74,Y74&gt;0),Y74, F74*X74)</f>
        <v>0</v>
      </c>
    </row>
    <row r="75" customFormat="false" ht="15" hidden="false" customHeight="false" outlineLevel="0" collapsed="false">
      <c r="A75" s="13" t="n">
        <v>73</v>
      </c>
      <c r="B75" s="14" t="s">
        <v>40</v>
      </c>
      <c r="C75" s="14" t="s">
        <v>41</v>
      </c>
      <c r="D75" s="15" t="n">
        <v>42450</v>
      </c>
      <c r="E75" s="16"/>
      <c r="F75" s="17" t="n">
        <v>74</v>
      </c>
      <c r="G75" s="13" t="n">
        <v>1131</v>
      </c>
      <c r="H75" s="2" t="n">
        <v>10</v>
      </c>
      <c r="I75" s="2" t="n">
        <v>10</v>
      </c>
      <c r="J75" s="18" t="n">
        <f aca="false">IF(AND(F75*H75&gt;I75,I75&gt;0),I75, F75*H75)</f>
        <v>10</v>
      </c>
      <c r="K75" s="13"/>
      <c r="L75" s="2"/>
      <c r="M75" s="2"/>
      <c r="N75" s="18" t="n">
        <f aca="false">IF(AND(F75*L75&gt;M75,M75&gt;0),M75, F75*L75)</f>
        <v>0</v>
      </c>
      <c r="O75" s="13"/>
      <c r="P75" s="2"/>
      <c r="Q75" s="2"/>
      <c r="R75" s="18" t="n">
        <f aca="false">IF(AND(F75*P75&gt;Q75,Q75&gt;0),Q75, F75*P75)</f>
        <v>0</v>
      </c>
      <c r="S75" s="13"/>
      <c r="T75" s="2"/>
      <c r="U75" s="2"/>
      <c r="V75" s="18" t="n">
        <f aca="false">IF(AND(F75*T75&gt;U75,U75&gt;0),U75, F75*T75)</f>
        <v>0</v>
      </c>
      <c r="W75" s="13"/>
      <c r="X75" s="2"/>
      <c r="Y75" s="2"/>
      <c r="Z75" s="18" t="n">
        <f aca="false">IF(AND(F75*X75&gt;Y75,Y75&gt;0),Y75, F75*X75)</f>
        <v>0</v>
      </c>
    </row>
    <row r="76" customFormat="false" ht="15" hidden="false" customHeight="false" outlineLevel="0" collapsed="false">
      <c r="A76" s="13" t="n">
        <v>74</v>
      </c>
      <c r="B76" s="14" t="s">
        <v>38</v>
      </c>
      <c r="C76" s="14" t="s">
        <v>42</v>
      </c>
      <c r="D76" s="15" t="n">
        <v>30595</v>
      </c>
      <c r="E76" s="16" t="n">
        <v>502</v>
      </c>
      <c r="F76" s="17" t="n">
        <v>44</v>
      </c>
      <c r="G76" s="13" t="n">
        <v>1002</v>
      </c>
      <c r="H76" s="2" t="n">
        <v>0.5</v>
      </c>
      <c r="I76" s="2"/>
      <c r="J76" s="18" t="n">
        <f aca="false">IF(AND(F76*H76&gt;I76,I76&gt;0),I76, F76*H76)</f>
        <v>22</v>
      </c>
      <c r="K76" s="13" t="n">
        <v>1117</v>
      </c>
      <c r="L76" s="2" t="n">
        <v>0.5</v>
      </c>
      <c r="M76" s="2"/>
      <c r="N76" s="18" t="n">
        <f aca="false">IF(AND(F76*L76&gt;M76,M76&gt;0),M76, F76*L76)</f>
        <v>22</v>
      </c>
      <c r="O76" s="13"/>
      <c r="P76" s="2"/>
      <c r="Q76" s="2"/>
      <c r="R76" s="18" t="n">
        <f aca="false">IF(AND(F76*P76&gt;Q76,Q76&gt;0),Q76, F76*P76)</f>
        <v>0</v>
      </c>
      <c r="S76" s="13"/>
      <c r="T76" s="2"/>
      <c r="U76" s="2"/>
      <c r="V76" s="18" t="n">
        <f aca="false">IF(AND(F76*T76&gt;U76,U76&gt;0),U76, F76*T76)</f>
        <v>0</v>
      </c>
      <c r="W76" s="13"/>
      <c r="X76" s="2"/>
      <c r="Y76" s="2"/>
      <c r="Z76" s="18" t="n">
        <f aca="false">IF(AND(F76*X76&gt;Y76,Y76&gt;0),Y76, F76*X76)</f>
        <v>0</v>
      </c>
    </row>
    <row r="77" customFormat="false" ht="15" hidden="false" customHeight="false" outlineLevel="0" collapsed="false">
      <c r="A77" s="13" t="n">
        <v>75</v>
      </c>
      <c r="B77" s="14" t="s">
        <v>43</v>
      </c>
      <c r="C77" s="14" t="s">
        <v>44</v>
      </c>
      <c r="D77" s="15" t="n">
        <v>39204</v>
      </c>
      <c r="E77" s="16" t="n">
        <v>502</v>
      </c>
      <c r="F77" s="17" t="n">
        <v>44</v>
      </c>
      <c r="G77" s="13" t="n">
        <v>1002</v>
      </c>
      <c r="H77" s="2" t="n">
        <v>0.5</v>
      </c>
      <c r="I77" s="2"/>
      <c r="J77" s="18" t="n">
        <f aca="false">IF(AND(F77*H77&gt;I77,I77&gt;0),I77, F77*H77)</f>
        <v>22</v>
      </c>
      <c r="K77" s="13" t="n">
        <v>1118</v>
      </c>
      <c r="L77" s="2" t="n">
        <v>1</v>
      </c>
      <c r="M77" s="2"/>
      <c r="N77" s="18" t="n">
        <f aca="false">IF(AND(F77*L77&gt;M77,M77&gt;0),M77, F77*L77)</f>
        <v>44</v>
      </c>
      <c r="O77" s="13" t="n">
        <v>1119</v>
      </c>
      <c r="P77" s="2" t="n">
        <v>1</v>
      </c>
      <c r="Q77" s="2"/>
      <c r="R77" s="18" t="n">
        <f aca="false">IF(AND(F77*P77&gt;Q77,Q77&gt;0),Q77, F77*P77)</f>
        <v>44</v>
      </c>
      <c r="S77" s="13"/>
      <c r="T77" s="2"/>
      <c r="U77" s="2"/>
      <c r="V77" s="18" t="n">
        <f aca="false">IF(AND(F77*T77&gt;U77,U77&gt;0),U77, F77*T77)</f>
        <v>0</v>
      </c>
      <c r="W77" s="13"/>
      <c r="X77" s="2"/>
      <c r="Y77" s="2"/>
      <c r="Z77" s="18" t="n">
        <f aca="false">IF(AND(F77*X77&gt;Y77,Y77&gt;0),Y77, F77*X77)</f>
        <v>0</v>
      </c>
    </row>
    <row r="78" customFormat="false" ht="15" hidden="false" customHeight="false" outlineLevel="0" collapsed="false">
      <c r="A78" s="13" t="n">
        <v>76</v>
      </c>
      <c r="B78" s="14" t="s">
        <v>45</v>
      </c>
      <c r="C78" s="14" t="s">
        <v>46</v>
      </c>
      <c r="D78" s="15" t="n">
        <v>41498</v>
      </c>
      <c r="E78" s="16"/>
      <c r="F78" s="17" t="n">
        <v>76</v>
      </c>
      <c r="G78" s="13" t="n">
        <v>1121</v>
      </c>
      <c r="H78" s="2" t="n">
        <v>0.5</v>
      </c>
      <c r="I78" s="2" t="n">
        <v>50</v>
      </c>
      <c r="J78" s="18" t="n">
        <f aca="false">IF(AND(F78*H78&gt;I78,I78&gt;0),I78, F78*H78)</f>
        <v>38</v>
      </c>
      <c r="K78" s="13"/>
      <c r="L78" s="2"/>
      <c r="M78" s="2"/>
      <c r="N78" s="18" t="n">
        <f aca="false">IF(AND(F78*L78&gt;M78,M78&gt;0),M78, F78*L78)</f>
        <v>0</v>
      </c>
      <c r="O78" s="13"/>
      <c r="P78" s="2"/>
      <c r="Q78" s="2"/>
      <c r="R78" s="18" t="n">
        <f aca="false">IF(AND(F78*P78&gt;Q78,Q78&gt;0),Q78, F78*P78)</f>
        <v>0</v>
      </c>
      <c r="S78" s="13"/>
      <c r="T78" s="2"/>
      <c r="U78" s="2"/>
      <c r="V78" s="18" t="n">
        <f aca="false">IF(AND(F78*T78&gt;U78,U78&gt;0),U78, F78*T78)</f>
        <v>0</v>
      </c>
      <c r="W78" s="13"/>
      <c r="X78" s="2"/>
      <c r="Y78" s="2"/>
      <c r="Z78" s="18" t="n">
        <f aca="false">IF(AND(F78*X78&gt;Y78,Y78&gt;0),Y78, F78*X78)</f>
        <v>0</v>
      </c>
    </row>
    <row r="79" customFormat="false" ht="15" hidden="false" customHeight="false" outlineLevel="0" collapsed="false">
      <c r="A79" s="13" t="n">
        <v>77</v>
      </c>
      <c r="B79" s="14" t="s">
        <v>13</v>
      </c>
      <c r="C79" s="14" t="s">
        <v>47</v>
      </c>
      <c r="D79" s="15" t="n">
        <v>43484</v>
      </c>
      <c r="E79" s="16" t="n">
        <v>503.505</v>
      </c>
      <c r="F79" s="17" t="n">
        <v>48</v>
      </c>
      <c r="G79" s="13" t="n">
        <v>1003</v>
      </c>
      <c r="H79" s="2" t="n">
        <v>0.5</v>
      </c>
      <c r="I79" s="2"/>
      <c r="J79" s="18" t="n">
        <f aca="false">IF(AND(F79*H79&gt;I79,I79&gt;0),I79, F79*H79)</f>
        <v>24</v>
      </c>
      <c r="K79" s="13" t="n">
        <v>1005</v>
      </c>
      <c r="L79" s="2" t="n">
        <v>0.5</v>
      </c>
      <c r="M79" s="2"/>
      <c r="N79" s="18" t="n">
        <f aca="false">IF(AND(F79*L79&gt;M79,M79&gt;0),M79, F79*L79)</f>
        <v>24</v>
      </c>
      <c r="O79" s="13" t="n">
        <v>1010</v>
      </c>
      <c r="P79" s="2" t="n">
        <v>0.25</v>
      </c>
      <c r="Q79" s="2"/>
      <c r="R79" s="18" t="n">
        <f aca="false">IF(AND(F79*P79&gt;Q79,Q79&gt;0),Q79, F79*P79)</f>
        <v>12</v>
      </c>
      <c r="S79" s="13"/>
      <c r="T79" s="2"/>
      <c r="U79" s="2"/>
      <c r="V79" s="18" t="n">
        <f aca="false">IF(AND(F79*T79&gt;U79,U79&gt;0),U79, F79*T79)</f>
        <v>0</v>
      </c>
      <c r="W79" s="13"/>
      <c r="X79" s="2"/>
      <c r="Y79" s="2"/>
      <c r="Z79" s="18" t="n">
        <f aca="false">IF(AND(F79*X79&gt;Y79,Y79&gt;0),Y79, F79*X79)</f>
        <v>0</v>
      </c>
    </row>
    <row r="80" customFormat="false" ht="15" hidden="false" customHeight="false" outlineLevel="0" collapsed="false">
      <c r="A80" s="13" t="n">
        <v>78</v>
      </c>
      <c r="B80" s="14" t="s">
        <v>48</v>
      </c>
      <c r="C80" s="14" t="s">
        <v>49</v>
      </c>
      <c r="D80" s="15" t="n">
        <v>32874</v>
      </c>
      <c r="E80" s="16" t="n">
        <v>503.504</v>
      </c>
      <c r="F80" s="17" t="n">
        <v>50</v>
      </c>
      <c r="G80" s="13" t="n">
        <v>1003</v>
      </c>
      <c r="H80" s="2" t="n">
        <v>0.5</v>
      </c>
      <c r="I80" s="2"/>
      <c r="J80" s="18" t="n">
        <f aca="false">IF(AND(F80*H80&gt;I80,I80&gt;0),I80, F80*H80)</f>
        <v>25</v>
      </c>
      <c r="K80" s="13" t="n">
        <v>1004</v>
      </c>
      <c r="L80" s="2" t="n">
        <v>0.5</v>
      </c>
      <c r="M80" s="2"/>
      <c r="N80" s="18" t="n">
        <f aca="false">IF(AND(F80*L80&gt;M80,M80&gt;0),M80, F80*L80)</f>
        <v>25</v>
      </c>
      <c r="O80" s="13"/>
      <c r="P80" s="2"/>
      <c r="Q80" s="2"/>
      <c r="R80" s="18" t="n">
        <f aca="false">IF(AND(F80*P80&gt;Q80,Q80&gt;0),Q80, F80*P80)</f>
        <v>0</v>
      </c>
      <c r="S80" s="13"/>
      <c r="T80" s="2"/>
      <c r="U80" s="2"/>
      <c r="V80" s="18" t="n">
        <f aca="false">IF(AND(F80*T80&gt;U80,U80&gt;0),U80, F80*T80)</f>
        <v>0</v>
      </c>
      <c r="W80" s="13"/>
      <c r="X80" s="2"/>
      <c r="Y80" s="2"/>
      <c r="Z80" s="18" t="n">
        <f aca="false">IF(AND(F80*X80&gt;Y80,Y80&gt;0),Y80, F80*X80)</f>
        <v>0</v>
      </c>
    </row>
    <row r="81" customFormat="false" ht="15" hidden="false" customHeight="false" outlineLevel="0" collapsed="false">
      <c r="A81" s="13" t="n">
        <v>79</v>
      </c>
      <c r="B81" s="14" t="s">
        <v>50</v>
      </c>
      <c r="C81" s="14" t="s">
        <v>51</v>
      </c>
      <c r="D81" s="15" t="n">
        <v>35085</v>
      </c>
      <c r="E81" s="16"/>
      <c r="F81" s="17" t="n">
        <v>46</v>
      </c>
      <c r="G81" s="13" t="n">
        <v>1123</v>
      </c>
      <c r="H81" s="2" t="n">
        <v>5</v>
      </c>
      <c r="I81" s="2"/>
      <c r="J81" s="18" t="n">
        <f aca="false">IF(AND(F81*H81&gt;I81,I81&gt;0),I81, F81*H81)</f>
        <v>230</v>
      </c>
      <c r="K81" s="13"/>
      <c r="L81" s="2"/>
      <c r="M81" s="2"/>
      <c r="N81" s="18" t="n">
        <f aca="false">IF(AND(F81*L81&gt;M81,M81&gt;0),M81, F81*L81)</f>
        <v>0</v>
      </c>
      <c r="O81" s="13"/>
      <c r="P81" s="2"/>
      <c r="Q81" s="2"/>
      <c r="R81" s="18" t="n">
        <f aca="false">IF(AND(F81*P81&gt;Q81,Q81&gt;0),Q81, F81*P81)</f>
        <v>0</v>
      </c>
      <c r="S81" s="13"/>
      <c r="T81" s="2"/>
      <c r="U81" s="2"/>
      <c r="V81" s="18" t="n">
        <f aca="false">IF(AND(F81*T81&gt;U81,U81&gt;0),U81, F81*T81)</f>
        <v>0</v>
      </c>
      <c r="W81" s="13"/>
      <c r="X81" s="2"/>
      <c r="Y81" s="2"/>
      <c r="Z81" s="18" t="n">
        <f aca="false">IF(AND(F81*X81&gt;Y81,Y81&gt;0),Y81, F81*X81)</f>
        <v>0</v>
      </c>
    </row>
    <row r="82" customFormat="false" ht="15" hidden="false" customHeight="false" outlineLevel="0" collapsed="false">
      <c r="A82" s="13" t="n">
        <v>80</v>
      </c>
      <c r="B82" s="14" t="s">
        <v>52</v>
      </c>
      <c r="C82" s="14" t="s">
        <v>53</v>
      </c>
      <c r="D82" s="15" t="n">
        <v>43719</v>
      </c>
      <c r="E82" s="16"/>
      <c r="F82" s="17" t="n">
        <v>32</v>
      </c>
      <c r="G82" s="13" t="n">
        <v>1124</v>
      </c>
      <c r="H82" s="2" t="n">
        <v>1</v>
      </c>
      <c r="I82" s="2"/>
      <c r="J82" s="18" t="n">
        <f aca="false">IF(AND(F82*H82&gt;I82,I82&gt;0),I82, F82*H82)</f>
        <v>32</v>
      </c>
      <c r="K82" s="13"/>
      <c r="L82" s="2"/>
      <c r="M82" s="2"/>
      <c r="N82" s="18" t="n">
        <f aca="false">IF(AND(F82*L82&gt;M82,M82&gt;0),M82, F82*L82)</f>
        <v>0</v>
      </c>
      <c r="O82" s="13"/>
      <c r="P82" s="2"/>
      <c r="Q82" s="2"/>
      <c r="R82" s="18" t="n">
        <f aca="false">IF(AND(F82*P82&gt;Q82,Q82&gt;0),Q82, F82*P82)</f>
        <v>0</v>
      </c>
      <c r="S82" s="13"/>
      <c r="T82" s="2"/>
      <c r="U82" s="2"/>
      <c r="V82" s="18" t="n">
        <f aca="false">IF(AND(F82*T82&gt;U82,U82&gt;0),U82, F82*T82)</f>
        <v>0</v>
      </c>
      <c r="W82" s="13"/>
      <c r="X82" s="2"/>
      <c r="Y82" s="2"/>
      <c r="Z82" s="18" t="n">
        <f aca="false">IF(AND(F82*X82&gt;Y82,Y82&gt;0),Y82, F82*X82)</f>
        <v>0</v>
      </c>
    </row>
    <row r="83" customFormat="false" ht="15" hidden="false" customHeight="false" outlineLevel="0" collapsed="false">
      <c r="A83" s="13" t="n">
        <v>81</v>
      </c>
      <c r="B83" s="14" t="s">
        <v>54</v>
      </c>
      <c r="C83" s="14" t="s">
        <v>55</v>
      </c>
      <c r="D83" s="15" t="n">
        <v>41857</v>
      </c>
      <c r="E83" s="16" t="n">
        <v>503</v>
      </c>
      <c r="F83" s="17" t="n">
        <v>124</v>
      </c>
      <c r="G83" s="13" t="n">
        <v>1003</v>
      </c>
      <c r="H83" s="2" t="n">
        <v>0.5</v>
      </c>
      <c r="I83" s="2"/>
      <c r="J83" s="18" t="n">
        <f aca="false">IF(AND(F83*H83&gt;I83,I83&gt;0),I83, F83*H83)</f>
        <v>62</v>
      </c>
      <c r="K83" s="13" t="n">
        <v>1126</v>
      </c>
      <c r="L83" s="2" t="n">
        <v>1</v>
      </c>
      <c r="M83" s="2" t="n">
        <v>45</v>
      </c>
      <c r="N83" s="18" t="n">
        <f aca="false">IF(AND(F83*L83&gt;M83,M83&gt;0),M83, F83*L83)</f>
        <v>45</v>
      </c>
      <c r="O83" s="13"/>
      <c r="P83" s="2"/>
      <c r="Q83" s="2"/>
      <c r="R83" s="18" t="n">
        <f aca="false">IF(AND(F83*P83&gt;Q83,Q83&gt;0),Q83, F83*P83)</f>
        <v>0</v>
      </c>
      <c r="S83" s="13"/>
      <c r="T83" s="2"/>
      <c r="U83" s="2"/>
      <c r="V83" s="18" t="n">
        <f aca="false">IF(AND(F83*T83&gt;U83,U83&gt;0),U83, F83*T83)</f>
        <v>0</v>
      </c>
      <c r="W83" s="13"/>
      <c r="X83" s="2"/>
      <c r="Y83" s="2"/>
      <c r="Z83" s="18" t="n">
        <f aca="false">IF(AND(F83*X83&gt;Y83,Y83&gt;0),Y83, F83*X83)</f>
        <v>0</v>
      </c>
    </row>
    <row r="84" customFormat="false" ht="15" hidden="false" customHeight="false" outlineLevel="0" collapsed="false">
      <c r="A84" s="13" t="n">
        <v>82</v>
      </c>
      <c r="B84" s="14" t="s">
        <v>56</v>
      </c>
      <c r="C84" s="14" t="s">
        <v>57</v>
      </c>
      <c r="D84" s="15" t="n">
        <v>41475</v>
      </c>
      <c r="E84" s="16" t="n">
        <v>503</v>
      </c>
      <c r="F84" s="17" t="n">
        <v>104</v>
      </c>
      <c r="G84" s="13" t="n">
        <v>1003</v>
      </c>
      <c r="H84" s="2" t="n">
        <v>0.5</v>
      </c>
      <c r="I84" s="2"/>
      <c r="J84" s="18" t="n">
        <f aca="false">IF(AND(F84*H84&gt;I84,I84&gt;0),I84, F84*H84)</f>
        <v>52</v>
      </c>
      <c r="K84" s="13"/>
      <c r="L84" s="2"/>
      <c r="M84" s="2"/>
      <c r="N84" s="18" t="n">
        <f aca="false">IF(AND(F84*L84&gt;M84,M84&gt;0),M84, F84*L84)</f>
        <v>0</v>
      </c>
      <c r="O84" s="13"/>
      <c r="P84" s="2"/>
      <c r="Q84" s="2"/>
      <c r="R84" s="18" t="n">
        <f aca="false">IF(AND(F84*P84&gt;Q84,Q84&gt;0),Q84, F84*P84)</f>
        <v>0</v>
      </c>
      <c r="S84" s="13"/>
      <c r="T84" s="2"/>
      <c r="U84" s="2"/>
      <c r="V84" s="18" t="n">
        <f aca="false">IF(AND(F84*T84&gt;U84,U84&gt;0),U84, F84*T84)</f>
        <v>0</v>
      </c>
      <c r="W84" s="13"/>
      <c r="X84" s="2"/>
      <c r="Y84" s="2"/>
      <c r="Z84" s="18" t="n">
        <f aca="false">IF(AND(F84*X84&gt;Y84,Y84&gt;0),Y84, F84*X84)</f>
        <v>0</v>
      </c>
    </row>
    <row r="85" customFormat="false" ht="15" hidden="false" customHeight="false" outlineLevel="0" collapsed="false">
      <c r="A85" s="13" t="n">
        <v>83</v>
      </c>
      <c r="B85" s="14" t="s">
        <v>58</v>
      </c>
      <c r="C85" s="14" t="s">
        <v>59</v>
      </c>
      <c r="D85" s="15" t="n">
        <v>40445</v>
      </c>
      <c r="E85" s="16" t="n">
        <v>503</v>
      </c>
      <c r="F85" s="17" t="n">
        <v>64</v>
      </c>
      <c r="G85" s="13" t="n">
        <v>1003</v>
      </c>
      <c r="H85" s="2" t="n">
        <v>0.5</v>
      </c>
      <c r="I85" s="2"/>
      <c r="J85" s="18" t="n">
        <f aca="false">IF(AND(F85*H85&gt;I85,I85&gt;0),I85, F85*H85)</f>
        <v>32</v>
      </c>
      <c r="K85" s="13"/>
      <c r="L85" s="2"/>
      <c r="M85" s="2"/>
      <c r="N85" s="18" t="n">
        <f aca="false">IF(AND(F85*L85&gt;M85,M85&gt;0),M85, F85*L85)</f>
        <v>0</v>
      </c>
      <c r="O85" s="13"/>
      <c r="P85" s="2"/>
      <c r="Q85" s="2"/>
      <c r="R85" s="18" t="n">
        <f aca="false">IF(AND(F85*P85&gt;Q85,Q85&gt;0),Q85, F85*P85)</f>
        <v>0</v>
      </c>
      <c r="S85" s="13"/>
      <c r="T85" s="2"/>
      <c r="U85" s="2"/>
      <c r="V85" s="18" t="n">
        <f aca="false">IF(AND(F85*T85&gt;U85,U85&gt;0),U85, F85*T85)</f>
        <v>0</v>
      </c>
      <c r="W85" s="13"/>
      <c r="X85" s="2"/>
      <c r="Y85" s="2"/>
      <c r="Z85" s="18" t="n">
        <f aca="false">IF(AND(F85*X85&gt;Y85,Y85&gt;0),Y85, F85*X85)</f>
        <v>0</v>
      </c>
    </row>
    <row r="86" customFormat="false" ht="15" hidden="false" customHeight="false" outlineLevel="0" collapsed="false">
      <c r="A86" s="13" t="n">
        <v>84</v>
      </c>
      <c r="B86" s="14" t="s">
        <v>54</v>
      </c>
      <c r="C86" s="14" t="s">
        <v>59</v>
      </c>
      <c r="D86" s="15" t="n">
        <v>41857</v>
      </c>
      <c r="E86" s="16" t="n">
        <v>503</v>
      </c>
      <c r="F86" s="17" t="n">
        <v>42</v>
      </c>
      <c r="G86" s="13" t="n">
        <v>1003</v>
      </c>
      <c r="H86" s="2" t="n">
        <v>0.5</v>
      </c>
      <c r="I86" s="2"/>
      <c r="J86" s="18" t="n">
        <f aca="false">IF(AND(F86*H86&gt;I86,I86&gt;0),I86, F86*H86)</f>
        <v>21</v>
      </c>
      <c r="K86" s="13" t="n">
        <v>1126</v>
      </c>
      <c r="L86" s="2" t="n">
        <v>1</v>
      </c>
      <c r="M86" s="2" t="n">
        <v>45</v>
      </c>
      <c r="N86" s="18" t="n">
        <f aca="false">IF(AND(F86*L86&gt;M86,M86&gt;0),M86, F86*L86)</f>
        <v>42</v>
      </c>
      <c r="O86" s="13"/>
      <c r="P86" s="2"/>
      <c r="Q86" s="2"/>
      <c r="R86" s="18" t="n">
        <f aca="false">IF(AND(F86*P86&gt;Q86,Q86&gt;0),Q86, F86*P86)</f>
        <v>0</v>
      </c>
      <c r="S86" s="13"/>
      <c r="T86" s="2"/>
      <c r="U86" s="2"/>
      <c r="V86" s="18" t="n">
        <f aca="false">IF(AND(F86*T86&gt;U86,U86&gt;0),U86, F86*T86)</f>
        <v>0</v>
      </c>
      <c r="W86" s="13"/>
      <c r="X86" s="2"/>
      <c r="Y86" s="2"/>
      <c r="Z86" s="18" t="n">
        <f aca="false">IF(AND(F86*X86&gt;Y86,Y86&gt;0),Y86, F86*X86)</f>
        <v>0</v>
      </c>
    </row>
    <row r="87" customFormat="false" ht="15" hidden="false" customHeight="false" outlineLevel="0" collapsed="false">
      <c r="A87" s="13" t="n">
        <v>85</v>
      </c>
      <c r="B87" s="14" t="s">
        <v>60</v>
      </c>
      <c r="C87" s="14" t="s">
        <v>61</v>
      </c>
      <c r="D87" s="15" t="n">
        <v>26482</v>
      </c>
      <c r="E87" s="16"/>
      <c r="F87" s="17" t="n">
        <v>32</v>
      </c>
      <c r="G87" s="13" t="n">
        <v>1127</v>
      </c>
      <c r="H87" s="2" t="n">
        <v>5</v>
      </c>
      <c r="I87" s="2"/>
      <c r="J87" s="18" t="n">
        <f aca="false">IF(AND(F87*H87&gt;I87,I87&gt;0),I87, F87*H87)</f>
        <v>160</v>
      </c>
      <c r="K87" s="13"/>
      <c r="L87" s="2"/>
      <c r="M87" s="2"/>
      <c r="N87" s="18" t="n">
        <f aca="false">IF(AND(F87*L87&gt;M87,M87&gt;0),M87, F87*L87)</f>
        <v>0</v>
      </c>
      <c r="O87" s="13"/>
      <c r="P87" s="2"/>
      <c r="Q87" s="2"/>
      <c r="R87" s="18" t="n">
        <f aca="false">IF(AND(F87*P87&gt;Q87,Q87&gt;0),Q87, F87*P87)</f>
        <v>0</v>
      </c>
      <c r="S87" s="13"/>
      <c r="T87" s="2"/>
      <c r="U87" s="2"/>
      <c r="V87" s="18" t="n">
        <f aca="false">IF(AND(F87*T87&gt;U87,U87&gt;0),U87, F87*T87)</f>
        <v>0</v>
      </c>
      <c r="W87" s="13"/>
      <c r="X87" s="2"/>
      <c r="Y87" s="2"/>
      <c r="Z87" s="18" t="n">
        <f aca="false">IF(AND(F87*X87&gt;Y87,Y87&gt;0),Y87, F87*X87)</f>
        <v>0</v>
      </c>
    </row>
    <row r="88" customFormat="false" ht="15" hidden="false" customHeight="false" outlineLevel="0" collapsed="false">
      <c r="A88" s="13" t="n">
        <v>86</v>
      </c>
      <c r="B88" s="14" t="s">
        <v>62</v>
      </c>
      <c r="C88" s="14" t="s">
        <v>63</v>
      </c>
      <c r="D88" s="15" t="n">
        <v>25976</v>
      </c>
      <c r="E88" s="16"/>
      <c r="F88" s="17" t="n">
        <v>52</v>
      </c>
      <c r="G88" s="13" t="n">
        <v>1128</v>
      </c>
      <c r="H88" s="2" t="n">
        <v>2.5</v>
      </c>
      <c r="I88" s="2"/>
      <c r="J88" s="18" t="n">
        <f aca="false">IF(AND(F88*H88&gt;I88,I88&gt;0),I88, F88*H88)</f>
        <v>130</v>
      </c>
      <c r="K88" s="13"/>
      <c r="L88" s="2"/>
      <c r="M88" s="2"/>
      <c r="N88" s="18" t="n">
        <f aca="false">IF(AND(F88*L88&gt;M88,M88&gt;0),M88, F88*L88)</f>
        <v>0</v>
      </c>
      <c r="O88" s="13"/>
      <c r="P88" s="2"/>
      <c r="Q88" s="2"/>
      <c r="R88" s="18" t="n">
        <f aca="false">IF(AND(F88*P88&gt;Q88,Q88&gt;0),Q88, F88*P88)</f>
        <v>0</v>
      </c>
      <c r="S88" s="13"/>
      <c r="T88" s="2"/>
      <c r="U88" s="2"/>
      <c r="V88" s="18" t="n">
        <f aca="false">IF(AND(F88*T88&gt;U88,U88&gt;0),U88, F88*T88)</f>
        <v>0</v>
      </c>
      <c r="W88" s="13"/>
      <c r="X88" s="2"/>
      <c r="Y88" s="2"/>
      <c r="Z88" s="18" t="n">
        <f aca="false">IF(AND(F88*X88&gt;Y88,Y88&gt;0),Y88, F88*X88)</f>
        <v>0</v>
      </c>
    </row>
    <row r="89" customFormat="false" ht="15" hidden="false" customHeight="false" outlineLevel="0" collapsed="false">
      <c r="A89" s="13" t="n">
        <v>87</v>
      </c>
      <c r="B89" s="14" t="s">
        <v>64</v>
      </c>
      <c r="C89" s="14" t="s">
        <v>65</v>
      </c>
      <c r="D89" s="15" t="n">
        <v>41934</v>
      </c>
      <c r="E89" s="16" t="n">
        <v>505</v>
      </c>
      <c r="F89" s="17" t="n">
        <v>84</v>
      </c>
      <c r="G89" s="13" t="n">
        <v>1005</v>
      </c>
      <c r="H89" s="2" t="n">
        <v>0.5</v>
      </c>
      <c r="I89" s="2"/>
      <c r="J89" s="18" t="n">
        <f aca="false">IF(AND(F89*H89&gt;I89,I89&gt;0),I89, F89*H89)</f>
        <v>42</v>
      </c>
      <c r="K89" s="13" t="n">
        <v>1129</v>
      </c>
      <c r="L89" s="2" t="n">
        <v>1</v>
      </c>
      <c r="M89" s="2"/>
      <c r="N89" s="18" t="n">
        <f aca="false">IF(AND(F89*L89&gt;M89,M89&gt;0),M89, F89*L89)</f>
        <v>84</v>
      </c>
      <c r="O89" s="13"/>
      <c r="P89" s="2"/>
      <c r="Q89" s="2"/>
      <c r="R89" s="18" t="n">
        <f aca="false">IF(AND(F89*P89&gt;Q89,Q89&gt;0),Q89, F89*P89)</f>
        <v>0</v>
      </c>
      <c r="S89" s="13"/>
      <c r="T89" s="2"/>
      <c r="U89" s="2"/>
      <c r="V89" s="18" t="n">
        <f aca="false">IF(AND(F89*T89&gt;U89,U89&gt;0),U89, F89*T89)</f>
        <v>0</v>
      </c>
      <c r="W89" s="13"/>
      <c r="X89" s="2"/>
      <c r="Y89" s="2"/>
      <c r="Z89" s="18" t="n">
        <f aca="false">IF(AND(F89*X89&gt;Y89,Y89&gt;0),Y89, F89*X89)</f>
        <v>0</v>
      </c>
    </row>
    <row r="90" customFormat="false" ht="15" hidden="false" customHeight="false" outlineLevel="0" collapsed="false">
      <c r="A90" s="13" t="n">
        <v>88</v>
      </c>
      <c r="B90" s="14" t="s">
        <v>64</v>
      </c>
      <c r="C90" s="14" t="s">
        <v>66</v>
      </c>
      <c r="D90" s="15" t="n">
        <v>41321</v>
      </c>
      <c r="E90" s="16" t="n">
        <v>505</v>
      </c>
      <c r="F90" s="17" t="n">
        <v>84</v>
      </c>
      <c r="G90" s="13" t="n">
        <v>1005</v>
      </c>
      <c r="H90" s="2" t="n">
        <v>0.5</v>
      </c>
      <c r="I90" s="2"/>
      <c r="J90" s="18" t="n">
        <f aca="false">IF(AND(F90*H90&gt;I90,I90&gt;0),I90, F90*H90)</f>
        <v>42</v>
      </c>
      <c r="K90" s="13" t="n">
        <v>1129</v>
      </c>
      <c r="L90" s="2" t="n">
        <v>1</v>
      </c>
      <c r="M90" s="2"/>
      <c r="N90" s="18" t="n">
        <f aca="false">IF(AND(F90*L90&gt;M90,M90&gt;0),M90, F90*L90)</f>
        <v>84</v>
      </c>
      <c r="O90" s="13"/>
      <c r="P90" s="2"/>
      <c r="Q90" s="2"/>
      <c r="R90" s="18" t="n">
        <f aca="false">IF(AND(F90*P90&gt;Q90,Q90&gt;0),Q90, F90*P90)</f>
        <v>0</v>
      </c>
      <c r="S90" s="13"/>
      <c r="T90" s="2"/>
      <c r="U90" s="2"/>
      <c r="V90" s="18" t="n">
        <f aca="false">IF(AND(F90*T90&gt;U90,U90&gt;0),U90, F90*T90)</f>
        <v>0</v>
      </c>
      <c r="W90" s="13"/>
      <c r="X90" s="2"/>
      <c r="Y90" s="2"/>
      <c r="Z90" s="18" t="n">
        <f aca="false">IF(AND(F90*X90&gt;Y90,Y90&gt;0),Y90, F90*X90)</f>
        <v>0</v>
      </c>
    </row>
    <row r="91" customFormat="false" ht="15" hidden="false" customHeight="false" outlineLevel="0" collapsed="false">
      <c r="A91" s="13" t="n">
        <v>89</v>
      </c>
      <c r="B91" s="14" t="s">
        <v>67</v>
      </c>
      <c r="C91" s="14" t="s">
        <v>63</v>
      </c>
      <c r="D91" s="15" t="n">
        <v>22924</v>
      </c>
      <c r="E91" s="16"/>
      <c r="F91" s="17" t="n">
        <v>42</v>
      </c>
      <c r="G91" s="13"/>
      <c r="H91" s="2"/>
      <c r="I91" s="2"/>
      <c r="J91" s="18" t="n">
        <f aca="false">IF(AND(F91*H91&gt;I91,I91&gt;0),I91, F91*H91)</f>
        <v>0</v>
      </c>
      <c r="K91" s="13"/>
      <c r="L91" s="2"/>
      <c r="M91" s="2"/>
      <c r="N91" s="18" t="n">
        <f aca="false">IF(AND(F91*L91&gt;M91,M91&gt;0),M91, F91*L91)</f>
        <v>0</v>
      </c>
      <c r="O91" s="13"/>
      <c r="P91" s="2"/>
      <c r="Q91" s="2"/>
      <c r="R91" s="18" t="n">
        <f aca="false">IF(AND(F91*P91&gt;Q91,Q91&gt;0),Q91, F91*P91)</f>
        <v>0</v>
      </c>
      <c r="S91" s="13"/>
      <c r="T91" s="2"/>
      <c r="U91" s="2"/>
      <c r="V91" s="18" t="n">
        <f aca="false">IF(AND(F91*T91&gt;U91,U91&gt;0),U91, F91*T91)</f>
        <v>0</v>
      </c>
      <c r="W91" s="13"/>
      <c r="X91" s="2"/>
      <c r="Y91" s="2"/>
      <c r="Z91" s="18" t="n">
        <f aca="false">IF(AND(F91*X91&gt;Y91,Y91&gt;0),Y91, F91*X91)</f>
        <v>0</v>
      </c>
    </row>
    <row r="92" customFormat="false" ht="15" hidden="false" customHeight="false" outlineLevel="0" collapsed="false">
      <c r="A92" s="13" t="n">
        <v>90</v>
      </c>
      <c r="B92" s="14" t="s">
        <v>68</v>
      </c>
      <c r="C92" s="14" t="s">
        <v>69</v>
      </c>
      <c r="D92" s="15" t="n">
        <v>22647</v>
      </c>
      <c r="E92" s="16"/>
      <c r="F92" s="17" t="n">
        <v>44</v>
      </c>
      <c r="G92" s="13"/>
      <c r="H92" s="2"/>
      <c r="I92" s="2"/>
      <c r="J92" s="18" t="n">
        <f aca="false">IF(AND(F92*H92&gt;I92,I92&gt;0),I92, F92*H92)</f>
        <v>0</v>
      </c>
      <c r="K92" s="13"/>
      <c r="L92" s="2"/>
      <c r="M92" s="2"/>
      <c r="N92" s="18" t="n">
        <f aca="false">IF(AND(F92*L92&gt;M92,M92&gt;0),M92, F92*L92)</f>
        <v>0</v>
      </c>
      <c r="O92" s="13"/>
      <c r="P92" s="2"/>
      <c r="Q92" s="2"/>
      <c r="R92" s="18" t="n">
        <f aca="false">IF(AND(F92*P92&gt;Q92,Q92&gt;0),Q92, F92*P92)</f>
        <v>0</v>
      </c>
      <c r="S92" s="13"/>
      <c r="T92" s="2"/>
      <c r="U92" s="2"/>
      <c r="V92" s="18" t="n">
        <f aca="false">IF(AND(F92*T92&gt;U92,U92&gt;0),U92, F92*T92)</f>
        <v>0</v>
      </c>
      <c r="W92" s="13"/>
      <c r="X92" s="2"/>
      <c r="Y92" s="2"/>
      <c r="Z92" s="18" t="n">
        <f aca="false">IF(AND(F92*X92&gt;Y92,Y92&gt;0),Y92, F92*X92)</f>
        <v>0</v>
      </c>
    </row>
    <row r="93" customFormat="false" ht="15" hidden="false" customHeight="false" outlineLevel="0" collapsed="false">
      <c r="A93" s="13" t="n">
        <v>91</v>
      </c>
      <c r="B93" s="14" t="s">
        <v>56</v>
      </c>
      <c r="C93" s="14" t="s">
        <v>70</v>
      </c>
      <c r="D93" s="15" t="n">
        <v>42325</v>
      </c>
      <c r="E93" s="16"/>
      <c r="F93" s="17" t="n">
        <v>50</v>
      </c>
      <c r="G93" s="13" t="n">
        <v>1130</v>
      </c>
      <c r="H93" s="2" t="n">
        <v>1</v>
      </c>
      <c r="I93" s="2"/>
      <c r="J93" s="18" t="n">
        <f aca="false">IF(AND(F93*H93&gt;I93,I93&gt;0),I93, F93*H93)</f>
        <v>50</v>
      </c>
      <c r="K93" s="13"/>
      <c r="L93" s="2"/>
      <c r="M93" s="2"/>
      <c r="N93" s="18" t="n">
        <f aca="false">IF(AND(F93*L93&gt;M93,M93&gt;0),M93, F93*L93)</f>
        <v>0</v>
      </c>
      <c r="O93" s="13"/>
      <c r="P93" s="2"/>
      <c r="Q93" s="2"/>
      <c r="R93" s="18" t="n">
        <f aca="false">IF(AND(F93*P93&gt;Q93,Q93&gt;0),Q93, F93*P93)</f>
        <v>0</v>
      </c>
      <c r="S93" s="13"/>
      <c r="T93" s="2"/>
      <c r="U93" s="2"/>
      <c r="V93" s="18" t="n">
        <f aca="false">IF(AND(F93*T93&gt;U93,U93&gt;0),U93, F93*T93)</f>
        <v>0</v>
      </c>
      <c r="W93" s="13"/>
      <c r="X93" s="2"/>
      <c r="Y93" s="2"/>
      <c r="Z93" s="18" t="n">
        <f aca="false">IF(AND(F93*X93&gt;Y93,Y93&gt;0),Y93, F93*X93)</f>
        <v>0</v>
      </c>
    </row>
    <row r="94" customFormat="false" ht="15" hidden="false" customHeight="false" outlineLevel="0" collapsed="false">
      <c r="A94" s="13" t="n">
        <v>92</v>
      </c>
      <c r="B94" s="14" t="s">
        <v>71</v>
      </c>
      <c r="C94" s="14" t="s">
        <v>72</v>
      </c>
      <c r="D94" s="15" t="n">
        <v>21845</v>
      </c>
      <c r="E94" s="16"/>
      <c r="F94" s="17" t="n">
        <v>22</v>
      </c>
      <c r="G94" s="13"/>
      <c r="H94" s="2"/>
      <c r="I94" s="2"/>
      <c r="J94" s="18" t="n">
        <f aca="false">IF(AND(F94*H94&gt;I94,I94&gt;0),I94, F94*H94)</f>
        <v>0</v>
      </c>
      <c r="K94" s="13"/>
      <c r="L94" s="2"/>
      <c r="M94" s="2"/>
      <c r="N94" s="18" t="n">
        <f aca="false">IF(AND(F94*L94&gt;M94,M94&gt;0),M94, F94*L94)</f>
        <v>0</v>
      </c>
      <c r="O94" s="13"/>
      <c r="P94" s="2"/>
      <c r="Q94" s="2"/>
      <c r="R94" s="18" t="n">
        <f aca="false">IF(AND(F94*P94&gt;Q94,Q94&gt;0),Q94, F94*P94)</f>
        <v>0</v>
      </c>
      <c r="S94" s="13"/>
      <c r="T94" s="2"/>
      <c r="U94" s="2"/>
      <c r="V94" s="18" t="n">
        <f aca="false">IF(AND(F94*T94&gt;U94,U94&gt;0),U94, F94*T94)</f>
        <v>0</v>
      </c>
      <c r="W94" s="13"/>
      <c r="X94" s="2"/>
      <c r="Y94" s="2"/>
      <c r="Z94" s="18" t="n">
        <f aca="false">IF(AND(F94*X94&gt;Y94,Y94&gt;0),Y94, F94*X94)</f>
        <v>0</v>
      </c>
    </row>
    <row r="95" customFormat="false" ht="15" hidden="false" customHeight="false" outlineLevel="0" collapsed="false">
      <c r="A95" s="13" t="n">
        <v>93</v>
      </c>
      <c r="B95" s="14" t="s">
        <v>73</v>
      </c>
      <c r="C95" s="14" t="s">
        <v>31</v>
      </c>
      <c r="D95" s="15" t="n">
        <v>29077</v>
      </c>
      <c r="E95" s="16"/>
      <c r="F95" s="17" t="n">
        <v>48</v>
      </c>
      <c r="G95" s="13"/>
      <c r="H95" s="2"/>
      <c r="I95" s="2"/>
      <c r="J95" s="18" t="n">
        <f aca="false">IF(AND(F95*H95&gt;I95,I95&gt;0),I95, F95*H95)</f>
        <v>0</v>
      </c>
      <c r="K95" s="13"/>
      <c r="L95" s="2"/>
      <c r="M95" s="2"/>
      <c r="N95" s="18" t="n">
        <f aca="false">IF(AND(F95*L95&gt;M95,M95&gt;0),M95, F95*L95)</f>
        <v>0</v>
      </c>
      <c r="O95" s="13"/>
      <c r="P95" s="2"/>
      <c r="Q95" s="2"/>
      <c r="R95" s="18" t="n">
        <f aca="false">IF(AND(F95*P95&gt;Q95,Q95&gt;0),Q95, F95*P95)</f>
        <v>0</v>
      </c>
      <c r="S95" s="13"/>
      <c r="T95" s="2"/>
      <c r="U95" s="2"/>
      <c r="V95" s="18" t="n">
        <f aca="false">IF(AND(F95*T95&gt;U95,U95&gt;0),U95, F95*T95)</f>
        <v>0</v>
      </c>
      <c r="W95" s="13"/>
      <c r="X95" s="2"/>
      <c r="Y95" s="2"/>
      <c r="Z95" s="18" t="n">
        <f aca="false">IF(AND(F95*X95&gt;Y95,Y95&gt;0),Y95, F95*X95)</f>
        <v>0</v>
      </c>
    </row>
    <row r="96" customFormat="false" ht="15" hidden="false" customHeight="false" outlineLevel="0" collapsed="false">
      <c r="A96" s="13" t="n">
        <v>94</v>
      </c>
      <c r="B96" s="14" t="s">
        <v>74</v>
      </c>
      <c r="C96" s="14" t="s">
        <v>75</v>
      </c>
      <c r="D96" s="15" t="n">
        <v>40592</v>
      </c>
      <c r="E96" s="16" t="n">
        <v>502</v>
      </c>
      <c r="F96" s="17" t="n">
        <v>34</v>
      </c>
      <c r="G96" s="13" t="n">
        <v>1002</v>
      </c>
      <c r="H96" s="2" t="n">
        <v>0.5</v>
      </c>
      <c r="I96" s="2"/>
      <c r="J96" s="18" t="n">
        <f aca="false">IF(AND(F96*H96&gt;I96,I96&gt;0),I96, F96*H96)</f>
        <v>17</v>
      </c>
      <c r="K96" s="13" t="n">
        <v>1133</v>
      </c>
      <c r="L96" s="2" t="n">
        <v>20</v>
      </c>
      <c r="M96" s="2" t="n">
        <v>20</v>
      </c>
      <c r="N96" s="18" t="n">
        <f aca="false">IF(AND(F96*L96&gt;M96,M96&gt;0),M96, F96*L96)</f>
        <v>20</v>
      </c>
      <c r="O96" s="13"/>
      <c r="P96" s="2"/>
      <c r="Q96" s="2"/>
      <c r="R96" s="18" t="n">
        <f aca="false">IF(AND(F96*P96&gt;Q96,Q96&gt;0),Q96, F96*P96)</f>
        <v>0</v>
      </c>
      <c r="S96" s="13"/>
      <c r="T96" s="2"/>
      <c r="U96" s="2"/>
      <c r="V96" s="18" t="n">
        <f aca="false">IF(AND(F96*T96&gt;U96,U96&gt;0),U96, F96*T96)</f>
        <v>0</v>
      </c>
      <c r="W96" s="13"/>
      <c r="X96" s="2"/>
      <c r="Y96" s="2"/>
      <c r="Z96" s="18" t="n">
        <f aca="false">IF(AND(F96*X96&gt;Y96,Y96&gt;0),Y96, F96*X96)</f>
        <v>0</v>
      </c>
    </row>
    <row r="97" customFormat="false" ht="15" hidden="false" customHeight="false" outlineLevel="0" collapsed="false">
      <c r="A97" s="13" t="n">
        <v>95</v>
      </c>
      <c r="B97" s="14" t="s">
        <v>74</v>
      </c>
      <c r="C97" s="14" t="s">
        <v>76</v>
      </c>
      <c r="D97" s="15" t="n">
        <v>27608</v>
      </c>
      <c r="E97" s="16" t="n">
        <v>502</v>
      </c>
      <c r="F97" s="17" t="n">
        <v>24</v>
      </c>
      <c r="G97" s="13" t="n">
        <v>1002</v>
      </c>
      <c r="H97" s="2" t="n">
        <v>0.5</v>
      </c>
      <c r="I97" s="2"/>
      <c r="J97" s="18" t="n">
        <f aca="false">IF(AND(F97*H97&gt;I97,I97&gt;0),I97, F97*H97)</f>
        <v>12</v>
      </c>
      <c r="K97" s="13" t="n">
        <v>1133</v>
      </c>
      <c r="L97" s="2" t="n">
        <v>20</v>
      </c>
      <c r="M97" s="2" t="n">
        <v>20</v>
      </c>
      <c r="N97" s="18" t="n">
        <f aca="false">IF(AND(F97*L97&gt;M97,M97&gt;0),M97, F97*L97)</f>
        <v>20</v>
      </c>
      <c r="O97" s="13"/>
      <c r="P97" s="2"/>
      <c r="Q97" s="2"/>
      <c r="R97" s="18" t="n">
        <f aca="false">IF(AND(F97*P97&gt;Q97,Q97&gt;0),Q97, F97*P97)</f>
        <v>0</v>
      </c>
      <c r="S97" s="13"/>
      <c r="T97" s="2"/>
      <c r="U97" s="2"/>
      <c r="V97" s="18" t="n">
        <f aca="false">IF(AND(F97*T97&gt;U97,U97&gt;0),U97, F97*T97)</f>
        <v>0</v>
      </c>
      <c r="W97" s="13"/>
      <c r="X97" s="2"/>
      <c r="Y97" s="2"/>
      <c r="Z97" s="18" t="n">
        <f aca="false">IF(AND(F97*X97&gt;Y97,Y97&gt;0),Y97, F97*X97)</f>
        <v>0</v>
      </c>
    </row>
    <row r="98" customFormat="false" ht="15" hidden="false" customHeight="false" outlineLevel="0" collapsed="false">
      <c r="A98" s="13" t="n">
        <v>96</v>
      </c>
      <c r="B98" s="14" t="s">
        <v>77</v>
      </c>
      <c r="C98" s="14" t="s">
        <v>78</v>
      </c>
      <c r="D98" s="15" t="n">
        <v>41275</v>
      </c>
      <c r="E98" s="16"/>
      <c r="F98" s="17" t="n">
        <v>36</v>
      </c>
      <c r="G98" s="13"/>
      <c r="H98" s="2"/>
      <c r="I98" s="2"/>
      <c r="J98" s="18" t="n">
        <f aca="false">IF(AND(F98*H98&gt;I98,I98&gt;0),I98, F98*H98)</f>
        <v>0</v>
      </c>
      <c r="K98" s="13"/>
      <c r="L98" s="2"/>
      <c r="M98" s="2"/>
      <c r="N98" s="18" t="n">
        <f aca="false">IF(AND(F98*L98&gt;M98,M98&gt;0),M98, F98*L98)</f>
        <v>0</v>
      </c>
      <c r="O98" s="13"/>
      <c r="P98" s="2"/>
      <c r="Q98" s="2"/>
      <c r="R98" s="18" t="n">
        <f aca="false">IF(AND(F98*P98&gt;Q98,Q98&gt;0),Q98, F98*P98)</f>
        <v>0</v>
      </c>
      <c r="S98" s="13"/>
      <c r="T98" s="2"/>
      <c r="U98" s="2"/>
      <c r="V98" s="18" t="n">
        <f aca="false">IF(AND(F98*T98&gt;U98,U98&gt;0),U98, F98*T98)</f>
        <v>0</v>
      </c>
      <c r="W98" s="13"/>
      <c r="X98" s="2"/>
      <c r="Y98" s="2"/>
      <c r="Z98" s="18" t="n">
        <f aca="false">IF(AND(F98*X98&gt;Y98,Y98&gt;0),Y98, F98*X98)</f>
        <v>0</v>
      </c>
    </row>
    <row r="99" customFormat="false" ht="15" hidden="false" customHeight="false" outlineLevel="0" collapsed="false">
      <c r="A99" s="13" t="n">
        <v>97</v>
      </c>
      <c r="B99" s="14" t="s">
        <v>79</v>
      </c>
      <c r="C99" s="14" t="s">
        <v>80</v>
      </c>
      <c r="D99" s="15" t="n">
        <v>33386</v>
      </c>
      <c r="E99" s="16" t="n">
        <v>502</v>
      </c>
      <c r="F99" s="17" t="n">
        <v>24</v>
      </c>
      <c r="G99" s="13" t="n">
        <v>1002</v>
      </c>
      <c r="H99" s="2" t="n">
        <v>0.5</v>
      </c>
      <c r="I99" s="2"/>
      <c r="J99" s="18" t="n">
        <f aca="false">IF(AND(F99*H99&gt;I99,I99&gt;0),I99, F99*H99)</f>
        <v>12</v>
      </c>
      <c r="K99" s="13"/>
      <c r="L99" s="2"/>
      <c r="M99" s="2"/>
      <c r="N99" s="18" t="n">
        <f aca="false">IF(AND(F99*L99&gt;M99,M99&gt;0),M99, F99*L99)</f>
        <v>0</v>
      </c>
      <c r="O99" s="13"/>
      <c r="P99" s="2"/>
      <c r="Q99" s="2"/>
      <c r="R99" s="18" t="n">
        <f aca="false">IF(AND(F99*P99&gt;Q99,Q99&gt;0),Q99, F99*P99)</f>
        <v>0</v>
      </c>
      <c r="S99" s="13"/>
      <c r="T99" s="2"/>
      <c r="U99" s="2"/>
      <c r="V99" s="18" t="n">
        <f aca="false">IF(AND(F99*T99&gt;U99,U99&gt;0),U99, F99*T99)</f>
        <v>0</v>
      </c>
      <c r="W99" s="13"/>
      <c r="X99" s="2"/>
      <c r="Y99" s="2"/>
      <c r="Z99" s="18" t="n">
        <f aca="false">IF(AND(F99*X99&gt;Y99,Y99&gt;0),Y99, F99*X99)</f>
        <v>0</v>
      </c>
    </row>
    <row r="100" customFormat="false" ht="15" hidden="false" customHeight="false" outlineLevel="0" collapsed="false">
      <c r="A100" s="13" t="n">
        <v>98</v>
      </c>
      <c r="B100" s="14"/>
      <c r="C100" s="14"/>
      <c r="D100" s="15"/>
      <c r="E100" s="16"/>
      <c r="F100" s="17"/>
      <c r="G100" s="13"/>
      <c r="H100" s="2"/>
      <c r="I100" s="2"/>
      <c r="J100" s="18" t="n">
        <f aca="false">IF(AND(F100*H100&gt;I100,I100&gt;0),I100, F100*H100)</f>
        <v>0</v>
      </c>
      <c r="K100" s="13"/>
      <c r="L100" s="2"/>
      <c r="M100" s="2"/>
      <c r="N100" s="18" t="n">
        <f aca="false">IF(AND(F100*L100&gt;M100,M100&gt;0),M100, F100*L100)</f>
        <v>0</v>
      </c>
      <c r="O100" s="13"/>
      <c r="P100" s="2"/>
      <c r="Q100" s="2"/>
      <c r="R100" s="18" t="n">
        <f aca="false">IF(AND(F100*P100&gt;Q100,Q100&gt;0),Q100, F100*P100)</f>
        <v>0</v>
      </c>
    </row>
    <row r="101" customFormat="false" ht="15" hidden="false" customHeight="false" outlineLevel="0" collapsed="false">
      <c r="A101" s="13" t="n">
        <v>99</v>
      </c>
      <c r="B101" s="14" t="s">
        <v>81</v>
      </c>
      <c r="C101" s="14" t="s">
        <v>82</v>
      </c>
      <c r="D101" s="15" t="n">
        <v>33989</v>
      </c>
      <c r="E101" s="16" t="n">
        <v>503.504</v>
      </c>
      <c r="F101" s="17" t="n">
        <v>48</v>
      </c>
      <c r="G101" s="13" t="n">
        <v>1003</v>
      </c>
      <c r="H101" s="2" t="n">
        <v>0.5</v>
      </c>
      <c r="I101" s="2"/>
      <c r="J101" s="18" t="n">
        <f aca="false">IF(AND(F101*H101&gt;I101,I101&gt;0),I101, F101*H101)</f>
        <v>24</v>
      </c>
      <c r="K101" s="13" t="n">
        <v>1004</v>
      </c>
      <c r="L101" s="2" t="n">
        <v>0.5</v>
      </c>
      <c r="M101" s="2"/>
      <c r="N101" s="18" t="n">
        <f aca="false">IF(AND(F101*L101&gt;M101,M101&gt;0),M101, F101*L101)</f>
        <v>24</v>
      </c>
      <c r="O101" s="13" t="n">
        <v>1132</v>
      </c>
      <c r="P101" s="2" t="n">
        <v>2</v>
      </c>
      <c r="Q101" s="2"/>
      <c r="R101" s="18" t="n">
        <f aca="false">IF(AND(F101*P101&gt;Q101,Q101&gt;0),Q101, F101*P101)</f>
        <v>96</v>
      </c>
    </row>
    <row r="102" customFormat="false" ht="15" hidden="false" customHeight="false" outlineLevel="0" collapsed="false">
      <c r="A102" s="13" t="n">
        <v>100</v>
      </c>
      <c r="B102" s="14"/>
      <c r="C102" s="14"/>
      <c r="D102" s="15"/>
      <c r="E102" s="16"/>
      <c r="F102" s="17"/>
      <c r="G102" s="13"/>
      <c r="H102" s="2"/>
      <c r="I102" s="2"/>
      <c r="J102" s="18" t="n">
        <f aca="false">IF(AND(F102*H102&gt;I102,I102&gt;0),I102, F102*H102)</f>
        <v>0</v>
      </c>
      <c r="K102" s="13"/>
      <c r="L102" s="2"/>
      <c r="M102" s="2"/>
      <c r="N102" s="18" t="n">
        <f aca="false">IF(AND(F102*L102&gt;M102,M102&gt;0),M102, F102*L102)</f>
        <v>0</v>
      </c>
      <c r="O102" s="13"/>
      <c r="P102" s="2"/>
      <c r="Q102" s="2"/>
      <c r="R102" s="18" t="n">
        <f aca="false">IF(AND(F102*P102&gt;Q102,Q102&gt;0),Q102, F102*P102)</f>
        <v>0</v>
      </c>
    </row>
    <row r="103" customFormat="false" ht="15" hidden="false" customHeight="false" outlineLevel="0" collapsed="false">
      <c r="A103" s="13" t="n">
        <v>101</v>
      </c>
      <c r="B103" s="14"/>
      <c r="C103" s="14"/>
      <c r="D103" s="15"/>
      <c r="E103" s="16"/>
      <c r="F103" s="17"/>
      <c r="G103" s="13"/>
      <c r="H103" s="2"/>
      <c r="I103" s="2"/>
      <c r="J103" s="18" t="n">
        <f aca="false">SUM(J4:J102)</f>
        <v>1422</v>
      </c>
      <c r="K103" s="13"/>
      <c r="L103" s="2"/>
      <c r="M103" s="2"/>
      <c r="N103" s="18" t="n">
        <f aca="false">SUM(N4:N102)</f>
        <v>663</v>
      </c>
      <c r="O103" s="13"/>
      <c r="P103" s="2"/>
      <c r="Q103" s="2"/>
      <c r="R103" s="18" t="n">
        <f aca="false">SUM(R4:R102)</f>
        <v>283</v>
      </c>
      <c r="S103" s="1" t="n">
        <f aca="false">SUMIF('Stammdaten - Schwimmer'!S$4:S$99,1002,'Stammdaten - Schwimmer'!$F$4:$F$99)</f>
        <v>0</v>
      </c>
      <c r="V103" s="18" t="n">
        <f aca="false">SUM(V4:V102)</f>
        <v>188</v>
      </c>
      <c r="W103" s="22" t="n">
        <f aca="false">J103+N103+R103+V103</f>
        <v>2556</v>
      </c>
    </row>
    <row r="104" customFormat="false" ht="15" hidden="false" customHeight="false" outlineLevel="0" collapsed="false">
      <c r="G104" s="1" t="n">
        <f aca="false">SUMIF('Stammdaten - Schwimmer'!G$4:G$99,1002,'Stammdaten - Schwimmer'!$F$4:$F$99)</f>
        <v>448</v>
      </c>
      <c r="K104" s="1" t="n">
        <f aca="false">SUMIF('Stammdaten - Schwimmer'!K$4:K$99,1002,'Stammdaten - Schwimmer'!$F$4:$F$99)</f>
        <v>0</v>
      </c>
      <c r="O104" s="1" t="n">
        <f aca="false">SUMIF('Stammdaten - Schwimmer'!O$4:O$99,1002,'Stammdaten - Schwimmer'!$F$4:$F$99)</f>
        <v>0</v>
      </c>
      <c r="S104" s="1" t="n">
        <f aca="false">SUMIF('Stammdaten - Schwimmer'!S$4:S$99,'Stammdaten - Sponsoren'!M5,'Stammdaten - Schwimmer'!$F$4:$F$99)</f>
        <v>0</v>
      </c>
      <c r="W104" s="1" t="n">
        <f aca="false">SUMIF('Stammdaten - Schwimmer'!W$4:W$99,'Stammdaten - Sponsoren'!Q5,'Stammdaten - Schwimmer'!$F$4:$F$99)</f>
        <v>0</v>
      </c>
    </row>
    <row r="105" customFormat="false" ht="15" hidden="false" customHeight="false" outlineLevel="0" collapsed="false">
      <c r="G105" s="1" t="n">
        <f aca="false">SUMIF('Stammdaten - Schwimmer'!G$4:G$99,'Stammdaten - Sponsoren'!A6,'Stammdaten - Schwimmer'!$F$4:$F$99)</f>
        <v>800</v>
      </c>
      <c r="K105" s="1" t="n">
        <f aca="false">SUMIF('Stammdaten - Schwimmer'!K$4:K$99,'Stammdaten - Sponsoren'!E6,'Stammdaten - Schwimmer'!$F$4:$F$99)</f>
        <v>0</v>
      </c>
      <c r="O105" s="1" t="n">
        <f aca="false">SUMIF('Stammdaten - Schwimmer'!O$4:O$99,'Stammdaten - Sponsoren'!I6,'Stammdaten - Schwimmer'!$F$4:$F$99)</f>
        <v>0</v>
      </c>
      <c r="S105" s="1" t="n">
        <f aca="false">SUMIF('Stammdaten - Schwimmer'!S$4:S$99,1003,'Stammdaten - Schwimmer'!$F$4:$F$99)</f>
        <v>0</v>
      </c>
      <c r="W105" s="1" t="n">
        <f aca="false">SUMIF('Stammdaten - Schwimmer'!W$4:W$99,1003,'Stammdaten - Schwimmer'!$F$4:$F$99)</f>
        <v>0</v>
      </c>
    </row>
    <row r="106" customFormat="false" ht="15" hidden="false" customHeight="false" outlineLevel="0" collapsed="false">
      <c r="G106" s="1" t="n">
        <f aca="false">SUMIF('Stammdaten - Schwimmer'!G$4:G$99,1003,'Stammdaten - Schwimmer'!$F$4:$F$99)</f>
        <v>800</v>
      </c>
      <c r="K106" s="1" t="n">
        <f aca="false">SUMIF('Stammdaten - Schwimmer'!K$4:K$99,1003,'Stammdaten - Schwimmer'!$F$4:$F$99)</f>
        <v>0</v>
      </c>
      <c r="O106" s="1" t="n">
        <f aca="false">SUMIF('Stammdaten - Schwimmer'!O$4:O$99,1003,'Stammdaten - Schwimmer'!$F$4:$F$99)</f>
        <v>0</v>
      </c>
      <c r="S106" s="1" t="n">
        <f aca="false">SUMIF('Stammdaten - Schwimmer'!S$4:S$99,1029,'Stammdaten - Schwimmer'!$F$4:$F$99)</f>
        <v>0</v>
      </c>
      <c r="W106" s="1" t="n">
        <f aca="false">SUMIF('Stammdaten - Schwimmer'!W$4:W$99,1029,'Stammdaten - Schwimmer'!$F$4:$F$99)</f>
        <v>0</v>
      </c>
    </row>
    <row r="107" customFormat="false" ht="15" hidden="false" customHeight="false" outlineLevel="0" collapsed="false">
      <c r="G107" s="1" t="n">
        <f aca="false">SUMIF('Stammdaten - Schwimmer'!G$4:G$99,1029,'Stammdaten - Schwimmer'!$F$4:$F$99)</f>
        <v>0</v>
      </c>
      <c r="K107" s="1" t="n">
        <f aca="false">SUMIF('Stammdaten - Schwimmer'!K$4:K$99,1029,'Stammdaten - Schwimmer'!$F$4:$F$99)</f>
        <v>0</v>
      </c>
      <c r="O107" s="1" t="n">
        <f aca="false">SUMIF('Stammdaten - Schwimmer'!O$4:O$99,1029,'Stammdaten - Schwimmer'!$F$4:$F$99)</f>
        <v>0</v>
      </c>
    </row>
    <row r="108" customFormat="false" ht="15" hidden="false" customHeight="false" outlineLevel="0" collapsed="false">
      <c r="G108" s="1" t="n">
        <f aca="false">SUMIF('Stammdaten - Schwimmer'!G$4:G$99,1027,'Stammdaten - Schwimmer'!$F$4:$F$99)</f>
        <v>0</v>
      </c>
      <c r="K108" s="1" t="n">
        <f aca="false">SUMIF('Stammdaten - Schwimmer'!K$4:K$99,1027,'Stammdaten - Schwimmer'!$F$4:$F$99)</f>
        <v>0</v>
      </c>
      <c r="O108" s="1" t="n">
        <f aca="false">SUMIF('Stammdaten - Schwimmer'!O$4:O$99,1027,'Stammdaten - Schwimmer'!$F$4:$F$99)</f>
        <v>0</v>
      </c>
    </row>
    <row r="110" customFormat="false" ht="15" hidden="false" customHeight="false" outlineLevel="0" collapsed="false">
      <c r="F110" s="1" t="n">
        <f aca="false">SUM(F4:F109)</f>
        <v>2314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D81" activeCellId="0" sqref="D8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4" min="4" style="23" width="11.43"/>
    <col collapsed="false" customWidth="true" hidden="false" outlineLevel="0" max="14" min="14" style="23" width="11.43"/>
  </cols>
  <sheetData>
    <row r="1" customFormat="false" ht="15" hidden="false" customHeight="false" outlineLevel="0" collapsed="false">
      <c r="A1" s="0" t="s">
        <v>83</v>
      </c>
      <c r="K1" s="0" t="e">
        <f aca="false">#REF!</f>
        <v>#REF!</v>
      </c>
      <c r="L1" s="0" t="e">
        <f aca="false">#REF!</f>
        <v>#REF!</v>
      </c>
      <c r="M1" s="0" t="e">
        <f aca="false">#REF!</f>
        <v>#REF!</v>
      </c>
      <c r="N1" s="23" t="e">
        <f aca="false">#REF!</f>
        <v>#REF!</v>
      </c>
      <c r="O1" s="0" t="e">
        <f aca="false">#REF!</f>
        <v>#REF!</v>
      </c>
      <c r="P1" s="0" t="e">
        <f aca="false">#REF!</f>
        <v>#REF!</v>
      </c>
      <c r="Q1" s="0" t="n">
        <v>50</v>
      </c>
      <c r="R1" s="0" t="e">
        <f aca="false">P1*Q1</f>
        <v>#REF!</v>
      </c>
    </row>
    <row r="2" customFormat="false" ht="28.35" hidden="false" customHeight="false" outlineLevel="0" collapsed="false">
      <c r="A2" s="0" t="str">
        <f aca="false">'Stammdaten - Schwimmer'!A3</f>
        <v>Nummer</v>
      </c>
      <c r="B2" s="0" t="str">
        <f aca="false">'Stammdaten - Schwimmer'!B3</f>
        <v>Name </v>
      </c>
      <c r="C2" s="0" t="str">
        <f aca="false">'Stammdaten - Schwimmer'!C3</f>
        <v>Vormname</v>
      </c>
      <c r="D2" s="23" t="str">
        <f aca="false">'Stammdaten - Schwimmer'!D3</f>
        <v>Geburtstag</v>
      </c>
      <c r="E2" s="0" t="str">
        <f aca="false">'Stammdaten - Schwimmer'!E3</f>
        <v>Mannschaft</v>
      </c>
      <c r="F2" s="0" t="str">
        <f aca="false">'Stammdaten - Schwimmer'!F3</f>
        <v>Anzahl
Bahnen</v>
      </c>
      <c r="K2" s="0" t="n">
        <f aca="false">'Stammdaten - Schwimmer'!A4</f>
        <v>2</v>
      </c>
      <c r="L2" s="0" t="e">
        <f aca="false">'stammdaten - schwimmer'!#ref!</f>
        <v>#VALUE!</v>
      </c>
      <c r="M2" s="0" t="e">
        <f aca="false">'stammdaten - schwimmer'!#ref!</f>
        <v>#VALUE!</v>
      </c>
      <c r="N2" s="23" t="e">
        <f aca="false">'stammdaten - schwimmer'!#ref!</f>
        <v>#VALUE!</v>
      </c>
      <c r="O2" s="0" t="e">
        <f aca="false">'stammdaten - schwimmer'!#ref!</f>
        <v>#VALUE!</v>
      </c>
      <c r="P2" s="0" t="e">
        <f aca="false">'stammdaten - schwimmer'!#ref!</f>
        <v>#VALUE!</v>
      </c>
      <c r="Q2" s="0" t="n">
        <v>25</v>
      </c>
      <c r="R2" s="0" t="e">
        <f aca="false">P2*Q2</f>
        <v>#VALUE!</v>
      </c>
    </row>
    <row r="3" customFormat="false" ht="15" hidden="false" customHeight="false" outlineLevel="0" collapsed="false">
      <c r="A3" s="0" t="n">
        <f aca="false">'Stammdaten - Schwimmer'!A82</f>
        <v>80</v>
      </c>
      <c r="B3" s="0" t="str">
        <f aca="false">'Stammdaten - Schwimmer'!B82</f>
        <v>Schönefeld</v>
      </c>
      <c r="C3" s="0" t="str">
        <f aca="false">'Stammdaten - Schwimmer'!C82</f>
        <v>Frida Marie</v>
      </c>
      <c r="D3" s="23" t="n">
        <f aca="false">'Stammdaten - Schwimmer'!D82</f>
        <v>43719</v>
      </c>
      <c r="E3" s="0" t="n">
        <f aca="false">'Stammdaten - Schwimmer'!E82</f>
        <v>0</v>
      </c>
      <c r="F3" s="0" t="n">
        <f aca="false">'Stammdaten - Schwimmer'!F82</f>
        <v>32</v>
      </c>
      <c r="K3" s="0" t="n">
        <f aca="false">'Stammdaten - Schwimmer'!A5</f>
        <v>3</v>
      </c>
      <c r="L3" s="0" t="n">
        <f aca="false">'Stammdaten - Schwimmer'!B5</f>
        <v>0</v>
      </c>
      <c r="M3" s="0" t="n">
        <f aca="false">'Stammdaten - Schwimmer'!C5</f>
        <v>0</v>
      </c>
      <c r="N3" s="23" t="n">
        <f aca="false">'Stammdaten - Schwimmer'!D5</f>
        <v>0</v>
      </c>
      <c r="O3" s="0" t="n">
        <f aca="false">'Stammdaten - Schwimmer'!E5</f>
        <v>0</v>
      </c>
      <c r="P3" s="0" t="n">
        <f aca="false">'Stammdaten - Schwimmer'!F5</f>
        <v>0</v>
      </c>
      <c r="Q3" s="0" t="n">
        <v>25</v>
      </c>
      <c r="R3" s="0" t="n">
        <f aca="false">P3*Q3</f>
        <v>0</v>
      </c>
    </row>
    <row r="4" customFormat="false" ht="15" hidden="false" customHeight="false" outlineLevel="0" collapsed="false">
      <c r="A4" s="0" t="n">
        <f aca="false">'Stammdaten - Schwimmer'!A32</f>
        <v>30</v>
      </c>
      <c r="B4" s="0" t="str">
        <f aca="false">'Stammdaten - Schwimmer'!B32</f>
        <v>Kombacher</v>
      </c>
      <c r="C4" s="0" t="str">
        <f aca="false">'Stammdaten - Schwimmer'!C32</f>
        <v>Mia</v>
      </c>
      <c r="D4" s="23" t="n">
        <f aca="false">'Stammdaten - Schwimmer'!D32</f>
        <v>43635</v>
      </c>
      <c r="E4" s="0" t="n">
        <f aca="false">'Stammdaten - Schwimmer'!E32</f>
        <v>502</v>
      </c>
      <c r="F4" s="0" t="n">
        <f aca="false">'Stammdaten - Schwimmer'!F32</f>
        <v>40</v>
      </c>
      <c r="K4" s="0" t="n">
        <f aca="false">'Stammdaten - Schwimmer'!A6</f>
        <v>4</v>
      </c>
      <c r="L4" s="0" t="n">
        <f aca="false">'Stammdaten - Schwimmer'!B6</f>
        <v>0</v>
      </c>
      <c r="M4" s="0" t="n">
        <f aca="false">'Stammdaten - Schwimmer'!C6</f>
        <v>0</v>
      </c>
      <c r="N4" s="23" t="n">
        <f aca="false">'Stammdaten - Schwimmer'!D6</f>
        <v>0</v>
      </c>
      <c r="O4" s="0" t="n">
        <f aca="false">'Stammdaten - Schwimmer'!E6</f>
        <v>0</v>
      </c>
      <c r="P4" s="0" t="n">
        <f aca="false">'Stammdaten - Schwimmer'!F6</f>
        <v>0</v>
      </c>
      <c r="Q4" s="0" t="n">
        <v>50</v>
      </c>
      <c r="R4" s="0" t="n">
        <f aca="false">P4*Q4</f>
        <v>0</v>
      </c>
    </row>
    <row r="5" customFormat="false" ht="15" hidden="false" customHeight="false" outlineLevel="0" collapsed="false">
      <c r="A5" s="0" t="n">
        <f aca="false">'Stammdaten - Schwimmer'!A79</f>
        <v>77</v>
      </c>
      <c r="B5" s="0" t="str">
        <f aca="false">'Stammdaten - Schwimmer'!B79</f>
        <v>Rink</v>
      </c>
      <c r="C5" s="0" t="str">
        <f aca="false">'Stammdaten - Schwimmer'!C79</f>
        <v>Henrik</v>
      </c>
      <c r="D5" s="23" t="n">
        <f aca="false">'Stammdaten - Schwimmer'!D79</f>
        <v>43484</v>
      </c>
      <c r="E5" s="0" t="n">
        <f aca="false">'Stammdaten - Schwimmer'!E79</f>
        <v>503.505</v>
      </c>
      <c r="F5" s="0" t="n">
        <f aca="false">'Stammdaten - Schwimmer'!F79</f>
        <v>48</v>
      </c>
      <c r="K5" s="0" t="n">
        <f aca="false">'Stammdaten - Schwimmer'!A7</f>
        <v>5</v>
      </c>
      <c r="L5" s="0" t="str">
        <f aca="false">'Stammdaten - Schwimmer'!B7</f>
        <v>Rink</v>
      </c>
      <c r="M5" s="0" t="str">
        <f aca="false">'Stammdaten - Schwimmer'!C7</f>
        <v>Wiebke</v>
      </c>
      <c r="N5" s="23" t="n">
        <f aca="false">'Stammdaten - Schwimmer'!D7</f>
        <v>42566</v>
      </c>
      <c r="O5" s="0" t="n">
        <f aca="false">'Stammdaten - Schwimmer'!E7</f>
        <v>503.505</v>
      </c>
      <c r="P5" s="0" t="n">
        <f aca="false">'Stammdaten - Schwimmer'!F7</f>
        <v>76</v>
      </c>
      <c r="Q5" s="0" t="n">
        <v>25</v>
      </c>
      <c r="R5" s="0" t="n">
        <f aca="false">P5*Q5</f>
        <v>1900</v>
      </c>
    </row>
    <row r="6" customFormat="false" ht="15" hidden="false" customHeight="false" outlineLevel="0" collapsed="false">
      <c r="A6" s="0" t="n">
        <f aca="false">'Stammdaten - Schwimmer'!A7</f>
        <v>5</v>
      </c>
      <c r="B6" s="0" t="str">
        <f aca="false">'Stammdaten - Schwimmer'!B7</f>
        <v>Rink</v>
      </c>
      <c r="C6" s="0" t="str">
        <f aca="false">'Stammdaten - Schwimmer'!C7</f>
        <v>Wiebke</v>
      </c>
      <c r="D6" s="23" t="n">
        <f aca="false">'Stammdaten - Schwimmer'!D7</f>
        <v>42566</v>
      </c>
      <c r="E6" s="0" t="n">
        <f aca="false">'Stammdaten - Schwimmer'!E7</f>
        <v>503.505</v>
      </c>
      <c r="F6" s="0" t="n">
        <f aca="false">'Stammdaten - Schwimmer'!F7</f>
        <v>76</v>
      </c>
      <c r="K6" s="0" t="n">
        <f aca="false">'Stammdaten - Schwimmer'!A8</f>
        <v>6</v>
      </c>
      <c r="L6" s="0" t="str">
        <f aca="false">'Stammdaten - Schwimmer'!B8</f>
        <v>Künsemüller</v>
      </c>
      <c r="M6" s="0" t="str">
        <f aca="false">'Stammdaten - Schwimmer'!C8</f>
        <v>Viktoria</v>
      </c>
      <c r="N6" s="23" t="n">
        <f aca="false">'Stammdaten - Schwimmer'!D8</f>
        <v>40021</v>
      </c>
      <c r="O6" s="0" t="n">
        <f aca="false">'Stammdaten - Schwimmer'!E8</f>
        <v>503</v>
      </c>
      <c r="P6" s="0" t="n">
        <f aca="false">'Stammdaten - Schwimmer'!F8</f>
        <v>58</v>
      </c>
      <c r="Q6" s="0" t="n">
        <v>50</v>
      </c>
      <c r="R6" s="0" t="n">
        <f aca="false">P6*Q6</f>
        <v>2900</v>
      </c>
    </row>
    <row r="7" customFormat="false" ht="15" hidden="false" customHeight="false" outlineLevel="0" collapsed="false">
      <c r="A7" s="0" t="n">
        <f aca="false">'Stammdaten - Schwimmer'!A36</f>
        <v>34</v>
      </c>
      <c r="B7" s="0" t="n">
        <f aca="false">'Stammdaten - Schwimmer'!B36</f>
        <v>0</v>
      </c>
      <c r="C7" s="0" t="n">
        <f aca="false">'Stammdaten - Schwimmer'!C36</f>
        <v>0</v>
      </c>
      <c r="D7" s="23" t="n">
        <f aca="false">'Stammdaten - Schwimmer'!D36</f>
        <v>0</v>
      </c>
      <c r="E7" s="0" t="n">
        <f aca="false">'Stammdaten - Schwimmer'!E36</f>
        <v>0</v>
      </c>
      <c r="F7" s="0" t="n">
        <f aca="false">'Stammdaten - Schwimmer'!F36</f>
        <v>0</v>
      </c>
      <c r="K7" s="0" t="n">
        <f aca="false">'Stammdaten - Schwimmer'!A9</f>
        <v>7</v>
      </c>
      <c r="L7" s="0" t="n">
        <f aca="false">'Stammdaten - Schwimmer'!B9</f>
        <v>0</v>
      </c>
      <c r="M7" s="0" t="n">
        <f aca="false">'Stammdaten - Schwimmer'!C9</f>
        <v>0</v>
      </c>
      <c r="N7" s="23" t="n">
        <f aca="false">'Stammdaten - Schwimmer'!D9</f>
        <v>0</v>
      </c>
      <c r="O7" s="0" t="n">
        <f aca="false">'Stammdaten - Schwimmer'!E9</f>
        <v>0</v>
      </c>
      <c r="P7" s="0" t="n">
        <f aca="false">'Stammdaten - Schwimmer'!F9</f>
        <v>0</v>
      </c>
      <c r="Q7" s="0" t="n">
        <v>50</v>
      </c>
      <c r="R7" s="0" t="n">
        <f aca="false">P7*Q7</f>
        <v>0</v>
      </c>
    </row>
    <row r="8" customFormat="false" ht="15" hidden="false" customHeight="false" outlineLevel="0" collapsed="false">
      <c r="A8" s="0" t="n">
        <f aca="false">'Stammdaten - Schwimmer'!A37</f>
        <v>35</v>
      </c>
      <c r="B8" s="0" t="str">
        <f aca="false">'Stammdaten - Schwimmer'!B37</f>
        <v>Kombacher</v>
      </c>
      <c r="C8" s="0" t="str">
        <f aca="false">'Stammdaten - Schwimmer'!C37</f>
        <v>Sara</v>
      </c>
      <c r="D8" s="23" t="n">
        <f aca="false">'Stammdaten - Schwimmer'!D37</f>
        <v>42528</v>
      </c>
      <c r="E8" s="0" t="n">
        <f aca="false">'Stammdaten - Schwimmer'!E37</f>
        <v>502</v>
      </c>
      <c r="F8" s="0" t="n">
        <f aca="false">'Stammdaten - Schwimmer'!F37</f>
        <v>84</v>
      </c>
      <c r="K8" s="0" t="n">
        <f aca="false">'Stammdaten - Schwimmer'!A10</f>
        <v>8</v>
      </c>
      <c r="L8" s="0" t="n">
        <f aca="false">'Stammdaten - Schwimmer'!B10</f>
        <v>0</v>
      </c>
      <c r="M8" s="0" t="n">
        <f aca="false">'Stammdaten - Schwimmer'!C10</f>
        <v>0</v>
      </c>
      <c r="N8" s="23" t="n">
        <f aca="false">'Stammdaten - Schwimmer'!D10</f>
        <v>0</v>
      </c>
      <c r="O8" s="0" t="n">
        <f aca="false">'Stammdaten - Schwimmer'!E10</f>
        <v>0</v>
      </c>
      <c r="P8" s="0" t="n">
        <f aca="false">'Stammdaten - Schwimmer'!F10</f>
        <v>0</v>
      </c>
      <c r="Q8" s="0" t="n">
        <v>50</v>
      </c>
      <c r="R8" s="0" t="n">
        <f aca="false">P8*Q8</f>
        <v>0</v>
      </c>
    </row>
    <row r="9" customFormat="false" ht="15" hidden="false" customHeight="false" outlineLevel="0" collapsed="false">
      <c r="A9" s="0" t="n">
        <f aca="false">'Stammdaten - Schwimmer'!A75</f>
        <v>73</v>
      </c>
      <c r="B9" s="0" t="str">
        <f aca="false">'Stammdaten - Schwimmer'!B75</f>
        <v>Glaser</v>
      </c>
      <c r="C9" s="0" t="str">
        <f aca="false">'Stammdaten - Schwimmer'!C75</f>
        <v>Mila</v>
      </c>
      <c r="D9" s="23" t="n">
        <f aca="false">'Stammdaten - Schwimmer'!D75</f>
        <v>42450</v>
      </c>
      <c r="E9" s="0" t="n">
        <f aca="false">'Stammdaten - Schwimmer'!E75</f>
        <v>0</v>
      </c>
      <c r="F9" s="0" t="n">
        <f aca="false">'Stammdaten - Schwimmer'!F75</f>
        <v>74</v>
      </c>
      <c r="K9" s="0" t="n">
        <f aca="false">'Stammdaten - Schwimmer'!A11</f>
        <v>9</v>
      </c>
      <c r="L9" s="0" t="n">
        <f aca="false">'Stammdaten - Schwimmer'!B4</f>
        <v>0</v>
      </c>
      <c r="M9" s="0" t="n">
        <f aca="false">'Stammdaten - Schwimmer'!C4</f>
        <v>0</v>
      </c>
      <c r="N9" s="23" t="n">
        <f aca="false">'Stammdaten - Schwimmer'!D4</f>
        <v>0</v>
      </c>
      <c r="O9" s="0" t="n">
        <f aca="false">'Stammdaten - Schwimmer'!E4</f>
        <v>0</v>
      </c>
      <c r="P9" s="0" t="n">
        <f aca="false">'Stammdaten - Schwimmer'!F4</f>
        <v>0</v>
      </c>
      <c r="Q9" s="0" t="n">
        <v>50</v>
      </c>
      <c r="R9" s="0" t="n">
        <f aca="false">P9*Q9</f>
        <v>0</v>
      </c>
    </row>
    <row r="10" customFormat="false" ht="15" hidden="false" customHeight="false" outlineLevel="0" collapsed="false">
      <c r="A10" s="0" t="n">
        <f aca="false">'Stammdaten - Schwimmer'!A93</f>
        <v>91</v>
      </c>
      <c r="B10" s="0" t="str">
        <f aca="false">'Stammdaten - Schwimmer'!B93</f>
        <v>Veit</v>
      </c>
      <c r="C10" s="0" t="str">
        <f aca="false">'Stammdaten - Schwimmer'!C93</f>
        <v>Konstantin</v>
      </c>
      <c r="D10" s="23" t="n">
        <f aca="false">'Stammdaten - Schwimmer'!D93</f>
        <v>42325</v>
      </c>
      <c r="E10" s="0" t="n">
        <f aca="false">'Stammdaten - Schwimmer'!E93</f>
        <v>0</v>
      </c>
      <c r="F10" s="0" t="n">
        <f aca="false">'Stammdaten - Schwimmer'!F93</f>
        <v>50</v>
      </c>
      <c r="K10" s="0" t="n">
        <f aca="false">'Stammdaten - Schwimmer'!A12</f>
        <v>10</v>
      </c>
      <c r="L10" s="0" t="n">
        <f aca="false">'Stammdaten - Schwimmer'!B12</f>
        <v>0</v>
      </c>
      <c r="M10" s="0" t="n">
        <f aca="false">'Stammdaten - Schwimmer'!C12</f>
        <v>0</v>
      </c>
      <c r="N10" s="23" t="n">
        <f aca="false">'Stammdaten - Schwimmer'!D12</f>
        <v>0</v>
      </c>
      <c r="O10" s="0" t="n">
        <f aca="false">'Stammdaten - Schwimmer'!E12</f>
        <v>0</v>
      </c>
      <c r="P10" s="0" t="n">
        <f aca="false">'Stammdaten - Schwimmer'!F12</f>
        <v>0</v>
      </c>
      <c r="Q10" s="0" t="n">
        <v>50</v>
      </c>
      <c r="R10" s="0" t="n">
        <f aca="false">P10*Q10</f>
        <v>0</v>
      </c>
    </row>
    <row r="11" customFormat="false" ht="15" hidden="false" customHeight="false" outlineLevel="0" collapsed="false">
      <c r="A11" s="0" t="n">
        <f aca="false">'Stammdaten - Schwimmer'!A89</f>
        <v>87</v>
      </c>
      <c r="B11" s="0" t="str">
        <f aca="false">'Stammdaten - Schwimmer'!B89</f>
        <v>Tutsch</v>
      </c>
      <c r="C11" s="0" t="str">
        <f aca="false">'Stammdaten - Schwimmer'!C89</f>
        <v>Linda</v>
      </c>
      <c r="D11" s="23" t="n">
        <f aca="false">'Stammdaten - Schwimmer'!D89</f>
        <v>41934</v>
      </c>
      <c r="E11" s="0" t="n">
        <f aca="false">'Stammdaten - Schwimmer'!E89</f>
        <v>505</v>
      </c>
      <c r="F11" s="0" t="n">
        <f aca="false">'Stammdaten - Schwimmer'!F89</f>
        <v>84</v>
      </c>
      <c r="K11" s="0" t="n">
        <f aca="false">'Stammdaten - Schwimmer'!A13</f>
        <v>11</v>
      </c>
      <c r="L11" s="0" t="n">
        <f aca="false">'Stammdaten - Schwimmer'!B13</f>
        <v>0</v>
      </c>
      <c r="M11" s="0" t="n">
        <f aca="false">'Stammdaten - Schwimmer'!C13</f>
        <v>0</v>
      </c>
      <c r="N11" s="23" t="n">
        <f aca="false">'Stammdaten - Schwimmer'!D13</f>
        <v>0</v>
      </c>
      <c r="O11" s="0" t="n">
        <f aca="false">'Stammdaten - Schwimmer'!E13</f>
        <v>0</v>
      </c>
      <c r="P11" s="0" t="n">
        <f aca="false">'Stammdaten - Schwimmer'!F13</f>
        <v>0</v>
      </c>
      <c r="Q11" s="0" t="n">
        <v>50</v>
      </c>
      <c r="R11" s="0" t="n">
        <f aca="false">P11*Q11</f>
        <v>0</v>
      </c>
    </row>
    <row r="12" customFormat="false" ht="15" hidden="false" customHeight="false" outlineLevel="0" collapsed="false">
      <c r="A12" s="0" t="n">
        <f aca="false">'Stammdaten - Schwimmer'!A83</f>
        <v>81</v>
      </c>
      <c r="B12" s="0" t="str">
        <f aca="false">'Stammdaten - Schwimmer'!B83</f>
        <v>Mauer</v>
      </c>
      <c r="C12" s="0" t="str">
        <f aca="false">'Stammdaten - Schwimmer'!C83</f>
        <v>Mika</v>
      </c>
      <c r="D12" s="23" t="n">
        <f aca="false">'Stammdaten - Schwimmer'!D83</f>
        <v>41857</v>
      </c>
      <c r="E12" s="0" t="n">
        <f aca="false">'Stammdaten - Schwimmer'!E83</f>
        <v>503</v>
      </c>
      <c r="F12" s="0" t="n">
        <f aca="false">'Stammdaten - Schwimmer'!F83</f>
        <v>124</v>
      </c>
      <c r="K12" s="0" t="n">
        <f aca="false">'Stammdaten - Schwimmer'!A14</f>
        <v>12</v>
      </c>
      <c r="L12" s="0" t="n">
        <f aca="false">'Stammdaten - Schwimmer'!B14</f>
        <v>0</v>
      </c>
      <c r="M12" s="0" t="n">
        <f aca="false">'Stammdaten - Schwimmer'!C14</f>
        <v>0</v>
      </c>
      <c r="N12" s="23" t="n">
        <f aca="false">'Stammdaten - Schwimmer'!D14</f>
        <v>0</v>
      </c>
      <c r="O12" s="0" t="n">
        <f aca="false">'Stammdaten - Schwimmer'!E14</f>
        <v>0</v>
      </c>
      <c r="P12" s="0" t="n">
        <f aca="false">'Stammdaten - Schwimmer'!F14</f>
        <v>0</v>
      </c>
      <c r="Q12" s="0" t="n">
        <v>50</v>
      </c>
      <c r="R12" s="0" t="n">
        <f aca="false">P12*Q12</f>
        <v>0</v>
      </c>
    </row>
    <row r="13" customFormat="false" ht="15" hidden="false" customHeight="false" outlineLevel="0" collapsed="false">
      <c r="A13" s="0" t="n">
        <f aca="false">'Stammdaten - Schwimmer'!A86</f>
        <v>84</v>
      </c>
      <c r="B13" s="0" t="str">
        <f aca="false">'Stammdaten - Schwimmer'!B86</f>
        <v>Mauer</v>
      </c>
      <c r="C13" s="0" t="str">
        <f aca="false">'Stammdaten - Schwimmer'!C86</f>
        <v>Jana</v>
      </c>
      <c r="D13" s="23" t="n">
        <f aca="false">'Stammdaten - Schwimmer'!D86</f>
        <v>41857</v>
      </c>
      <c r="E13" s="0" t="n">
        <f aca="false">'Stammdaten - Schwimmer'!E86</f>
        <v>503</v>
      </c>
      <c r="F13" s="0" t="n">
        <f aca="false">'Stammdaten - Schwimmer'!F86</f>
        <v>42</v>
      </c>
      <c r="K13" s="0" t="n">
        <f aca="false">'Stammdaten - Schwimmer'!A15</f>
        <v>13</v>
      </c>
      <c r="L13" s="0" t="n">
        <f aca="false">'Stammdaten - Schwimmer'!B15</f>
        <v>0</v>
      </c>
      <c r="M13" s="0" t="n">
        <f aca="false">'Stammdaten - Schwimmer'!C15</f>
        <v>0</v>
      </c>
      <c r="N13" s="23" t="n">
        <f aca="false">'Stammdaten - Schwimmer'!D15</f>
        <v>0</v>
      </c>
      <c r="O13" s="0" t="n">
        <f aca="false">'Stammdaten - Schwimmer'!E15</f>
        <v>0</v>
      </c>
      <c r="P13" s="0" t="n">
        <f aca="false">'Stammdaten - Schwimmer'!F15</f>
        <v>0</v>
      </c>
      <c r="Q13" s="0" t="n">
        <v>50</v>
      </c>
      <c r="R13" s="0" t="n">
        <f aca="false">P13*Q13</f>
        <v>0</v>
      </c>
    </row>
    <row r="14" customFormat="false" ht="15" hidden="false" customHeight="false" outlineLevel="0" collapsed="false">
      <c r="A14" s="0" t="n">
        <f aca="false">'Stammdaten - Schwimmer'!A34</f>
        <v>32</v>
      </c>
      <c r="B14" s="0" t="n">
        <f aca="false">'Stammdaten - Schwimmer'!B34</f>
        <v>0</v>
      </c>
      <c r="C14" s="0" t="n">
        <f aca="false">'Stammdaten - Schwimmer'!C34</f>
        <v>0</v>
      </c>
      <c r="D14" s="23" t="n">
        <f aca="false">'Stammdaten - Schwimmer'!D34</f>
        <v>0</v>
      </c>
      <c r="E14" s="0" t="n">
        <f aca="false">'Stammdaten - Schwimmer'!E34</f>
        <v>0</v>
      </c>
      <c r="F14" s="0" t="n">
        <f aca="false">'Stammdaten - Schwimmer'!F34</f>
        <v>0</v>
      </c>
      <c r="K14" s="0" t="n">
        <f aca="false">'Stammdaten - Schwimmer'!A16</f>
        <v>14</v>
      </c>
      <c r="L14" s="0" t="n">
        <f aca="false">'Stammdaten - Schwimmer'!B16</f>
        <v>0</v>
      </c>
      <c r="M14" s="0" t="n">
        <f aca="false">'Stammdaten - Schwimmer'!C16</f>
        <v>0</v>
      </c>
      <c r="N14" s="23" t="n">
        <f aca="false">'Stammdaten - Schwimmer'!D16</f>
        <v>0</v>
      </c>
      <c r="O14" s="0" t="n">
        <f aca="false">'Stammdaten - Schwimmer'!E16</f>
        <v>0</v>
      </c>
      <c r="P14" s="0" t="n">
        <f aca="false">'Stammdaten - Schwimmer'!F16</f>
        <v>0</v>
      </c>
      <c r="Q14" s="0" t="n">
        <v>25</v>
      </c>
      <c r="R14" s="0" t="n">
        <f aca="false">P14*Q14</f>
        <v>0</v>
      </c>
    </row>
    <row r="15" customFormat="false" ht="15" hidden="false" customHeight="false" outlineLevel="0" collapsed="false">
      <c r="A15" s="0" t="n">
        <f aca="false">'Stammdaten - Schwimmer'!A35</f>
        <v>33</v>
      </c>
      <c r="B15" s="0" t="str">
        <f aca="false">'Stammdaten - Schwimmer'!B35</f>
        <v>Kombacher</v>
      </c>
      <c r="C15" s="0" t="str">
        <f aca="false">'Stammdaten - Schwimmer'!C35</f>
        <v>Lea</v>
      </c>
      <c r="D15" s="23" t="n">
        <f aca="false">'Stammdaten - Schwimmer'!D35</f>
        <v>41712</v>
      </c>
      <c r="E15" s="0" t="n">
        <f aca="false">'Stammdaten - Schwimmer'!E35</f>
        <v>502</v>
      </c>
      <c r="F15" s="0" t="n">
        <f aca="false">'Stammdaten - Schwimmer'!F35</f>
        <v>54</v>
      </c>
      <c r="K15" s="0" t="n">
        <f aca="false">'Stammdaten - Schwimmer'!A17</f>
        <v>15</v>
      </c>
      <c r="L15" s="0" t="n">
        <f aca="false">'Stammdaten - Schwimmer'!B17</f>
        <v>0</v>
      </c>
      <c r="M15" s="0" t="n">
        <f aca="false">'Stammdaten - Schwimmer'!C17</f>
        <v>0</v>
      </c>
      <c r="N15" s="23" t="n">
        <f aca="false">'Stammdaten - Schwimmer'!D17</f>
        <v>0</v>
      </c>
      <c r="O15" s="0" t="n">
        <f aca="false">'Stammdaten - Schwimmer'!E17</f>
        <v>0</v>
      </c>
      <c r="P15" s="0" t="n">
        <f aca="false">'Stammdaten - Schwimmer'!F17</f>
        <v>0</v>
      </c>
      <c r="Q15" s="0" t="n">
        <v>25</v>
      </c>
      <c r="R15" s="0" t="n">
        <f aca="false">P15*Q15</f>
        <v>0</v>
      </c>
    </row>
    <row r="16" customFormat="false" ht="15" hidden="false" customHeight="false" outlineLevel="0" collapsed="false">
      <c r="A16" s="0" t="n">
        <f aca="false">'Stammdaten - Schwimmer'!A78</f>
        <v>76</v>
      </c>
      <c r="B16" s="0" t="str">
        <f aca="false">'Stammdaten - Schwimmer'!B78</f>
        <v>Wohlers</v>
      </c>
      <c r="C16" s="0" t="str">
        <f aca="false">'Stammdaten - Schwimmer'!C78</f>
        <v>Valentin</v>
      </c>
      <c r="D16" s="23" t="n">
        <f aca="false">'Stammdaten - Schwimmer'!D78</f>
        <v>41498</v>
      </c>
      <c r="E16" s="0" t="n">
        <f aca="false">'Stammdaten - Schwimmer'!E78</f>
        <v>0</v>
      </c>
      <c r="F16" s="0" t="n">
        <f aca="false">'Stammdaten - Schwimmer'!F78</f>
        <v>76</v>
      </c>
      <c r="K16" s="0" t="n">
        <f aca="false">'Stammdaten - Schwimmer'!A18</f>
        <v>16</v>
      </c>
      <c r="L16" s="0" t="n">
        <f aca="false">'Stammdaten - Schwimmer'!B18</f>
        <v>0</v>
      </c>
      <c r="M16" s="0" t="n">
        <f aca="false">'Stammdaten - Schwimmer'!C18</f>
        <v>0</v>
      </c>
      <c r="N16" s="23" t="n">
        <f aca="false">'Stammdaten - Schwimmer'!D18</f>
        <v>0</v>
      </c>
      <c r="O16" s="0" t="n">
        <f aca="false">'Stammdaten - Schwimmer'!E18</f>
        <v>0</v>
      </c>
      <c r="P16" s="0" t="n">
        <f aca="false">'Stammdaten - Schwimmer'!F18</f>
        <v>0</v>
      </c>
      <c r="Q16" s="0" t="n">
        <v>50</v>
      </c>
      <c r="R16" s="0" t="n">
        <f aca="false">P16*Q16</f>
        <v>0</v>
      </c>
    </row>
    <row r="17" customFormat="false" ht="15" hidden="false" customHeight="false" outlineLevel="0" collapsed="false">
      <c r="A17" s="0" t="n">
        <f aca="false">'Stammdaten - Schwimmer'!A84</f>
        <v>82</v>
      </c>
      <c r="B17" s="0" t="str">
        <f aca="false">'Stammdaten - Schwimmer'!B84</f>
        <v>Veit</v>
      </c>
      <c r="C17" s="0" t="str">
        <f aca="false">'Stammdaten - Schwimmer'!C84</f>
        <v>Dorothea</v>
      </c>
      <c r="D17" s="23" t="n">
        <f aca="false">'Stammdaten - Schwimmer'!D84</f>
        <v>41475</v>
      </c>
      <c r="E17" s="0" t="n">
        <f aca="false">'Stammdaten - Schwimmer'!E84</f>
        <v>503</v>
      </c>
      <c r="F17" s="0" t="n">
        <f aca="false">'Stammdaten - Schwimmer'!F84</f>
        <v>104</v>
      </c>
      <c r="K17" s="0" t="n">
        <f aca="false">'Stammdaten - Schwimmer'!A19</f>
        <v>17</v>
      </c>
      <c r="L17" s="0" t="n">
        <f aca="false">'Stammdaten - Schwimmer'!B19</f>
        <v>0</v>
      </c>
      <c r="M17" s="0" t="n">
        <f aca="false">'Stammdaten - Schwimmer'!C19</f>
        <v>0</v>
      </c>
      <c r="N17" s="23" t="n">
        <f aca="false">'Stammdaten - Schwimmer'!D19</f>
        <v>0</v>
      </c>
      <c r="O17" s="0" t="n">
        <f aca="false">'Stammdaten - Schwimmer'!E19</f>
        <v>0</v>
      </c>
      <c r="P17" s="0" t="n">
        <f aca="false">'Stammdaten - Schwimmer'!F19</f>
        <v>0</v>
      </c>
      <c r="Q17" s="0" t="n">
        <v>25</v>
      </c>
      <c r="R17" s="0" t="n">
        <f aca="false">P17*Q17</f>
        <v>0</v>
      </c>
    </row>
    <row r="18" customFormat="false" ht="15" hidden="false" customHeight="false" outlineLevel="0" collapsed="false">
      <c r="A18" s="0" t="n">
        <f aca="false">'Stammdaten - Schwimmer'!A90</f>
        <v>88</v>
      </c>
      <c r="B18" s="0" t="str">
        <f aca="false">'Stammdaten - Schwimmer'!B90</f>
        <v>Tutsch</v>
      </c>
      <c r="C18" s="0" t="str">
        <f aca="false">'Stammdaten - Schwimmer'!C90</f>
        <v>Daniel</v>
      </c>
      <c r="D18" s="23" t="n">
        <f aca="false">'Stammdaten - Schwimmer'!D90</f>
        <v>41321</v>
      </c>
      <c r="E18" s="0" t="n">
        <f aca="false">'Stammdaten - Schwimmer'!E90</f>
        <v>505</v>
      </c>
      <c r="F18" s="0" t="n">
        <f aca="false">'Stammdaten - Schwimmer'!F90</f>
        <v>84</v>
      </c>
      <c r="K18" s="0" t="n">
        <f aca="false">'Stammdaten - Schwimmer'!A20</f>
        <v>18</v>
      </c>
      <c r="L18" s="0" t="n">
        <f aca="false">'Stammdaten - Schwimmer'!B20</f>
        <v>0</v>
      </c>
      <c r="M18" s="0" t="n">
        <f aca="false">'Stammdaten - Schwimmer'!C20</f>
        <v>0</v>
      </c>
      <c r="N18" s="23" t="n">
        <f aca="false">'Stammdaten - Schwimmer'!D20</f>
        <v>0</v>
      </c>
      <c r="O18" s="0" t="n">
        <f aca="false">'Stammdaten - Schwimmer'!E20</f>
        <v>0</v>
      </c>
      <c r="P18" s="0" t="n">
        <f aca="false">'Stammdaten - Schwimmer'!F20</f>
        <v>0</v>
      </c>
      <c r="Q18" s="0" t="n">
        <v>25</v>
      </c>
      <c r="R18" s="0" t="n">
        <f aca="false">P18*Q18</f>
        <v>0</v>
      </c>
    </row>
    <row r="19" customFormat="false" ht="15" hidden="false" customHeight="false" outlineLevel="0" collapsed="false">
      <c r="A19" s="24" t="n">
        <f aca="false">'Stammdaten - Schwimmer'!A98</f>
        <v>96</v>
      </c>
      <c r="B19" s="24" t="str">
        <f aca="false">'Stammdaten - Schwimmer'!B98</f>
        <v>Schule</v>
      </c>
      <c r="C19" s="24" t="str">
        <f aca="false">'Stammdaten - Schwimmer'!C98</f>
        <v>Malik</v>
      </c>
      <c r="D19" s="25" t="n">
        <f aca="false">'Stammdaten - Schwimmer'!D98</f>
        <v>41275</v>
      </c>
      <c r="E19" s="24" t="n">
        <f aca="false">'Stammdaten - Schwimmer'!E98</f>
        <v>0</v>
      </c>
      <c r="F19" s="24" t="n">
        <f aca="false">'Stammdaten - Schwimmer'!F98</f>
        <v>36</v>
      </c>
      <c r="K19" s="0" t="n">
        <f aca="false">'Stammdaten - Schwimmer'!A21</f>
        <v>19</v>
      </c>
      <c r="L19" s="0" t="n">
        <f aca="false">'Stammdaten - Schwimmer'!B21</f>
        <v>0</v>
      </c>
      <c r="M19" s="0" t="n">
        <f aca="false">'Stammdaten - Schwimmer'!C21</f>
        <v>0</v>
      </c>
      <c r="N19" s="23" t="n">
        <f aca="false">'Stammdaten - Schwimmer'!D21</f>
        <v>0</v>
      </c>
      <c r="O19" s="0" t="n">
        <f aca="false">'Stammdaten - Schwimmer'!E21</f>
        <v>0</v>
      </c>
      <c r="P19" s="0" t="n">
        <f aca="false">'Stammdaten - Schwimmer'!F21</f>
        <v>0</v>
      </c>
      <c r="Q19" s="0" t="n">
        <v>25</v>
      </c>
      <c r="R19" s="0" t="n">
        <f aca="false">P19*Q19</f>
        <v>0</v>
      </c>
    </row>
    <row r="20" customFormat="false" ht="15" hidden="false" customHeight="false" outlineLevel="0" collapsed="false">
      <c r="A20" s="0" t="n">
        <f aca="false">'Stammdaten - Schwimmer'!A11</f>
        <v>9</v>
      </c>
      <c r="B20" s="0" t="str">
        <f aca="false">'Stammdaten - Schwimmer'!B11</f>
        <v>Künsemüller</v>
      </c>
      <c r="C20" s="0" t="str">
        <f aca="false">'Stammdaten - Schwimmer'!C11</f>
        <v>Jessika</v>
      </c>
      <c r="D20" s="23" t="n">
        <f aca="false">'Stammdaten - Schwimmer'!D11</f>
        <v>40654</v>
      </c>
      <c r="E20" s="0" t="n">
        <f aca="false">'Stammdaten - Schwimmer'!E11</f>
        <v>503</v>
      </c>
      <c r="F20" s="0" t="n">
        <f aca="false">'Stammdaten - Schwimmer'!F11</f>
        <v>70</v>
      </c>
      <c r="K20" s="0" t="n">
        <f aca="false">'Stammdaten - Schwimmer'!A22</f>
        <v>20</v>
      </c>
      <c r="L20" s="0" t="n">
        <f aca="false">'Stammdaten - Schwimmer'!B22</f>
        <v>0</v>
      </c>
      <c r="M20" s="0" t="n">
        <f aca="false">'Stammdaten - Schwimmer'!C22</f>
        <v>0</v>
      </c>
      <c r="N20" s="23" t="n">
        <f aca="false">'Stammdaten - Schwimmer'!D22</f>
        <v>0</v>
      </c>
      <c r="O20" s="0" t="n">
        <f aca="false">'Stammdaten - Schwimmer'!E22</f>
        <v>0</v>
      </c>
      <c r="P20" s="0" t="n">
        <f aca="false">'Stammdaten - Schwimmer'!F22</f>
        <v>0</v>
      </c>
      <c r="Q20" s="0" t="n">
        <v>50</v>
      </c>
      <c r="R20" s="0" t="n">
        <f aca="false">P20*Q20</f>
        <v>0</v>
      </c>
    </row>
    <row r="21" customFormat="false" ht="15" hidden="false" customHeight="false" outlineLevel="0" collapsed="false">
      <c r="A21" s="0" t="n">
        <f aca="false">'Stammdaten - Schwimmer'!A96</f>
        <v>94</v>
      </c>
      <c r="B21" s="0" t="str">
        <f aca="false">'Stammdaten - Schwimmer'!B96</f>
        <v>Kaiser</v>
      </c>
      <c r="C21" s="0" t="str">
        <f aca="false">'Stammdaten - Schwimmer'!C96</f>
        <v>Denis</v>
      </c>
      <c r="D21" s="23" t="n">
        <f aca="false">'Stammdaten - Schwimmer'!D96</f>
        <v>40592</v>
      </c>
      <c r="E21" s="0" t="n">
        <f aca="false">'Stammdaten - Schwimmer'!E96</f>
        <v>502</v>
      </c>
      <c r="F21" s="0" t="n">
        <f aca="false">'Stammdaten - Schwimmer'!F96</f>
        <v>34</v>
      </c>
      <c r="K21" s="0" t="n">
        <f aca="false">'Stammdaten - Schwimmer'!A23</f>
        <v>21</v>
      </c>
      <c r="L21" s="0" t="n">
        <f aca="false">'Stammdaten - Schwimmer'!B23</f>
        <v>0</v>
      </c>
      <c r="M21" s="0" t="n">
        <f aca="false">'Stammdaten - Schwimmer'!C23</f>
        <v>0</v>
      </c>
      <c r="N21" s="23" t="n">
        <f aca="false">'Stammdaten - Schwimmer'!D23</f>
        <v>0</v>
      </c>
      <c r="O21" s="0" t="n">
        <f aca="false">'Stammdaten - Schwimmer'!E23</f>
        <v>0</v>
      </c>
      <c r="P21" s="0" t="n">
        <f aca="false">'Stammdaten - Schwimmer'!F23</f>
        <v>0</v>
      </c>
      <c r="Q21" s="0" t="n">
        <v>50</v>
      </c>
      <c r="R21" s="0" t="n">
        <f aca="false">P21*Q21</f>
        <v>0</v>
      </c>
    </row>
    <row r="22" customFormat="false" ht="15" hidden="false" customHeight="false" outlineLevel="0" collapsed="false">
      <c r="A22" s="0" t="n">
        <f aca="false">'Stammdaten - Schwimmer'!A85</f>
        <v>83</v>
      </c>
      <c r="B22" s="0" t="str">
        <f aca="false">'Stammdaten - Schwimmer'!B85</f>
        <v>Heineke</v>
      </c>
      <c r="C22" s="0" t="str">
        <f aca="false">'Stammdaten - Schwimmer'!C85</f>
        <v>Jana</v>
      </c>
      <c r="D22" s="23" t="n">
        <f aca="false">'Stammdaten - Schwimmer'!D85</f>
        <v>40445</v>
      </c>
      <c r="E22" s="0" t="n">
        <f aca="false">'Stammdaten - Schwimmer'!E85</f>
        <v>503</v>
      </c>
      <c r="F22" s="0" t="n">
        <f aca="false">'Stammdaten - Schwimmer'!F85</f>
        <v>64</v>
      </c>
      <c r="K22" s="0" t="n">
        <f aca="false">'Stammdaten - Schwimmer'!A24</f>
        <v>22</v>
      </c>
      <c r="L22" s="0" t="n">
        <f aca="false">'Stammdaten - Schwimmer'!B24</f>
        <v>0</v>
      </c>
      <c r="M22" s="0" t="n">
        <f aca="false">'Stammdaten - Schwimmer'!C24</f>
        <v>0</v>
      </c>
      <c r="N22" s="23" t="n">
        <f aca="false">'Stammdaten - Schwimmer'!D24</f>
        <v>0</v>
      </c>
      <c r="O22" s="0" t="n">
        <f aca="false">'Stammdaten - Schwimmer'!E24</f>
        <v>0</v>
      </c>
      <c r="P22" s="0" t="n">
        <f aca="false">'Stammdaten - Schwimmer'!F24</f>
        <v>0</v>
      </c>
      <c r="Q22" s="0" t="n">
        <v>50</v>
      </c>
      <c r="R22" s="0" t="n">
        <f aca="false">P22*Q22</f>
        <v>0</v>
      </c>
    </row>
    <row r="23" customFormat="false" ht="15" hidden="false" customHeight="false" outlineLevel="0" collapsed="false">
      <c r="A23" s="0" t="e">
        <f aca="false">#REF!</f>
        <v>#REF!</v>
      </c>
      <c r="B23" s="0" t="e">
        <f aca="false">#REF!</f>
        <v>#REF!</v>
      </c>
      <c r="C23" s="0" t="e">
        <f aca="false">#REF!</f>
        <v>#REF!</v>
      </c>
      <c r="D23" s="23" t="e">
        <f aca="false">#REF!</f>
        <v>#REF!</v>
      </c>
      <c r="E23" s="0" t="e">
        <f aca="false">#REF!</f>
        <v>#REF!</v>
      </c>
      <c r="F23" s="0" t="e">
        <f aca="false">#REF!</f>
        <v>#REF!</v>
      </c>
      <c r="K23" s="0" t="n">
        <f aca="false">'Stammdaten - Schwimmer'!A25</f>
        <v>23</v>
      </c>
      <c r="L23" s="0" t="n">
        <f aca="false">'Stammdaten - Schwimmer'!B25</f>
        <v>0</v>
      </c>
      <c r="M23" s="0" t="n">
        <f aca="false">'Stammdaten - Schwimmer'!C25</f>
        <v>0</v>
      </c>
      <c r="N23" s="23" t="n">
        <f aca="false">'Stammdaten - Schwimmer'!D25</f>
        <v>0</v>
      </c>
      <c r="O23" s="0" t="n">
        <f aca="false">'Stammdaten - Schwimmer'!E25</f>
        <v>0</v>
      </c>
      <c r="P23" s="0" t="n">
        <f aca="false">'Stammdaten - Schwimmer'!F25</f>
        <v>0</v>
      </c>
      <c r="Q23" s="0" t="n">
        <v>25</v>
      </c>
      <c r="R23" s="0" t="n">
        <f aca="false">P23*Q23</f>
        <v>0</v>
      </c>
    </row>
    <row r="24" customFormat="false" ht="15" hidden="false" customHeight="false" outlineLevel="0" collapsed="false">
      <c r="A24" s="24" t="n">
        <f aca="false">'Stammdaten - Schwimmer'!A8</f>
        <v>6</v>
      </c>
      <c r="B24" s="24" t="str">
        <f aca="false">'Stammdaten - Schwimmer'!B8</f>
        <v>Künsemüller</v>
      </c>
      <c r="C24" s="24" t="str">
        <f aca="false">'Stammdaten - Schwimmer'!C8</f>
        <v>Viktoria</v>
      </c>
      <c r="D24" s="25" t="n">
        <f aca="false">'Stammdaten - Schwimmer'!D8</f>
        <v>40021</v>
      </c>
      <c r="E24" s="24" t="n">
        <f aca="false">'Stammdaten - Schwimmer'!E8</f>
        <v>503</v>
      </c>
      <c r="F24" s="24" t="n">
        <f aca="false">'Stammdaten - Schwimmer'!F8</f>
        <v>58</v>
      </c>
      <c r="K24" s="0" t="n">
        <f aca="false">'Stammdaten - Schwimmer'!A26</f>
        <v>24</v>
      </c>
      <c r="L24" s="0" t="n">
        <f aca="false">'Stammdaten - Schwimmer'!B26</f>
        <v>0</v>
      </c>
      <c r="M24" s="0" t="n">
        <f aca="false">'Stammdaten - Schwimmer'!C26</f>
        <v>0</v>
      </c>
      <c r="N24" s="23" t="n">
        <f aca="false">'Stammdaten - Schwimmer'!D26</f>
        <v>0</v>
      </c>
      <c r="O24" s="0" t="n">
        <f aca="false">'Stammdaten - Schwimmer'!E26</f>
        <v>0</v>
      </c>
      <c r="P24" s="0" t="n">
        <f aca="false">'Stammdaten - Schwimmer'!F26</f>
        <v>0</v>
      </c>
      <c r="Q24" s="0" t="n">
        <v>25</v>
      </c>
      <c r="R24" s="0" t="n">
        <f aca="false">P24*Q24</f>
        <v>0</v>
      </c>
    </row>
    <row r="25" customFormat="false" ht="15" hidden="false" customHeight="false" outlineLevel="0" collapsed="false">
      <c r="A25" s="0" t="n">
        <f aca="false">'Stammdaten - Schwimmer'!A77</f>
        <v>75</v>
      </c>
      <c r="B25" s="0" t="str">
        <f aca="false">'Stammdaten - Schwimmer'!B77</f>
        <v>Buck</v>
      </c>
      <c r="C25" s="0" t="str">
        <f aca="false">'Stammdaten - Schwimmer'!C77</f>
        <v>Annika</v>
      </c>
      <c r="D25" s="23" t="n">
        <f aca="false">'Stammdaten - Schwimmer'!D77</f>
        <v>39204</v>
      </c>
      <c r="E25" s="0" t="n">
        <f aca="false">'Stammdaten - Schwimmer'!E77</f>
        <v>502</v>
      </c>
      <c r="F25" s="0" t="n">
        <f aca="false">'Stammdaten - Schwimmer'!F77</f>
        <v>44</v>
      </c>
      <c r="K25" s="0" t="n">
        <f aca="false">'Stammdaten - Schwimmer'!A27</f>
        <v>25</v>
      </c>
      <c r="L25" s="0" t="n">
        <f aca="false">'Stammdaten - Schwimmer'!B27</f>
        <v>0</v>
      </c>
      <c r="M25" s="0" t="n">
        <f aca="false">'Stammdaten - Schwimmer'!C27</f>
        <v>0</v>
      </c>
      <c r="N25" s="23" t="n">
        <f aca="false">'Stammdaten - Schwimmer'!D27</f>
        <v>0</v>
      </c>
      <c r="O25" s="0" t="n">
        <f aca="false">'Stammdaten - Schwimmer'!E27</f>
        <v>0</v>
      </c>
      <c r="P25" s="0" t="n">
        <f aca="false">'Stammdaten - Schwimmer'!F27</f>
        <v>0</v>
      </c>
      <c r="Q25" s="0" t="n">
        <v>25</v>
      </c>
      <c r="R25" s="0" t="n">
        <f aca="false">P25*Q25</f>
        <v>0</v>
      </c>
    </row>
    <row r="26" customFormat="false" ht="15" hidden="false" customHeight="false" outlineLevel="0" collapsed="false">
      <c r="A26" s="0" t="n">
        <f aca="false">'Stammdaten - Schwimmer'!A28</f>
        <v>26</v>
      </c>
      <c r="B26" s="0" t="str">
        <f aca="false">'Stammdaten - Schwimmer'!B28</f>
        <v>Bauer</v>
      </c>
      <c r="C26" s="0" t="str">
        <f aca="false">'Stammdaten - Schwimmer'!C28</f>
        <v>Tim</v>
      </c>
      <c r="D26" s="23" t="n">
        <f aca="false">'Stammdaten - Schwimmer'!D28</f>
        <v>35823</v>
      </c>
      <c r="E26" s="0" t="n">
        <f aca="false">'Stammdaten - Schwimmer'!E28</f>
        <v>503</v>
      </c>
      <c r="F26" s="0" t="n">
        <f aca="false">'Stammdaten - Schwimmer'!F28</f>
        <v>58</v>
      </c>
      <c r="K26" s="0" t="n">
        <f aca="false">'Stammdaten - Schwimmer'!A28</f>
        <v>26</v>
      </c>
      <c r="L26" s="0" t="str">
        <f aca="false">'Stammdaten - Schwimmer'!B28</f>
        <v>Bauer</v>
      </c>
      <c r="M26" s="0" t="str">
        <f aca="false">'Stammdaten - Schwimmer'!C28</f>
        <v>Tim</v>
      </c>
      <c r="N26" s="23" t="n">
        <f aca="false">'Stammdaten - Schwimmer'!D28</f>
        <v>35823</v>
      </c>
      <c r="O26" s="0" t="n">
        <f aca="false">'Stammdaten - Schwimmer'!E28</f>
        <v>503</v>
      </c>
      <c r="P26" s="0" t="n">
        <f aca="false">'Stammdaten - Schwimmer'!F28</f>
        <v>58</v>
      </c>
      <c r="Q26" s="0" t="n">
        <v>25</v>
      </c>
      <c r="R26" s="0" t="n">
        <f aca="false">P26*Q26</f>
        <v>1450</v>
      </c>
    </row>
    <row r="27" customFormat="false" ht="15" hidden="false" customHeight="false" outlineLevel="0" collapsed="false">
      <c r="A27" s="0" t="n">
        <f aca="false">'Stammdaten - Schwimmer'!A81</f>
        <v>79</v>
      </c>
      <c r="B27" s="0" t="str">
        <f aca="false">'Stammdaten - Schwimmer'!B81</f>
        <v>Fritz</v>
      </c>
      <c r="C27" s="0" t="str">
        <f aca="false">'Stammdaten - Schwimmer'!C81</f>
        <v>Lukas</v>
      </c>
      <c r="D27" s="23" t="n">
        <f aca="false">'Stammdaten - Schwimmer'!D81</f>
        <v>35085</v>
      </c>
      <c r="E27" s="0" t="n">
        <f aca="false">'Stammdaten - Schwimmer'!E81</f>
        <v>0</v>
      </c>
      <c r="F27" s="0" t="n">
        <f aca="false">'Stammdaten - Schwimmer'!F81</f>
        <v>46</v>
      </c>
      <c r="K27" s="0" t="n">
        <f aca="false">'Stammdaten - Schwimmer'!A29</f>
        <v>27</v>
      </c>
      <c r="L27" s="0" t="n">
        <f aca="false">'Stammdaten - Schwimmer'!B29</f>
        <v>0</v>
      </c>
      <c r="M27" s="0" t="n">
        <f aca="false">'Stammdaten - Schwimmer'!C29</f>
        <v>0</v>
      </c>
      <c r="N27" s="23" t="n">
        <f aca="false">'Stammdaten - Schwimmer'!D29</f>
        <v>0</v>
      </c>
      <c r="O27" s="0" t="n">
        <f aca="false">'Stammdaten - Schwimmer'!E29</f>
        <v>0</v>
      </c>
      <c r="P27" s="0" t="n">
        <f aca="false">'Stammdaten - Schwimmer'!F29</f>
        <v>0</v>
      </c>
      <c r="Q27" s="0" t="n">
        <v>25</v>
      </c>
      <c r="R27" s="0" t="n">
        <f aca="false">P27*Q27</f>
        <v>0</v>
      </c>
    </row>
    <row r="28" customFormat="false" ht="15" hidden="false" customHeight="false" outlineLevel="0" collapsed="false">
      <c r="A28" s="0" t="n">
        <f aca="false">'Stammdaten - Schwimmer'!A99</f>
        <v>97</v>
      </c>
      <c r="B28" s="0" t="str">
        <f aca="false">'Stammdaten - Schwimmer'!B99</f>
        <v>Graf</v>
      </c>
      <c r="C28" s="0" t="str">
        <f aca="false">'Stammdaten - Schwimmer'!C99</f>
        <v>Alexander</v>
      </c>
      <c r="D28" s="23" t="n">
        <f aca="false">'Stammdaten - Schwimmer'!D99</f>
        <v>33386</v>
      </c>
      <c r="E28" s="0" t="n">
        <f aca="false">'Stammdaten - Schwimmer'!E99</f>
        <v>502</v>
      </c>
      <c r="F28" s="0" t="n">
        <f aca="false">'Stammdaten - Schwimmer'!F99</f>
        <v>24</v>
      </c>
      <c r="K28" s="0" t="n">
        <f aca="false">'Stammdaten - Schwimmer'!A30</f>
        <v>28</v>
      </c>
      <c r="L28" s="0" t="n">
        <f aca="false">'Stammdaten - Schwimmer'!B30</f>
        <v>0</v>
      </c>
      <c r="M28" s="0" t="n">
        <f aca="false">'Stammdaten - Schwimmer'!C30</f>
        <v>0</v>
      </c>
      <c r="N28" s="23" t="n">
        <f aca="false">'Stammdaten - Schwimmer'!D30</f>
        <v>0</v>
      </c>
      <c r="O28" s="0" t="n">
        <f aca="false">'Stammdaten - Schwimmer'!E30</f>
        <v>0</v>
      </c>
      <c r="P28" s="0" t="n">
        <f aca="false">'Stammdaten - Schwimmer'!F30</f>
        <v>0</v>
      </c>
      <c r="Q28" s="0" t="n">
        <v>25</v>
      </c>
      <c r="R28" s="0" t="n">
        <f aca="false">P28*Q28</f>
        <v>0</v>
      </c>
    </row>
    <row r="29" customFormat="false" ht="15" hidden="false" customHeight="false" outlineLevel="0" collapsed="false">
      <c r="A29" s="0" t="n">
        <f aca="false">'Stammdaten - Schwimmer'!A80</f>
        <v>78</v>
      </c>
      <c r="B29" s="0" t="str">
        <f aca="false">'Stammdaten - Schwimmer'!B80</f>
        <v>B</v>
      </c>
      <c r="C29" s="0" t="str">
        <f aca="false">'Stammdaten - Schwimmer'!C80</f>
        <v>Pascal</v>
      </c>
      <c r="D29" s="23" t="n">
        <f aca="false">'Stammdaten - Schwimmer'!D80</f>
        <v>32874</v>
      </c>
      <c r="E29" s="0" t="n">
        <f aca="false">'Stammdaten - Schwimmer'!E80</f>
        <v>503.504</v>
      </c>
      <c r="F29" s="0" t="n">
        <f aca="false">'Stammdaten - Schwimmer'!F80</f>
        <v>50</v>
      </c>
      <c r="K29" s="0" t="n">
        <f aca="false">'Stammdaten - Schwimmer'!A31</f>
        <v>29</v>
      </c>
      <c r="L29" s="0" t="n">
        <f aca="false">'Stammdaten - Schwimmer'!B31</f>
        <v>0</v>
      </c>
      <c r="M29" s="0" t="n">
        <f aca="false">'Stammdaten - Schwimmer'!C31</f>
        <v>0</v>
      </c>
      <c r="N29" s="23" t="n">
        <f aca="false">'Stammdaten - Schwimmer'!D31</f>
        <v>0</v>
      </c>
      <c r="O29" s="0" t="n">
        <f aca="false">'Stammdaten - Schwimmer'!E31</f>
        <v>0</v>
      </c>
      <c r="P29" s="0" t="n">
        <f aca="false">'Stammdaten - Schwimmer'!F31</f>
        <v>0</v>
      </c>
      <c r="Q29" s="0" t="n">
        <v>25</v>
      </c>
      <c r="R29" s="0" t="n">
        <f aca="false">P29*Q29</f>
        <v>0</v>
      </c>
    </row>
    <row r="30" customFormat="false" ht="15" hidden="false" customHeight="false" outlineLevel="0" collapsed="false">
      <c r="A30" s="0" t="n">
        <f aca="false">'Stammdaten - Schwimmer'!A76</f>
        <v>74</v>
      </c>
      <c r="B30" s="0" t="str">
        <f aca="false">'Stammdaten - Schwimmer'!B76</f>
        <v>Schmid</v>
      </c>
      <c r="C30" s="0" t="str">
        <f aca="false">'Stammdaten - Schwimmer'!C76</f>
        <v>Katharina</v>
      </c>
      <c r="D30" s="23" t="n">
        <f aca="false">'Stammdaten - Schwimmer'!D76</f>
        <v>30595</v>
      </c>
      <c r="E30" s="0" t="n">
        <f aca="false">'Stammdaten - Schwimmer'!E76</f>
        <v>502</v>
      </c>
      <c r="F30" s="0" t="n">
        <f aca="false">'Stammdaten - Schwimmer'!F76</f>
        <v>44</v>
      </c>
      <c r="K30" s="0" t="n">
        <f aca="false">'Stammdaten - Schwimmer'!A32</f>
        <v>30</v>
      </c>
      <c r="L30" s="0" t="str">
        <f aca="false">'Stammdaten - Schwimmer'!B32</f>
        <v>Kombacher</v>
      </c>
      <c r="M30" s="0" t="str">
        <f aca="false">'Stammdaten - Schwimmer'!C32</f>
        <v>Mia</v>
      </c>
      <c r="N30" s="23" t="n">
        <f aca="false">'Stammdaten - Schwimmer'!D32</f>
        <v>43635</v>
      </c>
      <c r="O30" s="0" t="n">
        <f aca="false">'Stammdaten - Schwimmer'!E32</f>
        <v>502</v>
      </c>
      <c r="P30" s="0" t="n">
        <f aca="false">'Stammdaten - Schwimmer'!F32</f>
        <v>40</v>
      </c>
      <c r="Q30" s="0" t="n">
        <v>50</v>
      </c>
      <c r="R30" s="0" t="n">
        <f aca="false">P30*Q30</f>
        <v>2000</v>
      </c>
    </row>
    <row r="31" customFormat="false" ht="15" hidden="false" customHeight="false" outlineLevel="0" collapsed="false">
      <c r="A31" s="0" t="n">
        <f aca="false">'Stammdaten - Schwimmer'!A33</f>
        <v>31</v>
      </c>
      <c r="B31" s="0" t="str">
        <f aca="false">'Stammdaten - Schwimmer'!B33</f>
        <v>Kombacher</v>
      </c>
      <c r="C31" s="0" t="str">
        <f aca="false">'Stammdaten - Schwimmer'!C33</f>
        <v>Anja</v>
      </c>
      <c r="D31" s="23" t="n">
        <f aca="false">'Stammdaten - Schwimmer'!D33</f>
        <v>30515</v>
      </c>
      <c r="E31" s="0" t="n">
        <f aca="false">'Stammdaten - Schwimmer'!E33</f>
        <v>502</v>
      </c>
      <c r="F31" s="0" t="n">
        <f aca="false">'Stammdaten - Schwimmer'!F33</f>
        <v>46</v>
      </c>
      <c r="K31" s="0" t="n">
        <f aca="false">'Stammdaten - Schwimmer'!A33</f>
        <v>31</v>
      </c>
      <c r="L31" s="0" t="str">
        <f aca="false">'Stammdaten - Schwimmer'!B33</f>
        <v>Kombacher</v>
      </c>
      <c r="M31" s="0" t="str">
        <f aca="false">'Stammdaten - Schwimmer'!C33</f>
        <v>Anja</v>
      </c>
      <c r="N31" s="23" t="n">
        <f aca="false">'Stammdaten - Schwimmer'!D33</f>
        <v>30515</v>
      </c>
      <c r="O31" s="0" t="n">
        <f aca="false">'Stammdaten - Schwimmer'!E33</f>
        <v>502</v>
      </c>
      <c r="P31" s="0" t="n">
        <f aca="false">'Stammdaten - Schwimmer'!F33</f>
        <v>46</v>
      </c>
      <c r="Q31" s="0" t="n">
        <v>25</v>
      </c>
      <c r="R31" s="0" t="n">
        <f aca="false">P31*Q31</f>
        <v>1150</v>
      </c>
    </row>
    <row r="32" customFormat="false" ht="15" hidden="false" customHeight="false" outlineLevel="0" collapsed="false">
      <c r="A32" s="0" t="n">
        <f aca="false">'Stammdaten - Schwimmer'!A74</f>
        <v>72</v>
      </c>
      <c r="B32" s="0" t="str">
        <f aca="false">'Stammdaten - Schwimmer'!B74</f>
        <v>Schmid</v>
      </c>
      <c r="C32" s="0" t="str">
        <f aca="false">'Stammdaten - Schwimmer'!C74</f>
        <v>Annette</v>
      </c>
      <c r="D32" s="23" t="n">
        <f aca="false">'Stammdaten - Schwimmer'!D74</f>
        <v>30400</v>
      </c>
      <c r="E32" s="0" t="n">
        <f aca="false">'Stammdaten - Schwimmer'!E74</f>
        <v>503</v>
      </c>
      <c r="F32" s="0" t="n">
        <f aca="false">'Stammdaten - Schwimmer'!F74</f>
        <v>44</v>
      </c>
      <c r="K32" s="0" t="n">
        <f aca="false">'Stammdaten - Schwimmer'!A34</f>
        <v>32</v>
      </c>
      <c r="L32" s="0" t="n">
        <f aca="false">'Stammdaten - Schwimmer'!B34</f>
        <v>0</v>
      </c>
      <c r="M32" s="0" t="n">
        <f aca="false">'Stammdaten - Schwimmer'!C34</f>
        <v>0</v>
      </c>
      <c r="N32" s="23" t="n">
        <f aca="false">'Stammdaten - Schwimmer'!D34</f>
        <v>0</v>
      </c>
      <c r="O32" s="0" t="n">
        <f aca="false">'Stammdaten - Schwimmer'!E34</f>
        <v>0</v>
      </c>
      <c r="P32" s="0" t="n">
        <f aca="false">'Stammdaten - Schwimmer'!F34</f>
        <v>0</v>
      </c>
      <c r="Q32" s="0" t="n">
        <v>25</v>
      </c>
      <c r="R32" s="0" t="n">
        <f aca="false">P32*Q32</f>
        <v>0</v>
      </c>
    </row>
    <row r="33" customFormat="false" ht="15" hidden="false" customHeight="false" outlineLevel="0" collapsed="false">
      <c r="A33" s="0" t="n">
        <f aca="false">'Stammdaten - Schwimmer'!A49</f>
        <v>47</v>
      </c>
      <c r="B33" s="0" t="str">
        <f aca="false">'Stammdaten - Schwimmer'!B49</f>
        <v>Holste</v>
      </c>
      <c r="C33" s="0" t="str">
        <f aca="false">'Stammdaten - Schwimmer'!C49</f>
        <v>Ruben</v>
      </c>
      <c r="D33" s="23" t="n">
        <f aca="false">'Stammdaten - Schwimmer'!D49</f>
        <v>30358</v>
      </c>
      <c r="E33" s="0" t="n">
        <f aca="false">'Stammdaten - Schwimmer'!E49</f>
        <v>503</v>
      </c>
      <c r="F33" s="0" t="n">
        <f aca="false">'Stammdaten - Schwimmer'!F49</f>
        <v>62</v>
      </c>
      <c r="K33" s="0" t="n">
        <f aca="false">'Stammdaten - Schwimmer'!A35</f>
        <v>33</v>
      </c>
      <c r="L33" s="0" t="str">
        <f aca="false">'Stammdaten - Schwimmer'!B35</f>
        <v>Kombacher</v>
      </c>
      <c r="M33" s="0" t="str">
        <f aca="false">'Stammdaten - Schwimmer'!C35</f>
        <v>Lea</v>
      </c>
      <c r="N33" s="23" t="n">
        <f aca="false">'Stammdaten - Schwimmer'!D35</f>
        <v>41712</v>
      </c>
      <c r="O33" s="0" t="n">
        <f aca="false">'Stammdaten - Schwimmer'!E35</f>
        <v>502</v>
      </c>
      <c r="P33" s="0" t="n">
        <f aca="false">'Stammdaten - Schwimmer'!F35</f>
        <v>54</v>
      </c>
      <c r="Q33" s="0" t="n">
        <v>50</v>
      </c>
      <c r="R33" s="0" t="n">
        <f aca="false">P33*Q33</f>
        <v>2700</v>
      </c>
    </row>
    <row r="34" customFormat="false" ht="15" hidden="false" customHeight="false" outlineLevel="0" collapsed="false">
      <c r="A34" s="0" t="n">
        <f aca="false">'Stammdaten - Schwimmer'!A95</f>
        <v>93</v>
      </c>
      <c r="B34" s="0" t="str">
        <f aca="false">'Stammdaten - Schwimmer'!B95</f>
        <v>Weber-Bleyle</v>
      </c>
      <c r="C34" s="0" t="str">
        <f aca="false">'Stammdaten - Schwimmer'!C95</f>
        <v>Christina</v>
      </c>
      <c r="D34" s="23" t="n">
        <f aca="false">'Stammdaten - Schwimmer'!D95</f>
        <v>29077</v>
      </c>
      <c r="E34" s="0" t="n">
        <f aca="false">'Stammdaten - Schwimmer'!E95</f>
        <v>0</v>
      </c>
      <c r="F34" s="0" t="n">
        <f aca="false">'Stammdaten - Schwimmer'!F95</f>
        <v>48</v>
      </c>
      <c r="K34" s="0" t="n">
        <f aca="false">'Stammdaten - Schwimmer'!A36</f>
        <v>34</v>
      </c>
      <c r="L34" s="0" t="n">
        <f aca="false">'Stammdaten - Schwimmer'!B36</f>
        <v>0</v>
      </c>
      <c r="M34" s="0" t="n">
        <f aca="false">'Stammdaten - Schwimmer'!C36</f>
        <v>0</v>
      </c>
      <c r="N34" s="23" t="n">
        <f aca="false">'Stammdaten - Schwimmer'!D36</f>
        <v>0</v>
      </c>
      <c r="O34" s="0" t="n">
        <f aca="false">'Stammdaten - Schwimmer'!E36</f>
        <v>0</v>
      </c>
      <c r="P34" s="0" t="n">
        <f aca="false">'Stammdaten - Schwimmer'!F36</f>
        <v>0</v>
      </c>
      <c r="Q34" s="0" t="n">
        <v>50</v>
      </c>
      <c r="R34" s="0" t="n">
        <f aca="false">P34*Q34</f>
        <v>0</v>
      </c>
    </row>
    <row r="35" customFormat="false" ht="15" hidden="false" customHeight="false" outlineLevel="0" collapsed="false">
      <c r="A35" s="0" t="n">
        <f aca="false">'Stammdaten - Schwimmer'!A97</f>
        <v>95</v>
      </c>
      <c r="B35" s="0" t="str">
        <f aca="false">'Stammdaten - Schwimmer'!B97</f>
        <v>Kaiser</v>
      </c>
      <c r="C35" s="0" t="str">
        <f aca="false">'Stammdaten - Schwimmer'!C97</f>
        <v>Vitalis</v>
      </c>
      <c r="D35" s="23" t="n">
        <f aca="false">'Stammdaten - Schwimmer'!D97</f>
        <v>27608</v>
      </c>
      <c r="E35" s="0" t="n">
        <f aca="false">'Stammdaten - Schwimmer'!E97</f>
        <v>502</v>
      </c>
      <c r="F35" s="0" t="n">
        <f aca="false">'Stammdaten - Schwimmer'!F97</f>
        <v>24</v>
      </c>
      <c r="K35" s="0" t="n">
        <f aca="false">'Stammdaten - Schwimmer'!A37</f>
        <v>35</v>
      </c>
      <c r="L35" s="0" t="str">
        <f aca="false">'Stammdaten - Schwimmer'!B37</f>
        <v>Kombacher</v>
      </c>
      <c r="M35" s="0" t="str">
        <f aca="false">'Stammdaten - Schwimmer'!C37</f>
        <v>Sara</v>
      </c>
      <c r="N35" s="23" t="n">
        <f aca="false">'Stammdaten - Schwimmer'!D37</f>
        <v>42528</v>
      </c>
      <c r="O35" s="0" t="n">
        <f aca="false">'Stammdaten - Schwimmer'!E37</f>
        <v>502</v>
      </c>
      <c r="P35" s="0" t="n">
        <f aca="false">'Stammdaten - Schwimmer'!F37</f>
        <v>84</v>
      </c>
      <c r="Q35" s="0" t="n">
        <v>25</v>
      </c>
      <c r="R35" s="0" t="n">
        <f aca="false">P35*Q35</f>
        <v>2100</v>
      </c>
    </row>
    <row r="36" customFormat="false" ht="15" hidden="false" customHeight="false" outlineLevel="0" collapsed="false">
      <c r="A36" s="0" t="n">
        <f aca="false">'Stammdaten - Schwimmer'!A87</f>
        <v>85</v>
      </c>
      <c r="B36" s="0" t="str">
        <f aca="false">'Stammdaten - Schwimmer'!B87</f>
        <v>Fernandez</v>
      </c>
      <c r="C36" s="0" t="str">
        <f aca="false">'Stammdaten - Schwimmer'!C87</f>
        <v>Silvia Velesco</v>
      </c>
      <c r="D36" s="23" t="n">
        <f aca="false">'Stammdaten - Schwimmer'!D87</f>
        <v>26482</v>
      </c>
      <c r="E36" s="0" t="n">
        <f aca="false">'Stammdaten - Schwimmer'!E87</f>
        <v>0</v>
      </c>
      <c r="F36" s="0" t="n">
        <f aca="false">'Stammdaten - Schwimmer'!F87</f>
        <v>32</v>
      </c>
      <c r="K36" s="0" t="n">
        <f aca="false">'Stammdaten - Schwimmer'!A38</f>
        <v>36</v>
      </c>
      <c r="L36" s="0" t="n">
        <f aca="false">'Stammdaten - Schwimmer'!B38</f>
        <v>0</v>
      </c>
      <c r="M36" s="0" t="n">
        <f aca="false">'Stammdaten - Schwimmer'!C38</f>
        <v>0</v>
      </c>
      <c r="N36" s="23" t="n">
        <f aca="false">'Stammdaten - Schwimmer'!D38</f>
        <v>0</v>
      </c>
      <c r="O36" s="0" t="n">
        <f aca="false">'Stammdaten - Schwimmer'!E38</f>
        <v>0</v>
      </c>
      <c r="P36" s="0" t="n">
        <f aca="false">'Stammdaten - Schwimmer'!F38</f>
        <v>0</v>
      </c>
      <c r="Q36" s="0" t="n">
        <v>50</v>
      </c>
      <c r="R36" s="0" t="n">
        <f aca="false">P36*Q36</f>
        <v>0</v>
      </c>
    </row>
    <row r="37" customFormat="false" ht="15" hidden="false" customHeight="false" outlineLevel="0" collapsed="false">
      <c r="A37" s="0" t="n">
        <f aca="false">'Stammdaten - Schwimmer'!A88</f>
        <v>86</v>
      </c>
      <c r="B37" s="0" t="str">
        <f aca="false">'Stammdaten - Schwimmer'!B88</f>
        <v>Collmer</v>
      </c>
      <c r="C37" s="0" t="str">
        <f aca="false">'Stammdaten - Schwimmer'!C88</f>
        <v>Andreas</v>
      </c>
      <c r="D37" s="23" t="n">
        <f aca="false">'Stammdaten - Schwimmer'!D88</f>
        <v>25976</v>
      </c>
      <c r="E37" s="0" t="n">
        <f aca="false">'Stammdaten - Schwimmer'!E88</f>
        <v>0</v>
      </c>
      <c r="F37" s="0" t="n">
        <f aca="false">'Stammdaten - Schwimmer'!F88</f>
        <v>52</v>
      </c>
      <c r="K37" s="0" t="n">
        <f aca="false">'Stammdaten - Schwimmer'!A39</f>
        <v>37</v>
      </c>
      <c r="L37" s="0" t="n">
        <f aca="false">'Stammdaten - Schwimmer'!B39</f>
        <v>0</v>
      </c>
      <c r="M37" s="0" t="n">
        <f aca="false">'Stammdaten - Schwimmer'!C39</f>
        <v>0</v>
      </c>
      <c r="N37" s="23" t="n">
        <f aca="false">'Stammdaten - Schwimmer'!D39</f>
        <v>0</v>
      </c>
      <c r="O37" s="0" t="n">
        <f aca="false">'Stammdaten - Schwimmer'!E39</f>
        <v>0</v>
      </c>
      <c r="P37" s="0" t="n">
        <f aca="false">'Stammdaten - Schwimmer'!F39</f>
        <v>0</v>
      </c>
      <c r="Q37" s="0" t="n">
        <v>50</v>
      </c>
      <c r="R37" s="0" t="n">
        <f aca="false">P37*Q37</f>
        <v>0</v>
      </c>
    </row>
    <row r="38" customFormat="false" ht="15" hidden="false" customHeight="false" outlineLevel="0" collapsed="false">
      <c r="A38" s="0" t="n">
        <f aca="false">'Stammdaten - Schwimmer'!A91</f>
        <v>89</v>
      </c>
      <c r="B38" s="0" t="str">
        <f aca="false">'Stammdaten - Schwimmer'!B91</f>
        <v>Sommerfeld</v>
      </c>
      <c r="C38" s="0" t="str">
        <f aca="false">'Stammdaten - Schwimmer'!C91</f>
        <v>Andreas</v>
      </c>
      <c r="D38" s="23" t="n">
        <f aca="false">'Stammdaten - Schwimmer'!D91</f>
        <v>22924</v>
      </c>
      <c r="E38" s="0" t="n">
        <f aca="false">'Stammdaten - Schwimmer'!E91</f>
        <v>0</v>
      </c>
      <c r="F38" s="0" t="n">
        <f aca="false">'Stammdaten - Schwimmer'!F91</f>
        <v>42</v>
      </c>
      <c r="K38" s="0" t="n">
        <f aca="false">'Stammdaten - Schwimmer'!A40</f>
        <v>38</v>
      </c>
      <c r="L38" s="0" t="n">
        <f aca="false">'Stammdaten - Schwimmer'!B40</f>
        <v>0</v>
      </c>
      <c r="M38" s="0" t="n">
        <f aca="false">'Stammdaten - Schwimmer'!C40</f>
        <v>0</v>
      </c>
      <c r="N38" s="23" t="n">
        <f aca="false">'Stammdaten - Schwimmer'!D40</f>
        <v>0</v>
      </c>
      <c r="O38" s="0" t="n">
        <f aca="false">'Stammdaten - Schwimmer'!E40</f>
        <v>0</v>
      </c>
      <c r="P38" s="0" t="n">
        <f aca="false">'Stammdaten - Schwimmer'!F40</f>
        <v>0</v>
      </c>
      <c r="Q38" s="0" t="n">
        <v>50</v>
      </c>
      <c r="R38" s="0" t="n">
        <f aca="false">P38*Q38</f>
        <v>0</v>
      </c>
    </row>
    <row r="39" customFormat="false" ht="15" hidden="false" customHeight="false" outlineLevel="0" collapsed="false">
      <c r="A39" s="0" t="n">
        <f aca="false">'Stammdaten - Schwimmer'!A92</f>
        <v>90</v>
      </c>
      <c r="B39" s="0" t="str">
        <f aca="false">'Stammdaten - Schwimmer'!B92</f>
        <v>Warlitz</v>
      </c>
      <c r="C39" s="0" t="str">
        <f aca="false">'Stammdaten - Schwimmer'!C92</f>
        <v>Eleanor</v>
      </c>
      <c r="D39" s="23" t="n">
        <f aca="false">'Stammdaten - Schwimmer'!D92</f>
        <v>22647</v>
      </c>
      <c r="E39" s="0" t="n">
        <f aca="false">'Stammdaten - Schwimmer'!E92</f>
        <v>0</v>
      </c>
      <c r="F39" s="0" t="n">
        <f aca="false">'Stammdaten - Schwimmer'!F92</f>
        <v>44</v>
      </c>
      <c r="K39" s="0" t="n">
        <f aca="false">'Stammdaten - Schwimmer'!A41</f>
        <v>39</v>
      </c>
      <c r="L39" s="0" t="n">
        <f aca="false">'Stammdaten - Schwimmer'!B41</f>
        <v>0</v>
      </c>
      <c r="M39" s="0" t="n">
        <f aca="false">'Stammdaten - Schwimmer'!C41</f>
        <v>0</v>
      </c>
      <c r="N39" s="23" t="n">
        <f aca="false">'Stammdaten - Schwimmer'!D41</f>
        <v>0</v>
      </c>
      <c r="O39" s="0" t="n">
        <f aca="false">'Stammdaten - Schwimmer'!E41</f>
        <v>0</v>
      </c>
      <c r="P39" s="0" t="n">
        <f aca="false">'Stammdaten - Schwimmer'!F41</f>
        <v>0</v>
      </c>
      <c r="Q39" s="0" t="n">
        <v>50</v>
      </c>
      <c r="R39" s="0" t="n">
        <f aca="false">P39*Q39</f>
        <v>0</v>
      </c>
    </row>
    <row r="40" customFormat="false" ht="15" hidden="false" customHeight="false" outlineLevel="0" collapsed="false">
      <c r="A40" s="0" t="n">
        <f aca="false">'Stammdaten - Schwimmer'!A72</f>
        <v>70</v>
      </c>
      <c r="B40" s="0" t="str">
        <f aca="false">'Stammdaten - Schwimmer'!B72</f>
        <v>Klick</v>
      </c>
      <c r="C40" s="0" t="str">
        <f aca="false">'Stammdaten - Schwimmer'!C72</f>
        <v>Karin</v>
      </c>
      <c r="D40" s="23" t="n">
        <f aca="false">'Stammdaten - Schwimmer'!D72</f>
        <v>22319</v>
      </c>
      <c r="E40" s="0" t="n">
        <f aca="false">'Stammdaten - Schwimmer'!E72</f>
        <v>508</v>
      </c>
      <c r="F40" s="0" t="n">
        <f aca="false">'Stammdaten - Schwimmer'!F72</f>
        <v>36</v>
      </c>
      <c r="K40" s="0" t="n">
        <f aca="false">'Stammdaten - Schwimmer'!A42</f>
        <v>40</v>
      </c>
      <c r="L40" s="0" t="n">
        <f aca="false">'Stammdaten - Schwimmer'!B42</f>
        <v>0</v>
      </c>
      <c r="M40" s="0" t="n">
        <f aca="false">'Stammdaten - Schwimmer'!C42</f>
        <v>0</v>
      </c>
      <c r="N40" s="23" t="n">
        <f aca="false">'Stammdaten - Schwimmer'!D42</f>
        <v>0</v>
      </c>
      <c r="O40" s="0" t="n">
        <f aca="false">'Stammdaten - Schwimmer'!E42</f>
        <v>0</v>
      </c>
      <c r="P40" s="0" t="n">
        <f aca="false">'Stammdaten - Schwimmer'!F42</f>
        <v>0</v>
      </c>
      <c r="Q40" s="0" t="n">
        <v>50</v>
      </c>
      <c r="R40" s="0" t="n">
        <f aca="false">P40*Q40</f>
        <v>0</v>
      </c>
    </row>
    <row r="41" customFormat="false" ht="15" hidden="false" customHeight="false" outlineLevel="0" collapsed="false">
      <c r="A41" s="0" t="n">
        <f aca="false">'Stammdaten - Schwimmer'!A94</f>
        <v>92</v>
      </c>
      <c r="B41" s="0" t="str">
        <f aca="false">'Stammdaten - Schwimmer'!B94</f>
        <v>Nanjack</v>
      </c>
      <c r="C41" s="0" t="str">
        <f aca="false">'Stammdaten - Schwimmer'!C94</f>
        <v>Mariims</v>
      </c>
      <c r="D41" s="23" t="n">
        <f aca="false">'Stammdaten - Schwimmer'!D94</f>
        <v>21845</v>
      </c>
      <c r="E41" s="0" t="n">
        <f aca="false">'Stammdaten - Schwimmer'!E94</f>
        <v>0</v>
      </c>
      <c r="F41" s="0" t="n">
        <f aca="false">'Stammdaten - Schwimmer'!F94</f>
        <v>22</v>
      </c>
      <c r="K41" s="0" t="n">
        <f aca="false">'Stammdaten - Schwimmer'!A43</f>
        <v>41</v>
      </c>
      <c r="L41" s="0" t="n">
        <f aca="false">'Stammdaten - Schwimmer'!B43</f>
        <v>0</v>
      </c>
      <c r="M41" s="0" t="n">
        <f aca="false">'Stammdaten - Schwimmer'!C43</f>
        <v>0</v>
      </c>
      <c r="N41" s="23" t="n">
        <f aca="false">'Stammdaten - Schwimmer'!D43</f>
        <v>0</v>
      </c>
      <c r="O41" s="0" t="n">
        <f aca="false">'Stammdaten - Schwimmer'!E43</f>
        <v>0</v>
      </c>
      <c r="P41" s="0" t="n">
        <f aca="false">'Stammdaten - Schwimmer'!F43</f>
        <v>0</v>
      </c>
      <c r="Q41" s="0" t="n">
        <v>50</v>
      </c>
      <c r="R41" s="0" t="n">
        <f aca="false">P41*Q41</f>
        <v>0</v>
      </c>
    </row>
    <row r="42" customFormat="false" ht="15" hidden="false" customHeight="false" outlineLevel="0" collapsed="false">
      <c r="A42" s="0" t="n">
        <f aca="false">'Stammdaten - Schwimmer'!A73</f>
        <v>71</v>
      </c>
      <c r="B42" s="0" t="str">
        <f aca="false">'Stammdaten - Schwimmer'!B73</f>
        <v>Zimmermann</v>
      </c>
      <c r="C42" s="0" t="str">
        <f aca="false">'Stammdaten - Schwimmer'!C73</f>
        <v>Inge</v>
      </c>
      <c r="D42" s="23" t="n">
        <f aca="false">'Stammdaten - Schwimmer'!D73</f>
        <v>21516</v>
      </c>
      <c r="E42" s="0" t="n">
        <f aca="false">'Stammdaten - Schwimmer'!E73</f>
        <v>508</v>
      </c>
      <c r="F42" s="0" t="n">
        <f aca="false">'Stammdaten - Schwimmer'!F73</f>
        <v>22</v>
      </c>
      <c r="K42" s="0" t="n">
        <f aca="false">'Stammdaten - Schwimmer'!A44</f>
        <v>42</v>
      </c>
      <c r="L42" s="0" t="n">
        <f aca="false">'Stammdaten - Schwimmer'!B44</f>
        <v>0</v>
      </c>
      <c r="M42" s="0" t="n">
        <f aca="false">'Stammdaten - Schwimmer'!C44</f>
        <v>0</v>
      </c>
      <c r="N42" s="23" t="n">
        <f aca="false">'Stammdaten - Schwimmer'!D44</f>
        <v>0</v>
      </c>
      <c r="O42" s="0" t="n">
        <f aca="false">'Stammdaten - Schwimmer'!E44</f>
        <v>0</v>
      </c>
      <c r="P42" s="0" t="n">
        <f aca="false">'Stammdaten - Schwimmer'!F44</f>
        <v>0</v>
      </c>
      <c r="Q42" s="0" t="n">
        <v>50</v>
      </c>
      <c r="R42" s="0" t="n">
        <f aca="false">P42*Q42</f>
        <v>0</v>
      </c>
    </row>
    <row r="43" customFormat="false" ht="15" hidden="false" customHeight="false" outlineLevel="0" collapsed="false">
      <c r="A43" s="0" t="n">
        <f aca="false">'Stammdaten - Schwimmer'!A4</f>
        <v>2</v>
      </c>
      <c r="B43" s="0" t="n">
        <f aca="false">'Stammdaten - Schwimmer'!B4</f>
        <v>0</v>
      </c>
      <c r="C43" s="0" t="n">
        <f aca="false">'Stammdaten - Schwimmer'!C4</f>
        <v>0</v>
      </c>
      <c r="D43" s="23" t="n">
        <f aca="false">'Stammdaten - Schwimmer'!D4</f>
        <v>0</v>
      </c>
      <c r="E43" s="0" t="n">
        <f aca="false">'Stammdaten - Schwimmer'!E4</f>
        <v>0</v>
      </c>
      <c r="F43" s="0" t="n">
        <f aca="false">'Stammdaten - Schwimmer'!F4</f>
        <v>0</v>
      </c>
      <c r="K43" s="0" t="n">
        <f aca="false">'Stammdaten - Schwimmer'!A45</f>
        <v>43</v>
      </c>
      <c r="L43" s="0" t="n">
        <f aca="false">'Stammdaten - Schwimmer'!B45</f>
        <v>0</v>
      </c>
      <c r="M43" s="0" t="n">
        <f aca="false">'Stammdaten - Schwimmer'!C45</f>
        <v>0</v>
      </c>
      <c r="N43" s="23" t="n">
        <f aca="false">'Stammdaten - Schwimmer'!D45</f>
        <v>0</v>
      </c>
      <c r="O43" s="0" t="n">
        <f aca="false">'Stammdaten - Schwimmer'!E45</f>
        <v>0</v>
      </c>
      <c r="P43" s="0" t="n">
        <f aca="false">'Stammdaten - Schwimmer'!F45</f>
        <v>0</v>
      </c>
      <c r="Q43" s="0" t="n">
        <v>25</v>
      </c>
      <c r="R43" s="0" t="n">
        <f aca="false">P43*Q43</f>
        <v>0</v>
      </c>
    </row>
    <row r="44" customFormat="false" ht="15" hidden="false" customHeight="false" outlineLevel="0" collapsed="false">
      <c r="A44" s="0" t="n">
        <f aca="false">'Stammdaten - Schwimmer'!A5</f>
        <v>3</v>
      </c>
      <c r="B44" s="0" t="n">
        <f aca="false">'Stammdaten - Schwimmer'!B5</f>
        <v>0</v>
      </c>
      <c r="C44" s="0" t="n">
        <f aca="false">'Stammdaten - Schwimmer'!C5</f>
        <v>0</v>
      </c>
      <c r="D44" s="23" t="n">
        <f aca="false">'Stammdaten - Schwimmer'!D5</f>
        <v>0</v>
      </c>
      <c r="E44" s="0" t="n">
        <f aca="false">'Stammdaten - Schwimmer'!E5</f>
        <v>0</v>
      </c>
      <c r="F44" s="0" t="n">
        <f aca="false">'Stammdaten - Schwimmer'!F5</f>
        <v>0</v>
      </c>
      <c r="K44" s="0" t="n">
        <f aca="false">'Stammdaten - Schwimmer'!A46</f>
        <v>44</v>
      </c>
      <c r="L44" s="0" t="n">
        <f aca="false">'Stammdaten - Schwimmer'!B46</f>
        <v>0</v>
      </c>
      <c r="M44" s="0" t="n">
        <f aca="false">'Stammdaten - Schwimmer'!C46</f>
        <v>0</v>
      </c>
      <c r="N44" s="23" t="n">
        <f aca="false">'Stammdaten - Schwimmer'!D46</f>
        <v>0</v>
      </c>
      <c r="O44" s="0" t="n">
        <f aca="false">'Stammdaten - Schwimmer'!E46</f>
        <v>0</v>
      </c>
      <c r="P44" s="0" t="n">
        <f aca="false">'Stammdaten - Schwimmer'!F46</f>
        <v>0</v>
      </c>
      <c r="Q44" s="0" t="n">
        <v>50</v>
      </c>
      <c r="R44" s="0" t="n">
        <f aca="false">P44*Q44</f>
        <v>0</v>
      </c>
    </row>
    <row r="45" customFormat="false" ht="15" hidden="false" customHeight="false" outlineLevel="0" collapsed="false">
      <c r="A45" s="0" t="n">
        <f aca="false">'Stammdaten - Schwimmer'!A6</f>
        <v>4</v>
      </c>
      <c r="B45" s="0" t="n">
        <f aca="false">'Stammdaten - Schwimmer'!B6</f>
        <v>0</v>
      </c>
      <c r="C45" s="0" t="n">
        <f aca="false">'Stammdaten - Schwimmer'!C6</f>
        <v>0</v>
      </c>
      <c r="D45" s="23" t="n">
        <f aca="false">'Stammdaten - Schwimmer'!D6</f>
        <v>0</v>
      </c>
      <c r="E45" s="0" t="n">
        <f aca="false">'Stammdaten - Schwimmer'!E6</f>
        <v>0</v>
      </c>
      <c r="F45" s="0" t="n">
        <f aca="false">'Stammdaten - Schwimmer'!F6</f>
        <v>0</v>
      </c>
      <c r="K45" s="0" t="n">
        <f aca="false">'Stammdaten - Schwimmer'!A47</f>
        <v>45</v>
      </c>
      <c r="L45" s="0" t="n">
        <f aca="false">'Stammdaten - Schwimmer'!B47</f>
        <v>0</v>
      </c>
      <c r="M45" s="0" t="n">
        <f aca="false">'Stammdaten - Schwimmer'!C47</f>
        <v>0</v>
      </c>
      <c r="N45" s="23" t="n">
        <f aca="false">'Stammdaten - Schwimmer'!D47</f>
        <v>0</v>
      </c>
      <c r="O45" s="0" t="n">
        <f aca="false">'Stammdaten - Schwimmer'!E47</f>
        <v>0</v>
      </c>
      <c r="P45" s="0" t="n">
        <f aca="false">'Stammdaten - Schwimmer'!F47</f>
        <v>0</v>
      </c>
      <c r="Q45" s="0" t="n">
        <v>50</v>
      </c>
      <c r="R45" s="0" t="n">
        <f aca="false">P45*Q45</f>
        <v>0</v>
      </c>
    </row>
    <row r="46" customFormat="false" ht="15" hidden="false" customHeight="false" outlineLevel="0" collapsed="false">
      <c r="A46" s="0" t="n">
        <f aca="false">'Stammdaten - Schwimmer'!A9</f>
        <v>7</v>
      </c>
      <c r="B46" s="0" t="n">
        <f aca="false">'Stammdaten - Schwimmer'!B9</f>
        <v>0</v>
      </c>
      <c r="C46" s="0" t="n">
        <f aca="false">'Stammdaten - Schwimmer'!C9</f>
        <v>0</v>
      </c>
      <c r="D46" s="23" t="n">
        <f aca="false">'Stammdaten - Schwimmer'!D9</f>
        <v>0</v>
      </c>
      <c r="E46" s="0" t="n">
        <f aca="false">'Stammdaten - Schwimmer'!E9</f>
        <v>0</v>
      </c>
      <c r="F46" s="0" t="n">
        <f aca="false">'Stammdaten - Schwimmer'!F9</f>
        <v>0</v>
      </c>
      <c r="K46" s="0" t="n">
        <f aca="false">'Stammdaten - Schwimmer'!A48</f>
        <v>46</v>
      </c>
      <c r="L46" s="0" t="n">
        <f aca="false">'Stammdaten - Schwimmer'!B48</f>
        <v>0</v>
      </c>
      <c r="M46" s="0" t="n">
        <f aca="false">'Stammdaten - Schwimmer'!C48</f>
        <v>0</v>
      </c>
      <c r="N46" s="23" t="n">
        <f aca="false">'Stammdaten - Schwimmer'!D48</f>
        <v>0</v>
      </c>
      <c r="O46" s="0" t="n">
        <f aca="false">'Stammdaten - Schwimmer'!E48</f>
        <v>0</v>
      </c>
      <c r="P46" s="0" t="n">
        <f aca="false">'Stammdaten - Schwimmer'!F48</f>
        <v>0</v>
      </c>
      <c r="Q46" s="0" t="n">
        <v>50</v>
      </c>
      <c r="R46" s="0" t="n">
        <f aca="false">P46*Q46</f>
        <v>0</v>
      </c>
    </row>
    <row r="47" customFormat="false" ht="15" hidden="false" customHeight="false" outlineLevel="0" collapsed="false">
      <c r="A47" s="0" t="n">
        <f aca="false">'Stammdaten - Schwimmer'!A10</f>
        <v>8</v>
      </c>
      <c r="B47" s="0" t="n">
        <f aca="false">'Stammdaten - Schwimmer'!B10</f>
        <v>0</v>
      </c>
      <c r="C47" s="0" t="n">
        <f aca="false">'Stammdaten - Schwimmer'!C10</f>
        <v>0</v>
      </c>
      <c r="D47" s="23" t="n">
        <f aca="false">'Stammdaten - Schwimmer'!D10</f>
        <v>0</v>
      </c>
      <c r="E47" s="0" t="n">
        <f aca="false">'Stammdaten - Schwimmer'!E10</f>
        <v>0</v>
      </c>
      <c r="F47" s="0" t="n">
        <f aca="false">'Stammdaten - Schwimmer'!F10</f>
        <v>0</v>
      </c>
      <c r="K47" s="0" t="n">
        <f aca="false">'Stammdaten - Schwimmer'!A49</f>
        <v>47</v>
      </c>
      <c r="L47" s="0" t="str">
        <f aca="false">'Stammdaten - Schwimmer'!B49</f>
        <v>Holste</v>
      </c>
      <c r="M47" s="0" t="str">
        <f aca="false">'Stammdaten - Schwimmer'!C49</f>
        <v>Ruben</v>
      </c>
      <c r="N47" s="23" t="n">
        <f aca="false">'Stammdaten - Schwimmer'!D49</f>
        <v>30358</v>
      </c>
      <c r="O47" s="0" t="n">
        <f aca="false">'Stammdaten - Schwimmer'!E49</f>
        <v>503</v>
      </c>
      <c r="P47" s="0" t="n">
        <f aca="false">'Stammdaten - Schwimmer'!F49</f>
        <v>62</v>
      </c>
      <c r="Q47" s="0" t="n">
        <v>25</v>
      </c>
      <c r="R47" s="0" t="n">
        <f aca="false">P47*Q47</f>
        <v>1550</v>
      </c>
    </row>
    <row r="48" customFormat="false" ht="15" hidden="false" customHeight="false" outlineLevel="0" collapsed="false">
      <c r="A48" s="0" t="n">
        <f aca="false">'Stammdaten - Schwimmer'!A12</f>
        <v>10</v>
      </c>
      <c r="B48" s="0" t="n">
        <f aca="false">'Stammdaten - Schwimmer'!B12</f>
        <v>0</v>
      </c>
      <c r="C48" s="0" t="n">
        <f aca="false">'Stammdaten - Schwimmer'!C12</f>
        <v>0</v>
      </c>
      <c r="D48" s="23" t="n">
        <f aca="false">'Stammdaten - Schwimmer'!D12</f>
        <v>0</v>
      </c>
      <c r="E48" s="0" t="n">
        <f aca="false">'Stammdaten - Schwimmer'!E12</f>
        <v>0</v>
      </c>
      <c r="F48" s="0" t="n">
        <f aca="false">'Stammdaten - Schwimmer'!F12</f>
        <v>0</v>
      </c>
      <c r="K48" s="0" t="n">
        <f aca="false">'Stammdaten - Schwimmer'!A50</f>
        <v>48</v>
      </c>
      <c r="L48" s="0" t="n">
        <f aca="false">'Stammdaten - Schwimmer'!B50</f>
        <v>0</v>
      </c>
      <c r="M48" s="0" t="n">
        <f aca="false">'Stammdaten - Schwimmer'!C50</f>
        <v>0</v>
      </c>
      <c r="N48" s="23" t="n">
        <f aca="false">'Stammdaten - Schwimmer'!D50</f>
        <v>0</v>
      </c>
      <c r="O48" s="0" t="n">
        <f aca="false">'Stammdaten - Schwimmer'!E50</f>
        <v>0</v>
      </c>
      <c r="P48" s="0" t="n">
        <f aca="false">'Stammdaten - Schwimmer'!F50</f>
        <v>0</v>
      </c>
      <c r="Q48" s="0" t="n">
        <v>25</v>
      </c>
      <c r="R48" s="0" t="n">
        <f aca="false">P48*Q48</f>
        <v>0</v>
      </c>
    </row>
    <row r="49" customFormat="false" ht="15" hidden="false" customHeight="false" outlineLevel="0" collapsed="false">
      <c r="A49" s="0" t="n">
        <f aca="false">'Stammdaten - Schwimmer'!A13</f>
        <v>11</v>
      </c>
      <c r="B49" s="0" t="n">
        <f aca="false">'Stammdaten - Schwimmer'!B13</f>
        <v>0</v>
      </c>
      <c r="C49" s="0" t="n">
        <f aca="false">'Stammdaten - Schwimmer'!C13</f>
        <v>0</v>
      </c>
      <c r="D49" s="23" t="n">
        <f aca="false">'Stammdaten - Schwimmer'!D13</f>
        <v>0</v>
      </c>
      <c r="E49" s="0" t="n">
        <f aca="false">'Stammdaten - Schwimmer'!E13</f>
        <v>0</v>
      </c>
      <c r="F49" s="0" t="n">
        <f aca="false">'Stammdaten - Schwimmer'!F13</f>
        <v>0</v>
      </c>
      <c r="K49" s="0" t="n">
        <f aca="false">'Stammdaten - Schwimmer'!A51</f>
        <v>49</v>
      </c>
      <c r="L49" s="0" t="n">
        <f aca="false">'Stammdaten - Schwimmer'!B51</f>
        <v>0</v>
      </c>
      <c r="M49" s="0" t="n">
        <f aca="false">'Stammdaten - Schwimmer'!C51</f>
        <v>0</v>
      </c>
      <c r="N49" s="23" t="n">
        <f aca="false">'Stammdaten - Schwimmer'!D51</f>
        <v>0</v>
      </c>
      <c r="O49" s="0" t="n">
        <f aca="false">'Stammdaten - Schwimmer'!E51</f>
        <v>0</v>
      </c>
      <c r="P49" s="0" t="n">
        <f aca="false">'Stammdaten - Schwimmer'!F51</f>
        <v>0</v>
      </c>
      <c r="Q49" s="0" t="n">
        <v>50</v>
      </c>
      <c r="R49" s="0" t="n">
        <f aca="false">P49*Q49</f>
        <v>0</v>
      </c>
    </row>
    <row r="50" customFormat="false" ht="15" hidden="false" customHeight="false" outlineLevel="0" collapsed="false">
      <c r="A50" s="0" t="n">
        <f aca="false">'Stammdaten - Schwimmer'!A14</f>
        <v>12</v>
      </c>
      <c r="B50" s="0" t="n">
        <f aca="false">'Stammdaten - Schwimmer'!B14</f>
        <v>0</v>
      </c>
      <c r="C50" s="0" t="n">
        <f aca="false">'Stammdaten - Schwimmer'!C14</f>
        <v>0</v>
      </c>
      <c r="D50" s="23" t="n">
        <f aca="false">'Stammdaten - Schwimmer'!D14</f>
        <v>0</v>
      </c>
      <c r="E50" s="0" t="n">
        <f aca="false">'Stammdaten - Schwimmer'!E14</f>
        <v>0</v>
      </c>
      <c r="F50" s="0" t="n">
        <f aca="false">'Stammdaten - Schwimmer'!F14</f>
        <v>0</v>
      </c>
      <c r="K50" s="0" t="n">
        <f aca="false">'Stammdaten - Schwimmer'!A52</f>
        <v>50</v>
      </c>
      <c r="L50" s="0" t="str">
        <f aca="false">'Stammdaten - Schwimmer'!B52</f>
        <v>Ludwig</v>
      </c>
      <c r="M50" s="0" t="str">
        <f aca="false">'Stammdaten - Schwimmer'!C52</f>
        <v>Mariya</v>
      </c>
      <c r="N50" s="23" t="n">
        <f aca="false">'Stammdaten - Schwimmer'!D52</f>
        <v>40298</v>
      </c>
      <c r="O50" s="0" t="n">
        <f aca="false">'Stammdaten - Schwimmer'!E52</f>
        <v>502</v>
      </c>
      <c r="P50" s="0" t="n">
        <f aca="false">'Stammdaten - Schwimmer'!F52</f>
        <v>54</v>
      </c>
      <c r="Q50" s="0" t="n">
        <v>50</v>
      </c>
      <c r="R50" s="0" t="n">
        <f aca="false">P50*Q50</f>
        <v>2700</v>
      </c>
    </row>
    <row r="51" customFormat="false" ht="15" hidden="false" customHeight="false" outlineLevel="0" collapsed="false">
      <c r="A51" s="0" t="n">
        <f aca="false">'Stammdaten - Schwimmer'!A15</f>
        <v>13</v>
      </c>
      <c r="B51" s="0" t="n">
        <f aca="false">'Stammdaten - Schwimmer'!B15</f>
        <v>0</v>
      </c>
      <c r="C51" s="0" t="n">
        <f aca="false">'Stammdaten - Schwimmer'!C15</f>
        <v>0</v>
      </c>
      <c r="D51" s="23" t="n">
        <f aca="false">'Stammdaten - Schwimmer'!D15</f>
        <v>0</v>
      </c>
      <c r="E51" s="0" t="n">
        <f aca="false">'Stammdaten - Schwimmer'!E15</f>
        <v>0</v>
      </c>
      <c r="F51" s="0" t="n">
        <f aca="false">'Stammdaten - Schwimmer'!F15</f>
        <v>0</v>
      </c>
      <c r="K51" s="0" t="n">
        <f aca="false">'Stammdaten - Schwimmer'!A53</f>
        <v>51</v>
      </c>
      <c r="L51" s="0" t="str">
        <f aca="false">'Stammdaten - Schwimmer'!B53</f>
        <v>Warga</v>
      </c>
      <c r="M51" s="0" t="str">
        <f aca="false">'Stammdaten - Schwimmer'!C53</f>
        <v>Eva</v>
      </c>
      <c r="N51" s="23" t="n">
        <f aca="false">'Stammdaten - Schwimmer'!D53</f>
        <v>42629</v>
      </c>
      <c r="O51" s="0" t="n">
        <f aca="false">'Stammdaten - Schwimmer'!E53</f>
        <v>507</v>
      </c>
      <c r="P51" s="0" t="n">
        <f aca="false">'Stammdaten - Schwimmer'!F53</f>
        <v>102</v>
      </c>
      <c r="Q51" s="0" t="n">
        <v>50</v>
      </c>
      <c r="R51" s="0" t="n">
        <f aca="false">P51*Q51</f>
        <v>5100</v>
      </c>
    </row>
    <row r="52" customFormat="false" ht="15" hidden="false" customHeight="false" outlineLevel="0" collapsed="false">
      <c r="A52" s="0" t="n">
        <f aca="false">'Stammdaten - Schwimmer'!A16</f>
        <v>14</v>
      </c>
      <c r="B52" s="0" t="n">
        <f aca="false">'Stammdaten - Schwimmer'!B16</f>
        <v>0</v>
      </c>
      <c r="C52" s="0" t="n">
        <f aca="false">'Stammdaten - Schwimmer'!C16</f>
        <v>0</v>
      </c>
      <c r="D52" s="23" t="n">
        <f aca="false">'Stammdaten - Schwimmer'!D16</f>
        <v>0</v>
      </c>
      <c r="E52" s="0" t="n">
        <f aca="false">'Stammdaten - Schwimmer'!E16</f>
        <v>0</v>
      </c>
      <c r="F52" s="0" t="n">
        <f aca="false">'Stammdaten - Schwimmer'!F16</f>
        <v>0</v>
      </c>
      <c r="K52" s="0" t="n">
        <f aca="false">'Stammdaten - Schwimmer'!A54</f>
        <v>52</v>
      </c>
      <c r="L52" s="0" t="str">
        <f aca="false">'Stammdaten - Schwimmer'!B54</f>
        <v>Warga</v>
      </c>
      <c r="M52" s="0" t="str">
        <f aca="false">'Stammdaten - Schwimmer'!C54</f>
        <v>Christina</v>
      </c>
      <c r="N52" s="23" t="n">
        <f aca="false">'Stammdaten - Schwimmer'!D54</f>
        <v>27766</v>
      </c>
      <c r="O52" s="0" t="n">
        <f aca="false">'Stammdaten - Schwimmer'!E54</f>
        <v>507</v>
      </c>
      <c r="P52" s="0" t="n">
        <f aca="false">'Stammdaten - Schwimmer'!F54</f>
        <v>40</v>
      </c>
      <c r="Q52" s="0" t="n">
        <v>50</v>
      </c>
      <c r="R52" s="0" t="n">
        <f aca="false">P52*Q52</f>
        <v>2000</v>
      </c>
    </row>
    <row r="53" customFormat="false" ht="15" hidden="false" customHeight="false" outlineLevel="0" collapsed="false">
      <c r="A53" s="0" t="n">
        <f aca="false">'Stammdaten - Schwimmer'!A17</f>
        <v>15</v>
      </c>
      <c r="B53" s="0" t="n">
        <f aca="false">'Stammdaten - Schwimmer'!B17</f>
        <v>0</v>
      </c>
      <c r="C53" s="0" t="n">
        <f aca="false">'Stammdaten - Schwimmer'!C17</f>
        <v>0</v>
      </c>
      <c r="D53" s="23" t="n">
        <f aca="false">'Stammdaten - Schwimmer'!D17</f>
        <v>0</v>
      </c>
      <c r="E53" s="0" t="n">
        <f aca="false">'Stammdaten - Schwimmer'!E17</f>
        <v>0</v>
      </c>
      <c r="F53" s="0" t="n">
        <f aca="false">'Stammdaten - Schwimmer'!F17</f>
        <v>0</v>
      </c>
      <c r="K53" s="0" t="n">
        <f aca="false">'Stammdaten - Schwimmer'!A55</f>
        <v>53</v>
      </c>
      <c r="L53" s="0" t="str">
        <f aca="false">'Stammdaten - Schwimmer'!B55</f>
        <v>Warga</v>
      </c>
      <c r="M53" s="0" t="str">
        <f aca="false">'Stammdaten - Schwimmer'!C55</f>
        <v>Paula</v>
      </c>
      <c r="N53" s="23" t="n">
        <f aca="false">'Stammdaten - Schwimmer'!D55</f>
        <v>39823</v>
      </c>
      <c r="O53" s="0" t="n">
        <f aca="false">'Stammdaten - Schwimmer'!E55</f>
        <v>507</v>
      </c>
      <c r="P53" s="0" t="n">
        <f aca="false">'Stammdaten - Schwimmer'!F55</f>
        <v>58</v>
      </c>
      <c r="Q53" s="0" t="n">
        <v>50</v>
      </c>
      <c r="R53" s="0" t="n">
        <f aca="false">P53*Q53</f>
        <v>2900</v>
      </c>
    </row>
    <row r="54" customFormat="false" ht="15" hidden="false" customHeight="false" outlineLevel="0" collapsed="false">
      <c r="A54" s="0" t="n">
        <f aca="false">'Stammdaten - Schwimmer'!A18</f>
        <v>16</v>
      </c>
      <c r="B54" s="0" t="n">
        <f aca="false">'Stammdaten - Schwimmer'!B18</f>
        <v>0</v>
      </c>
      <c r="C54" s="0" t="n">
        <f aca="false">'Stammdaten - Schwimmer'!C18</f>
        <v>0</v>
      </c>
      <c r="D54" s="23" t="n">
        <f aca="false">'Stammdaten - Schwimmer'!D18</f>
        <v>0</v>
      </c>
      <c r="E54" s="0" t="n">
        <f aca="false">'Stammdaten - Schwimmer'!E18</f>
        <v>0</v>
      </c>
      <c r="F54" s="0" t="n">
        <f aca="false">'Stammdaten - Schwimmer'!F18</f>
        <v>0</v>
      </c>
      <c r="K54" s="0" t="n">
        <f aca="false">'Stammdaten - Schwimmer'!A56</f>
        <v>54</v>
      </c>
      <c r="L54" s="0" t="str">
        <f aca="false">'Stammdaten - Schwimmer'!B56</f>
        <v>Warga</v>
      </c>
      <c r="M54" s="0" t="str">
        <f aca="false">'Stammdaten - Schwimmer'!C56</f>
        <v>Christian</v>
      </c>
      <c r="N54" s="23" t="n">
        <f aca="false">'Stammdaten - Schwimmer'!D56</f>
        <v>27486</v>
      </c>
      <c r="O54" s="0" t="n">
        <f aca="false">'Stammdaten - Schwimmer'!E56</f>
        <v>507</v>
      </c>
      <c r="P54" s="0" t="n">
        <f aca="false">'Stammdaten - Schwimmer'!F56</f>
        <v>38</v>
      </c>
      <c r="Q54" s="0" t="n">
        <v>25</v>
      </c>
      <c r="R54" s="0" t="n">
        <f aca="false">P54*Q54</f>
        <v>950</v>
      </c>
    </row>
    <row r="55" customFormat="false" ht="15" hidden="false" customHeight="false" outlineLevel="0" collapsed="false">
      <c r="A55" s="0" t="n">
        <f aca="false">'Stammdaten - Schwimmer'!A19</f>
        <v>17</v>
      </c>
      <c r="B55" s="0" t="n">
        <f aca="false">'Stammdaten - Schwimmer'!B19</f>
        <v>0</v>
      </c>
      <c r="C55" s="0" t="n">
        <f aca="false">'Stammdaten - Schwimmer'!C19</f>
        <v>0</v>
      </c>
      <c r="D55" s="23" t="n">
        <f aca="false">'Stammdaten - Schwimmer'!D19</f>
        <v>0</v>
      </c>
      <c r="E55" s="0" t="n">
        <f aca="false">'Stammdaten - Schwimmer'!E19</f>
        <v>0</v>
      </c>
      <c r="F55" s="0" t="n">
        <f aca="false">'Stammdaten - Schwimmer'!F19</f>
        <v>0</v>
      </c>
      <c r="K55" s="0" t="n">
        <f aca="false">'Stammdaten - Schwimmer'!A57</f>
        <v>55</v>
      </c>
      <c r="L55" s="0" t="n">
        <f aca="false">'Stammdaten - Schwimmer'!B57</f>
        <v>0</v>
      </c>
      <c r="M55" s="0" t="n">
        <f aca="false">'Stammdaten - Schwimmer'!C57</f>
        <v>0</v>
      </c>
      <c r="N55" s="23" t="n">
        <f aca="false">'Stammdaten - Schwimmer'!D57</f>
        <v>0</v>
      </c>
      <c r="O55" s="0" t="n">
        <f aca="false">'Stammdaten - Schwimmer'!E57</f>
        <v>0</v>
      </c>
      <c r="P55" s="0" t="n">
        <f aca="false">'Stammdaten - Schwimmer'!F57</f>
        <v>0</v>
      </c>
      <c r="Q55" s="0" t="n">
        <v>50</v>
      </c>
      <c r="R55" s="0" t="n">
        <f aca="false">P55*Q55</f>
        <v>0</v>
      </c>
    </row>
    <row r="56" customFormat="false" ht="15" hidden="false" customHeight="false" outlineLevel="0" collapsed="false">
      <c r="A56" s="0" t="n">
        <f aca="false">'Stammdaten - Schwimmer'!A20</f>
        <v>18</v>
      </c>
      <c r="B56" s="0" t="n">
        <f aca="false">'Stammdaten - Schwimmer'!B20</f>
        <v>0</v>
      </c>
      <c r="C56" s="0" t="n">
        <f aca="false">'Stammdaten - Schwimmer'!C20</f>
        <v>0</v>
      </c>
      <c r="D56" s="23" t="n">
        <f aca="false">'Stammdaten - Schwimmer'!D20</f>
        <v>0</v>
      </c>
      <c r="E56" s="0" t="n">
        <f aca="false">'Stammdaten - Schwimmer'!E20</f>
        <v>0</v>
      </c>
      <c r="F56" s="0" t="n">
        <f aca="false">'Stammdaten - Schwimmer'!F20</f>
        <v>0</v>
      </c>
      <c r="K56" s="0" t="n">
        <f aca="false">'Stammdaten - Schwimmer'!A58</f>
        <v>56</v>
      </c>
      <c r="L56" s="0" t="n">
        <f aca="false">'Stammdaten - Schwimmer'!B58</f>
        <v>0</v>
      </c>
      <c r="M56" s="0" t="n">
        <f aca="false">'Stammdaten - Schwimmer'!C58</f>
        <v>0</v>
      </c>
      <c r="N56" s="23" t="n">
        <f aca="false">'Stammdaten - Schwimmer'!D58</f>
        <v>0</v>
      </c>
      <c r="O56" s="0" t="n">
        <f aca="false">'Stammdaten - Schwimmer'!E58</f>
        <v>0</v>
      </c>
      <c r="P56" s="0" t="n">
        <f aca="false">'Stammdaten - Schwimmer'!F58</f>
        <v>0</v>
      </c>
      <c r="Q56" s="0" t="n">
        <v>50</v>
      </c>
      <c r="R56" s="0" t="n">
        <f aca="false">P56*Q56</f>
        <v>0</v>
      </c>
    </row>
    <row r="57" customFormat="false" ht="15" hidden="false" customHeight="false" outlineLevel="0" collapsed="false">
      <c r="A57" s="0" t="n">
        <f aca="false">'Stammdaten - Schwimmer'!A21</f>
        <v>19</v>
      </c>
      <c r="B57" s="0" t="n">
        <f aca="false">'Stammdaten - Schwimmer'!B21</f>
        <v>0</v>
      </c>
      <c r="C57" s="0" t="n">
        <f aca="false">'Stammdaten - Schwimmer'!C21</f>
        <v>0</v>
      </c>
      <c r="D57" s="23" t="n">
        <f aca="false">'Stammdaten - Schwimmer'!D21</f>
        <v>0</v>
      </c>
      <c r="E57" s="0" t="n">
        <f aca="false">'Stammdaten - Schwimmer'!E21</f>
        <v>0</v>
      </c>
      <c r="F57" s="0" t="n">
        <f aca="false">'Stammdaten - Schwimmer'!F21</f>
        <v>0</v>
      </c>
      <c r="K57" s="0" t="n">
        <f aca="false">'Stammdaten - Schwimmer'!A59</f>
        <v>57</v>
      </c>
      <c r="L57" s="0" t="n">
        <f aca="false">'Stammdaten - Schwimmer'!B59</f>
        <v>0</v>
      </c>
      <c r="M57" s="0" t="n">
        <f aca="false">'Stammdaten - Schwimmer'!C59</f>
        <v>0</v>
      </c>
      <c r="N57" s="23" t="n">
        <f aca="false">'Stammdaten - Schwimmer'!D59</f>
        <v>0</v>
      </c>
      <c r="O57" s="0" t="n">
        <f aca="false">'Stammdaten - Schwimmer'!E59</f>
        <v>0</v>
      </c>
      <c r="P57" s="0" t="n">
        <f aca="false">'Stammdaten - Schwimmer'!F59</f>
        <v>0</v>
      </c>
      <c r="Q57" s="0" t="n">
        <v>25</v>
      </c>
      <c r="R57" s="0" t="n">
        <f aca="false">P57*Q57</f>
        <v>0</v>
      </c>
    </row>
    <row r="58" customFormat="false" ht="15" hidden="false" customHeight="false" outlineLevel="0" collapsed="false">
      <c r="A58" s="0" t="n">
        <f aca="false">'Stammdaten - Schwimmer'!A22</f>
        <v>20</v>
      </c>
      <c r="B58" s="0" t="n">
        <f aca="false">'Stammdaten - Schwimmer'!B22</f>
        <v>0</v>
      </c>
      <c r="C58" s="0" t="n">
        <f aca="false">'Stammdaten - Schwimmer'!C22</f>
        <v>0</v>
      </c>
      <c r="D58" s="23" t="n">
        <f aca="false">'Stammdaten - Schwimmer'!D22</f>
        <v>0</v>
      </c>
      <c r="E58" s="0" t="n">
        <f aca="false">'Stammdaten - Schwimmer'!E22</f>
        <v>0</v>
      </c>
      <c r="F58" s="0" t="n">
        <f aca="false">'Stammdaten - Schwimmer'!F22</f>
        <v>0</v>
      </c>
      <c r="K58" s="0" t="n">
        <f aca="false">'Stammdaten - Schwimmer'!A60</f>
        <v>58</v>
      </c>
      <c r="L58" s="0" t="n">
        <f aca="false">'Stammdaten - Schwimmer'!B60</f>
        <v>0</v>
      </c>
      <c r="M58" s="0" t="n">
        <f aca="false">'Stammdaten - Schwimmer'!C60</f>
        <v>0</v>
      </c>
      <c r="N58" s="23" t="n">
        <f aca="false">'Stammdaten - Schwimmer'!D60</f>
        <v>0</v>
      </c>
      <c r="O58" s="0" t="n">
        <f aca="false">'Stammdaten - Schwimmer'!E60</f>
        <v>0</v>
      </c>
      <c r="P58" s="0" t="n">
        <f aca="false">'Stammdaten - Schwimmer'!F60</f>
        <v>0</v>
      </c>
      <c r="Q58" s="0" t="n">
        <v>50</v>
      </c>
      <c r="R58" s="0" t="n">
        <f aca="false">P58*Q58</f>
        <v>0</v>
      </c>
    </row>
    <row r="59" customFormat="false" ht="15" hidden="false" customHeight="false" outlineLevel="0" collapsed="false">
      <c r="A59" s="0" t="n">
        <f aca="false">'Stammdaten - Schwimmer'!A23</f>
        <v>21</v>
      </c>
      <c r="B59" s="0" t="n">
        <f aca="false">'Stammdaten - Schwimmer'!B23</f>
        <v>0</v>
      </c>
      <c r="C59" s="0" t="n">
        <f aca="false">'Stammdaten - Schwimmer'!C23</f>
        <v>0</v>
      </c>
      <c r="D59" s="23" t="n">
        <f aca="false">'Stammdaten - Schwimmer'!D23</f>
        <v>0</v>
      </c>
      <c r="E59" s="0" t="n">
        <f aca="false">'Stammdaten - Schwimmer'!E23</f>
        <v>0</v>
      </c>
      <c r="F59" s="0" t="n">
        <f aca="false">'Stammdaten - Schwimmer'!F23</f>
        <v>0</v>
      </c>
      <c r="K59" s="0" t="n">
        <f aca="false">'Stammdaten - Schwimmer'!A61</f>
        <v>59</v>
      </c>
      <c r="L59" s="0" t="n">
        <f aca="false">'Stammdaten - Schwimmer'!B61</f>
        <v>0</v>
      </c>
      <c r="M59" s="0" t="n">
        <f aca="false">'Stammdaten - Schwimmer'!C61</f>
        <v>0</v>
      </c>
      <c r="N59" s="23" t="n">
        <f aca="false">'Stammdaten - Schwimmer'!D61</f>
        <v>0</v>
      </c>
      <c r="O59" s="0" t="n">
        <f aca="false">'Stammdaten - Schwimmer'!E61</f>
        <v>0</v>
      </c>
      <c r="P59" s="0" t="n">
        <f aca="false">'Stammdaten - Schwimmer'!F61</f>
        <v>0</v>
      </c>
      <c r="Q59" s="0" t="n">
        <v>50</v>
      </c>
      <c r="R59" s="0" t="n">
        <f aca="false">P59*Q59</f>
        <v>0</v>
      </c>
    </row>
    <row r="60" customFormat="false" ht="15" hidden="false" customHeight="false" outlineLevel="0" collapsed="false">
      <c r="A60" s="0" t="n">
        <f aca="false">'Stammdaten - Schwimmer'!A24</f>
        <v>22</v>
      </c>
      <c r="B60" s="0" t="n">
        <f aca="false">'Stammdaten - Schwimmer'!B24</f>
        <v>0</v>
      </c>
      <c r="C60" s="0" t="n">
        <f aca="false">'Stammdaten - Schwimmer'!C24</f>
        <v>0</v>
      </c>
      <c r="D60" s="23" t="n">
        <f aca="false">'Stammdaten - Schwimmer'!D24</f>
        <v>0</v>
      </c>
      <c r="E60" s="0" t="n">
        <f aca="false">'Stammdaten - Schwimmer'!E24</f>
        <v>0</v>
      </c>
      <c r="F60" s="0" t="n">
        <f aca="false">'Stammdaten - Schwimmer'!F24</f>
        <v>0</v>
      </c>
      <c r="K60" s="0" t="n">
        <f aca="false">'Stammdaten - Schwimmer'!A62</f>
        <v>60</v>
      </c>
      <c r="L60" s="0" t="n">
        <f aca="false">'Stammdaten - Schwimmer'!B62</f>
        <v>0</v>
      </c>
      <c r="M60" s="0" t="n">
        <f aca="false">'Stammdaten - Schwimmer'!C62</f>
        <v>0</v>
      </c>
      <c r="N60" s="23" t="n">
        <f aca="false">'Stammdaten - Schwimmer'!D62</f>
        <v>0</v>
      </c>
      <c r="O60" s="0" t="n">
        <f aca="false">'Stammdaten - Schwimmer'!E62</f>
        <v>0</v>
      </c>
      <c r="P60" s="0" t="n">
        <f aca="false">'Stammdaten - Schwimmer'!F62</f>
        <v>0</v>
      </c>
      <c r="Q60" s="0" t="n">
        <v>50</v>
      </c>
      <c r="R60" s="0" t="n">
        <f aca="false">P60*Q60</f>
        <v>0</v>
      </c>
    </row>
    <row r="61" customFormat="false" ht="15" hidden="false" customHeight="false" outlineLevel="0" collapsed="false">
      <c r="A61" s="0" t="n">
        <f aca="false">'Stammdaten - Schwimmer'!A25</f>
        <v>23</v>
      </c>
      <c r="B61" s="0" t="n">
        <f aca="false">'Stammdaten - Schwimmer'!B25</f>
        <v>0</v>
      </c>
      <c r="C61" s="0" t="n">
        <f aca="false">'Stammdaten - Schwimmer'!C25</f>
        <v>0</v>
      </c>
      <c r="D61" s="23" t="n">
        <f aca="false">'Stammdaten - Schwimmer'!D25</f>
        <v>0</v>
      </c>
      <c r="E61" s="0" t="n">
        <f aca="false">'Stammdaten - Schwimmer'!E25</f>
        <v>0</v>
      </c>
      <c r="F61" s="0" t="n">
        <f aca="false">'Stammdaten - Schwimmer'!F25</f>
        <v>0</v>
      </c>
      <c r="K61" s="0" t="n">
        <f aca="false">'Stammdaten - Schwimmer'!A63</f>
        <v>61</v>
      </c>
      <c r="L61" s="0" t="n">
        <f aca="false">'Stammdaten - Schwimmer'!B63</f>
        <v>0</v>
      </c>
      <c r="M61" s="0" t="n">
        <f aca="false">'Stammdaten - Schwimmer'!C63</f>
        <v>0</v>
      </c>
      <c r="N61" s="23" t="n">
        <f aca="false">'Stammdaten - Schwimmer'!D63</f>
        <v>0</v>
      </c>
      <c r="O61" s="0" t="n">
        <f aca="false">'Stammdaten - Schwimmer'!E63</f>
        <v>0</v>
      </c>
      <c r="P61" s="0" t="n">
        <f aca="false">'Stammdaten - Schwimmer'!F63</f>
        <v>0</v>
      </c>
      <c r="Q61" s="0" t="n">
        <v>25</v>
      </c>
      <c r="R61" s="0" t="n">
        <f aca="false">P61*Q61</f>
        <v>0</v>
      </c>
    </row>
    <row r="62" customFormat="false" ht="15" hidden="false" customHeight="false" outlineLevel="0" collapsed="false">
      <c r="A62" s="0" t="n">
        <f aca="false">'Stammdaten - Schwimmer'!A26</f>
        <v>24</v>
      </c>
      <c r="B62" s="0" t="n">
        <f aca="false">'Stammdaten - Schwimmer'!B26</f>
        <v>0</v>
      </c>
      <c r="C62" s="0" t="n">
        <f aca="false">'Stammdaten - Schwimmer'!C26</f>
        <v>0</v>
      </c>
      <c r="D62" s="23" t="n">
        <f aca="false">'Stammdaten - Schwimmer'!D26</f>
        <v>0</v>
      </c>
      <c r="E62" s="0" t="n">
        <f aca="false">'Stammdaten - Schwimmer'!E26</f>
        <v>0</v>
      </c>
      <c r="F62" s="0" t="n">
        <f aca="false">'Stammdaten - Schwimmer'!F26</f>
        <v>0</v>
      </c>
      <c r="K62" s="0" t="n">
        <f aca="false">'Stammdaten - Schwimmer'!A64</f>
        <v>62</v>
      </c>
      <c r="L62" s="0" t="n">
        <f aca="false">'Stammdaten - Schwimmer'!B64</f>
        <v>0</v>
      </c>
      <c r="M62" s="0" t="n">
        <f aca="false">'Stammdaten - Schwimmer'!C64</f>
        <v>0</v>
      </c>
      <c r="N62" s="23" t="n">
        <f aca="false">'Stammdaten - Schwimmer'!D64</f>
        <v>0</v>
      </c>
      <c r="O62" s="0" t="n">
        <f aca="false">'Stammdaten - Schwimmer'!E64</f>
        <v>0</v>
      </c>
      <c r="P62" s="0" t="n">
        <f aca="false">'Stammdaten - Schwimmer'!F64</f>
        <v>0</v>
      </c>
      <c r="Q62" s="0" t="n">
        <v>50</v>
      </c>
      <c r="R62" s="0" t="n">
        <f aca="false">P62*Q62</f>
        <v>0</v>
      </c>
    </row>
    <row r="63" customFormat="false" ht="15" hidden="false" customHeight="false" outlineLevel="0" collapsed="false">
      <c r="A63" s="0" t="n">
        <f aca="false">'Stammdaten - Schwimmer'!A27</f>
        <v>25</v>
      </c>
      <c r="B63" s="0" t="n">
        <f aca="false">'Stammdaten - Schwimmer'!B27</f>
        <v>0</v>
      </c>
      <c r="C63" s="0" t="n">
        <f aca="false">'Stammdaten - Schwimmer'!C27</f>
        <v>0</v>
      </c>
      <c r="D63" s="23" t="n">
        <f aca="false">'Stammdaten - Schwimmer'!D27</f>
        <v>0</v>
      </c>
      <c r="E63" s="0" t="n">
        <f aca="false">'Stammdaten - Schwimmer'!E27</f>
        <v>0</v>
      </c>
      <c r="F63" s="0" t="n">
        <f aca="false">'Stammdaten - Schwimmer'!F27</f>
        <v>0</v>
      </c>
      <c r="K63" s="0" t="n">
        <f aca="false">'Stammdaten - Schwimmer'!A65</f>
        <v>63</v>
      </c>
      <c r="L63" s="0" t="n">
        <f aca="false">'Stammdaten - Schwimmer'!B65</f>
        <v>0</v>
      </c>
      <c r="M63" s="0" t="n">
        <f aca="false">'Stammdaten - Schwimmer'!C65</f>
        <v>0</v>
      </c>
      <c r="N63" s="23" t="n">
        <f aca="false">'Stammdaten - Schwimmer'!D65</f>
        <v>0</v>
      </c>
      <c r="O63" s="0" t="n">
        <f aca="false">'Stammdaten - Schwimmer'!E65</f>
        <v>0</v>
      </c>
      <c r="P63" s="0" t="n">
        <f aca="false">'Stammdaten - Schwimmer'!F65</f>
        <v>0</v>
      </c>
      <c r="Q63" s="0" t="n">
        <v>50</v>
      </c>
      <c r="R63" s="0" t="n">
        <f aca="false">P63*Q63</f>
        <v>0</v>
      </c>
    </row>
    <row r="64" customFormat="false" ht="15" hidden="false" customHeight="false" outlineLevel="0" collapsed="false">
      <c r="A64" s="0" t="n">
        <f aca="false">'Stammdaten - Schwimmer'!A29</f>
        <v>27</v>
      </c>
      <c r="B64" s="0" t="n">
        <f aca="false">'Stammdaten - Schwimmer'!B29</f>
        <v>0</v>
      </c>
      <c r="C64" s="0" t="n">
        <f aca="false">'Stammdaten - Schwimmer'!C29</f>
        <v>0</v>
      </c>
      <c r="D64" s="23" t="n">
        <f aca="false">'Stammdaten - Schwimmer'!D29</f>
        <v>0</v>
      </c>
      <c r="E64" s="0" t="n">
        <f aca="false">'Stammdaten - Schwimmer'!E29</f>
        <v>0</v>
      </c>
      <c r="F64" s="0" t="n">
        <f aca="false">'Stammdaten - Schwimmer'!F29</f>
        <v>0</v>
      </c>
      <c r="K64" s="0" t="n">
        <f aca="false">'Stammdaten - Schwimmer'!A66</f>
        <v>64</v>
      </c>
      <c r="L64" s="0" t="n">
        <f aca="false">'Stammdaten - Schwimmer'!B66</f>
        <v>0</v>
      </c>
      <c r="M64" s="0" t="n">
        <f aca="false">'Stammdaten - Schwimmer'!C66</f>
        <v>0</v>
      </c>
      <c r="N64" s="23" t="n">
        <f aca="false">'Stammdaten - Schwimmer'!D66</f>
        <v>0</v>
      </c>
      <c r="O64" s="0" t="n">
        <f aca="false">'Stammdaten - Schwimmer'!E66</f>
        <v>0</v>
      </c>
      <c r="P64" s="0" t="n">
        <f aca="false">'Stammdaten - Schwimmer'!F66</f>
        <v>0</v>
      </c>
      <c r="Q64" s="0" t="n">
        <v>50</v>
      </c>
      <c r="R64" s="0" t="n">
        <f aca="false">P64*Q64</f>
        <v>0</v>
      </c>
    </row>
    <row r="65" customFormat="false" ht="15" hidden="false" customHeight="false" outlineLevel="0" collapsed="false">
      <c r="A65" s="0" t="n">
        <f aca="false">'Stammdaten - Schwimmer'!A30</f>
        <v>28</v>
      </c>
      <c r="B65" s="0" t="n">
        <f aca="false">'Stammdaten - Schwimmer'!B30</f>
        <v>0</v>
      </c>
      <c r="C65" s="0" t="n">
        <f aca="false">'Stammdaten - Schwimmer'!C30</f>
        <v>0</v>
      </c>
      <c r="D65" s="23" t="n">
        <f aca="false">'Stammdaten - Schwimmer'!D30</f>
        <v>0</v>
      </c>
      <c r="E65" s="0" t="n">
        <f aca="false">'Stammdaten - Schwimmer'!E30</f>
        <v>0</v>
      </c>
      <c r="F65" s="0" t="n">
        <f aca="false">'Stammdaten - Schwimmer'!F30</f>
        <v>0</v>
      </c>
      <c r="K65" s="0" t="n">
        <f aca="false">'Stammdaten - Schwimmer'!A67</f>
        <v>65</v>
      </c>
      <c r="L65" s="0" t="n">
        <f aca="false">'Stammdaten - Schwimmer'!B67</f>
        <v>0</v>
      </c>
      <c r="M65" s="0" t="n">
        <f aca="false">'Stammdaten - Schwimmer'!C67</f>
        <v>0</v>
      </c>
      <c r="N65" s="23" t="n">
        <f aca="false">'Stammdaten - Schwimmer'!D67</f>
        <v>0</v>
      </c>
      <c r="O65" s="0" t="n">
        <f aca="false">'Stammdaten - Schwimmer'!E67</f>
        <v>0</v>
      </c>
      <c r="P65" s="0" t="n">
        <f aca="false">'Stammdaten - Schwimmer'!F67</f>
        <v>0</v>
      </c>
      <c r="Q65" s="0" t="n">
        <v>25</v>
      </c>
      <c r="R65" s="0" t="n">
        <f aca="false">P65*Q65</f>
        <v>0</v>
      </c>
    </row>
    <row r="66" customFormat="false" ht="15" hidden="false" customHeight="false" outlineLevel="0" collapsed="false">
      <c r="A66" s="0" t="n">
        <f aca="false">'Stammdaten - Schwimmer'!A31</f>
        <v>29</v>
      </c>
      <c r="B66" s="0" t="n">
        <f aca="false">'Stammdaten - Schwimmer'!B31</f>
        <v>0</v>
      </c>
      <c r="C66" s="0" t="n">
        <f aca="false">'Stammdaten - Schwimmer'!C31</f>
        <v>0</v>
      </c>
      <c r="D66" s="23" t="n">
        <f aca="false">'Stammdaten - Schwimmer'!D31</f>
        <v>0</v>
      </c>
      <c r="E66" s="0" t="n">
        <f aca="false">'Stammdaten - Schwimmer'!E31</f>
        <v>0</v>
      </c>
      <c r="F66" s="0" t="n">
        <f aca="false">'Stammdaten - Schwimmer'!F31</f>
        <v>0</v>
      </c>
      <c r="K66" s="0" t="n">
        <f aca="false">'Stammdaten - Schwimmer'!A68</f>
        <v>66</v>
      </c>
      <c r="L66" s="0" t="n">
        <f aca="false">'Stammdaten - Schwimmer'!B68</f>
        <v>0</v>
      </c>
      <c r="M66" s="0" t="n">
        <f aca="false">'Stammdaten - Schwimmer'!C68</f>
        <v>0</v>
      </c>
      <c r="N66" s="23" t="n">
        <f aca="false">'Stammdaten - Schwimmer'!D68</f>
        <v>0</v>
      </c>
      <c r="O66" s="0" t="n">
        <f aca="false">'Stammdaten - Schwimmer'!E68</f>
        <v>0</v>
      </c>
      <c r="P66" s="0" t="n">
        <f aca="false">'Stammdaten - Schwimmer'!F68</f>
        <v>0</v>
      </c>
      <c r="Q66" s="0" t="n">
        <v>50</v>
      </c>
      <c r="R66" s="0" t="n">
        <f aca="false">P66*Q66</f>
        <v>0</v>
      </c>
    </row>
    <row r="67" customFormat="false" ht="15" hidden="false" customHeight="false" outlineLevel="0" collapsed="false">
      <c r="A67" s="0" t="n">
        <f aca="false">'Stammdaten - Schwimmer'!A38</f>
        <v>36</v>
      </c>
      <c r="B67" s="0" t="n">
        <f aca="false">'Stammdaten - Schwimmer'!B38</f>
        <v>0</v>
      </c>
      <c r="C67" s="0" t="n">
        <f aca="false">'Stammdaten - Schwimmer'!C38</f>
        <v>0</v>
      </c>
      <c r="D67" s="23" t="n">
        <f aca="false">'Stammdaten - Schwimmer'!D38</f>
        <v>0</v>
      </c>
      <c r="E67" s="0" t="n">
        <f aca="false">'Stammdaten - Schwimmer'!E38</f>
        <v>0</v>
      </c>
      <c r="F67" s="0" t="n">
        <f aca="false">'Stammdaten - Schwimmer'!F38</f>
        <v>0</v>
      </c>
      <c r="K67" s="0" t="n">
        <f aca="false">'Stammdaten - Schwimmer'!A69</f>
        <v>67</v>
      </c>
      <c r="L67" s="0" t="n">
        <f aca="false">'Stammdaten - Schwimmer'!B69</f>
        <v>0</v>
      </c>
      <c r="M67" s="0" t="n">
        <f aca="false">'Stammdaten - Schwimmer'!C69</f>
        <v>0</v>
      </c>
      <c r="N67" s="23" t="n">
        <f aca="false">'Stammdaten - Schwimmer'!D69</f>
        <v>0</v>
      </c>
      <c r="O67" s="0" t="n">
        <f aca="false">'Stammdaten - Schwimmer'!E69</f>
        <v>0</v>
      </c>
      <c r="P67" s="0" t="n">
        <f aca="false">'Stammdaten - Schwimmer'!F69</f>
        <v>0</v>
      </c>
      <c r="Q67" s="0" t="n">
        <v>50</v>
      </c>
      <c r="R67" s="0" t="n">
        <f aca="false">P67*Q67</f>
        <v>0</v>
      </c>
    </row>
    <row r="68" customFormat="false" ht="15" hidden="false" customHeight="false" outlineLevel="0" collapsed="false">
      <c r="A68" s="0" t="n">
        <f aca="false">'Stammdaten - Schwimmer'!A39</f>
        <v>37</v>
      </c>
      <c r="B68" s="0" t="n">
        <f aca="false">'Stammdaten - Schwimmer'!B39</f>
        <v>0</v>
      </c>
      <c r="C68" s="0" t="n">
        <f aca="false">'Stammdaten - Schwimmer'!C39</f>
        <v>0</v>
      </c>
      <c r="D68" s="23" t="n">
        <f aca="false">'Stammdaten - Schwimmer'!D39</f>
        <v>0</v>
      </c>
      <c r="E68" s="0" t="n">
        <f aca="false">'Stammdaten - Schwimmer'!E39</f>
        <v>0</v>
      </c>
      <c r="F68" s="0" t="n">
        <f aca="false">'Stammdaten - Schwimmer'!F39</f>
        <v>0</v>
      </c>
      <c r="K68" s="0" t="n">
        <f aca="false">'Stammdaten - Schwimmer'!A70</f>
        <v>68</v>
      </c>
      <c r="L68" s="0" t="n">
        <f aca="false">'Stammdaten - Schwimmer'!B70</f>
        <v>0</v>
      </c>
      <c r="M68" s="0" t="n">
        <f aca="false">'Stammdaten - Schwimmer'!C70</f>
        <v>0</v>
      </c>
      <c r="N68" s="23" t="n">
        <f aca="false">'Stammdaten - Schwimmer'!D70</f>
        <v>0</v>
      </c>
      <c r="O68" s="0" t="n">
        <f aca="false">'Stammdaten - Schwimmer'!E70</f>
        <v>0</v>
      </c>
      <c r="P68" s="0" t="n">
        <f aca="false">'Stammdaten - Schwimmer'!F70</f>
        <v>0</v>
      </c>
      <c r="Q68" s="0" t="n">
        <v>50</v>
      </c>
      <c r="R68" s="0" t="n">
        <f aca="false">P68*Q68</f>
        <v>0</v>
      </c>
    </row>
    <row r="69" customFormat="false" ht="15" hidden="false" customHeight="false" outlineLevel="0" collapsed="false">
      <c r="A69" s="0" t="n">
        <f aca="false">'Stammdaten - Schwimmer'!A40</f>
        <v>38</v>
      </c>
      <c r="B69" s="0" t="n">
        <f aca="false">'Stammdaten - Schwimmer'!B40</f>
        <v>0</v>
      </c>
      <c r="C69" s="0" t="n">
        <f aca="false">'Stammdaten - Schwimmer'!C40</f>
        <v>0</v>
      </c>
      <c r="D69" s="23" t="n">
        <f aca="false">'Stammdaten - Schwimmer'!D40</f>
        <v>0</v>
      </c>
      <c r="E69" s="0" t="n">
        <f aca="false">'Stammdaten - Schwimmer'!E40</f>
        <v>0</v>
      </c>
      <c r="F69" s="0" t="n">
        <f aca="false">'Stammdaten - Schwimmer'!F40</f>
        <v>0</v>
      </c>
      <c r="K69" s="0" t="n">
        <f aca="false">'Stammdaten - Schwimmer'!A71</f>
        <v>69</v>
      </c>
      <c r="L69" s="0" t="n">
        <f aca="false">'Stammdaten - Schwimmer'!B71</f>
        <v>0</v>
      </c>
      <c r="M69" s="0" t="n">
        <f aca="false">'Stammdaten - Schwimmer'!C71</f>
        <v>0</v>
      </c>
      <c r="N69" s="23" t="n">
        <f aca="false">'Stammdaten - Schwimmer'!D71</f>
        <v>0</v>
      </c>
      <c r="O69" s="0" t="n">
        <f aca="false">'Stammdaten - Schwimmer'!E71</f>
        <v>0</v>
      </c>
      <c r="P69" s="0" t="n">
        <f aca="false">'Stammdaten - Schwimmer'!F71</f>
        <v>0</v>
      </c>
      <c r="Q69" s="0" t="n">
        <v>25</v>
      </c>
      <c r="R69" s="0" t="n">
        <f aca="false">P69*Q69</f>
        <v>0</v>
      </c>
    </row>
    <row r="70" customFormat="false" ht="15" hidden="false" customHeight="false" outlineLevel="0" collapsed="false">
      <c r="A70" s="0" t="n">
        <f aca="false">'Stammdaten - Schwimmer'!A41</f>
        <v>39</v>
      </c>
      <c r="B70" s="0" t="n">
        <f aca="false">'Stammdaten - Schwimmer'!B41</f>
        <v>0</v>
      </c>
      <c r="C70" s="0" t="n">
        <f aca="false">'Stammdaten - Schwimmer'!C41</f>
        <v>0</v>
      </c>
      <c r="D70" s="23" t="n">
        <f aca="false">'Stammdaten - Schwimmer'!D41</f>
        <v>0</v>
      </c>
      <c r="E70" s="0" t="n">
        <f aca="false">'Stammdaten - Schwimmer'!E41</f>
        <v>0</v>
      </c>
      <c r="F70" s="0" t="n">
        <f aca="false">'Stammdaten - Schwimmer'!F41</f>
        <v>0</v>
      </c>
      <c r="K70" s="0" t="n">
        <f aca="false">'Stammdaten - Schwimmer'!A72</f>
        <v>70</v>
      </c>
      <c r="L70" s="0" t="str">
        <f aca="false">'Stammdaten - Schwimmer'!B72</f>
        <v>Klick</v>
      </c>
      <c r="M70" s="0" t="str">
        <f aca="false">'Stammdaten - Schwimmer'!C72</f>
        <v>Karin</v>
      </c>
      <c r="N70" s="23" t="n">
        <f aca="false">'Stammdaten - Schwimmer'!D72</f>
        <v>22319</v>
      </c>
      <c r="O70" s="0" t="n">
        <f aca="false">'Stammdaten - Schwimmer'!E72</f>
        <v>508</v>
      </c>
      <c r="P70" s="0" t="n">
        <f aca="false">'Stammdaten - Schwimmer'!F72</f>
        <v>36</v>
      </c>
      <c r="Q70" s="0" t="n">
        <v>50</v>
      </c>
      <c r="R70" s="0" t="n">
        <f aca="false">P70*Q70</f>
        <v>1800</v>
      </c>
    </row>
    <row r="71" customFormat="false" ht="15" hidden="false" customHeight="false" outlineLevel="0" collapsed="false">
      <c r="A71" s="0" t="n">
        <f aca="false">'Stammdaten - Schwimmer'!A42</f>
        <v>40</v>
      </c>
      <c r="B71" s="0" t="n">
        <f aca="false">'Stammdaten - Schwimmer'!B42</f>
        <v>0</v>
      </c>
      <c r="C71" s="0" t="n">
        <f aca="false">'Stammdaten - Schwimmer'!C42</f>
        <v>0</v>
      </c>
      <c r="D71" s="23" t="n">
        <f aca="false">'Stammdaten - Schwimmer'!D42</f>
        <v>0</v>
      </c>
      <c r="E71" s="0" t="n">
        <f aca="false">'Stammdaten - Schwimmer'!E42</f>
        <v>0</v>
      </c>
      <c r="F71" s="0" t="n">
        <f aca="false">'Stammdaten - Schwimmer'!F42</f>
        <v>0</v>
      </c>
      <c r="K71" s="0" t="n">
        <f aca="false">'Stammdaten - Schwimmer'!A73</f>
        <v>71</v>
      </c>
      <c r="L71" s="0" t="str">
        <f aca="false">'Stammdaten - Schwimmer'!B73</f>
        <v>Zimmermann</v>
      </c>
      <c r="M71" s="0" t="str">
        <f aca="false">'Stammdaten - Schwimmer'!C73</f>
        <v>Inge</v>
      </c>
      <c r="N71" s="23" t="n">
        <f aca="false">'Stammdaten - Schwimmer'!D73</f>
        <v>21516</v>
      </c>
      <c r="O71" s="0" t="n">
        <f aca="false">'Stammdaten - Schwimmer'!E73</f>
        <v>508</v>
      </c>
      <c r="P71" s="0" t="n">
        <f aca="false">'Stammdaten - Schwimmer'!F73</f>
        <v>22</v>
      </c>
      <c r="Q71" s="0" t="n">
        <v>25</v>
      </c>
      <c r="R71" s="0" t="n">
        <f aca="false">P71*Q71</f>
        <v>550</v>
      </c>
    </row>
    <row r="72" customFormat="false" ht="15" hidden="false" customHeight="false" outlineLevel="0" collapsed="false">
      <c r="A72" s="0" t="n">
        <f aca="false">'Stammdaten - Schwimmer'!A43</f>
        <v>41</v>
      </c>
      <c r="B72" s="0" t="n">
        <f aca="false">'Stammdaten - Schwimmer'!B43</f>
        <v>0</v>
      </c>
      <c r="C72" s="0" t="n">
        <f aca="false">'Stammdaten - Schwimmer'!C43</f>
        <v>0</v>
      </c>
      <c r="D72" s="23" t="n">
        <f aca="false">'Stammdaten - Schwimmer'!D43</f>
        <v>0</v>
      </c>
      <c r="E72" s="0" t="n">
        <f aca="false">'Stammdaten - Schwimmer'!E43</f>
        <v>0</v>
      </c>
      <c r="F72" s="0" t="n">
        <f aca="false">'Stammdaten - Schwimmer'!F43</f>
        <v>0</v>
      </c>
      <c r="K72" s="0" t="n">
        <f aca="false">'Stammdaten - Schwimmer'!A74</f>
        <v>72</v>
      </c>
      <c r="L72" s="0" t="str">
        <f aca="false">'Stammdaten - Schwimmer'!B74</f>
        <v>Schmid</v>
      </c>
      <c r="M72" s="0" t="str">
        <f aca="false">'Stammdaten - Schwimmer'!C74</f>
        <v>Annette</v>
      </c>
      <c r="N72" s="23" t="n">
        <f aca="false">'Stammdaten - Schwimmer'!D74</f>
        <v>30400</v>
      </c>
      <c r="O72" s="0" t="n">
        <f aca="false">'Stammdaten - Schwimmer'!E74</f>
        <v>503</v>
      </c>
      <c r="P72" s="0" t="n">
        <f aca="false">'Stammdaten - Schwimmer'!F74</f>
        <v>44</v>
      </c>
      <c r="Q72" s="0" t="n">
        <v>25</v>
      </c>
      <c r="R72" s="0" t="n">
        <f aca="false">P72*Q72</f>
        <v>1100</v>
      </c>
    </row>
    <row r="73" customFormat="false" ht="15" hidden="false" customHeight="false" outlineLevel="0" collapsed="false">
      <c r="A73" s="0" t="n">
        <f aca="false">'Stammdaten - Schwimmer'!A44</f>
        <v>42</v>
      </c>
      <c r="B73" s="0" t="n">
        <f aca="false">'Stammdaten - Schwimmer'!B44</f>
        <v>0</v>
      </c>
      <c r="C73" s="0" t="n">
        <f aca="false">'Stammdaten - Schwimmer'!C44</f>
        <v>0</v>
      </c>
      <c r="D73" s="23" t="n">
        <f aca="false">'Stammdaten - Schwimmer'!D44</f>
        <v>0</v>
      </c>
      <c r="E73" s="0" t="n">
        <f aca="false">'Stammdaten - Schwimmer'!E44</f>
        <v>0</v>
      </c>
      <c r="F73" s="0" t="n">
        <f aca="false">'Stammdaten - Schwimmer'!F44</f>
        <v>0</v>
      </c>
      <c r="K73" s="0" t="n">
        <f aca="false">'Stammdaten - Schwimmer'!A75</f>
        <v>73</v>
      </c>
      <c r="L73" s="0" t="str">
        <f aca="false">'Stammdaten - Schwimmer'!B75</f>
        <v>Glaser</v>
      </c>
      <c r="M73" s="0" t="str">
        <f aca="false">'Stammdaten - Schwimmer'!C75</f>
        <v>Mila</v>
      </c>
      <c r="N73" s="23" t="n">
        <f aca="false">'Stammdaten - Schwimmer'!D75</f>
        <v>42450</v>
      </c>
      <c r="O73" s="0" t="n">
        <f aca="false">'Stammdaten - Schwimmer'!E75</f>
        <v>0</v>
      </c>
      <c r="P73" s="0" t="n">
        <f aca="false">'Stammdaten - Schwimmer'!F75</f>
        <v>74</v>
      </c>
      <c r="Q73" s="0" t="n">
        <v>50</v>
      </c>
      <c r="R73" s="0" t="n">
        <f aca="false">P73*Q73</f>
        <v>3700</v>
      </c>
    </row>
    <row r="74" customFormat="false" ht="15" hidden="false" customHeight="false" outlineLevel="0" collapsed="false">
      <c r="A74" s="0" t="n">
        <f aca="false">'Stammdaten - Schwimmer'!A45</f>
        <v>43</v>
      </c>
      <c r="B74" s="0" t="n">
        <f aca="false">'Stammdaten - Schwimmer'!B45</f>
        <v>0</v>
      </c>
      <c r="C74" s="0" t="n">
        <f aca="false">'Stammdaten - Schwimmer'!C45</f>
        <v>0</v>
      </c>
      <c r="D74" s="23" t="n">
        <f aca="false">'Stammdaten - Schwimmer'!D45</f>
        <v>0</v>
      </c>
      <c r="E74" s="0" t="n">
        <f aca="false">'Stammdaten - Schwimmer'!E45</f>
        <v>0</v>
      </c>
      <c r="F74" s="0" t="n">
        <f aca="false">'Stammdaten - Schwimmer'!F45</f>
        <v>0</v>
      </c>
      <c r="K74" s="0" t="n">
        <f aca="false">'Stammdaten - Schwimmer'!A76</f>
        <v>74</v>
      </c>
      <c r="L74" s="0" t="str">
        <f aca="false">'Stammdaten - Schwimmer'!B76</f>
        <v>Schmid</v>
      </c>
      <c r="M74" s="0" t="str">
        <f aca="false">'Stammdaten - Schwimmer'!C76</f>
        <v>Katharina</v>
      </c>
      <c r="N74" s="23" t="n">
        <f aca="false">'Stammdaten - Schwimmer'!D76</f>
        <v>30595</v>
      </c>
      <c r="O74" s="0" t="n">
        <f aca="false">'Stammdaten - Schwimmer'!E76</f>
        <v>502</v>
      </c>
      <c r="P74" s="0" t="n">
        <f aca="false">'Stammdaten - Schwimmer'!F76</f>
        <v>44</v>
      </c>
      <c r="Q74" s="0" t="n">
        <v>50</v>
      </c>
      <c r="R74" s="0" t="n">
        <f aca="false">P74*Q74</f>
        <v>2200</v>
      </c>
    </row>
    <row r="75" customFormat="false" ht="15" hidden="false" customHeight="false" outlineLevel="0" collapsed="false">
      <c r="A75" s="0" t="n">
        <f aca="false">'Stammdaten - Schwimmer'!A46</f>
        <v>44</v>
      </c>
      <c r="B75" s="0" t="n">
        <f aca="false">'Stammdaten - Schwimmer'!B46</f>
        <v>0</v>
      </c>
      <c r="C75" s="0" t="n">
        <f aca="false">'Stammdaten - Schwimmer'!C46</f>
        <v>0</v>
      </c>
      <c r="D75" s="23" t="n">
        <f aca="false">'Stammdaten - Schwimmer'!D46</f>
        <v>0</v>
      </c>
      <c r="E75" s="0" t="n">
        <f aca="false">'Stammdaten - Schwimmer'!E46</f>
        <v>0</v>
      </c>
      <c r="F75" s="0" t="n">
        <f aca="false">'Stammdaten - Schwimmer'!F46</f>
        <v>0</v>
      </c>
      <c r="K75" s="0" t="n">
        <f aca="false">'Stammdaten - Schwimmer'!A77</f>
        <v>75</v>
      </c>
      <c r="L75" s="0" t="str">
        <f aca="false">'Stammdaten - Schwimmer'!B77</f>
        <v>Buck</v>
      </c>
      <c r="M75" s="0" t="str">
        <f aca="false">'Stammdaten - Schwimmer'!C77</f>
        <v>Annika</v>
      </c>
      <c r="N75" s="23" t="n">
        <f aca="false">'Stammdaten - Schwimmer'!D77</f>
        <v>39204</v>
      </c>
      <c r="O75" s="0" t="n">
        <f aca="false">'Stammdaten - Schwimmer'!E77</f>
        <v>502</v>
      </c>
      <c r="P75" s="0" t="n">
        <f aca="false">'Stammdaten - Schwimmer'!F77</f>
        <v>44</v>
      </c>
      <c r="Q75" s="0" t="n">
        <v>50</v>
      </c>
      <c r="R75" s="0" t="n">
        <f aca="false">P75*Q75</f>
        <v>2200</v>
      </c>
    </row>
    <row r="76" customFormat="false" ht="15" hidden="false" customHeight="false" outlineLevel="0" collapsed="false">
      <c r="A76" s="0" t="n">
        <f aca="false">'Stammdaten - Schwimmer'!A47</f>
        <v>45</v>
      </c>
      <c r="B76" s="0" t="n">
        <f aca="false">'Stammdaten - Schwimmer'!B47</f>
        <v>0</v>
      </c>
      <c r="C76" s="0" t="n">
        <f aca="false">'Stammdaten - Schwimmer'!C47</f>
        <v>0</v>
      </c>
      <c r="D76" s="23" t="n">
        <f aca="false">'Stammdaten - Schwimmer'!D47</f>
        <v>0</v>
      </c>
      <c r="E76" s="0" t="n">
        <f aca="false">'Stammdaten - Schwimmer'!E47</f>
        <v>0</v>
      </c>
      <c r="F76" s="0" t="n">
        <f aca="false">'Stammdaten - Schwimmer'!F47</f>
        <v>0</v>
      </c>
      <c r="K76" s="0" t="n">
        <f aca="false">'Stammdaten - Schwimmer'!A78</f>
        <v>76</v>
      </c>
      <c r="L76" s="0" t="str">
        <f aca="false">'Stammdaten - Schwimmer'!B78</f>
        <v>Wohlers</v>
      </c>
      <c r="M76" s="0" t="str">
        <f aca="false">'Stammdaten - Schwimmer'!C78</f>
        <v>Valentin</v>
      </c>
      <c r="N76" s="23" t="n">
        <f aca="false">'Stammdaten - Schwimmer'!D78</f>
        <v>41498</v>
      </c>
      <c r="O76" s="0" t="n">
        <f aca="false">'Stammdaten - Schwimmer'!E78</f>
        <v>0</v>
      </c>
      <c r="P76" s="0" t="n">
        <f aca="false">'Stammdaten - Schwimmer'!F78</f>
        <v>76</v>
      </c>
      <c r="Q76" s="0" t="n">
        <v>25</v>
      </c>
      <c r="R76" s="0" t="n">
        <f aca="false">P76*Q76</f>
        <v>1900</v>
      </c>
    </row>
    <row r="77" customFormat="false" ht="15" hidden="false" customHeight="false" outlineLevel="0" collapsed="false">
      <c r="A77" s="0" t="n">
        <f aca="false">'Stammdaten - Schwimmer'!A48</f>
        <v>46</v>
      </c>
      <c r="B77" s="0" t="n">
        <f aca="false">'Stammdaten - Schwimmer'!B48</f>
        <v>0</v>
      </c>
      <c r="C77" s="0" t="n">
        <f aca="false">'Stammdaten - Schwimmer'!C48</f>
        <v>0</v>
      </c>
      <c r="D77" s="23" t="n">
        <f aca="false">'Stammdaten - Schwimmer'!D48</f>
        <v>0</v>
      </c>
      <c r="E77" s="0" t="n">
        <f aca="false">'Stammdaten - Schwimmer'!E48</f>
        <v>0</v>
      </c>
      <c r="F77" s="0" t="n">
        <f aca="false">'Stammdaten - Schwimmer'!F48</f>
        <v>0</v>
      </c>
      <c r="K77" s="0" t="n">
        <f aca="false">'Stammdaten - Schwimmer'!A79</f>
        <v>77</v>
      </c>
      <c r="L77" s="0" t="str">
        <f aca="false">'Stammdaten - Schwimmer'!B79</f>
        <v>Rink</v>
      </c>
      <c r="M77" s="0" t="str">
        <f aca="false">'Stammdaten - Schwimmer'!C79</f>
        <v>Henrik</v>
      </c>
      <c r="N77" s="23" t="n">
        <f aca="false">'Stammdaten - Schwimmer'!D79</f>
        <v>43484</v>
      </c>
      <c r="O77" s="0" t="n">
        <f aca="false">'Stammdaten - Schwimmer'!E79</f>
        <v>503.505</v>
      </c>
      <c r="P77" s="0" t="n">
        <f aca="false">'Stammdaten - Schwimmer'!F79</f>
        <v>48</v>
      </c>
      <c r="Q77" s="0" t="n">
        <v>25</v>
      </c>
      <c r="R77" s="0" t="n">
        <f aca="false">P77*Q77</f>
        <v>1200</v>
      </c>
    </row>
    <row r="78" customFormat="false" ht="15" hidden="false" customHeight="false" outlineLevel="0" collapsed="false">
      <c r="A78" s="0" t="n">
        <f aca="false">'Stammdaten - Schwimmer'!A50</f>
        <v>48</v>
      </c>
      <c r="B78" s="0" t="n">
        <f aca="false">'Stammdaten - Schwimmer'!B50</f>
        <v>0</v>
      </c>
      <c r="C78" s="0" t="n">
        <f aca="false">'Stammdaten - Schwimmer'!C50</f>
        <v>0</v>
      </c>
      <c r="D78" s="23" t="n">
        <f aca="false">'Stammdaten - Schwimmer'!D50</f>
        <v>0</v>
      </c>
      <c r="E78" s="0" t="n">
        <f aca="false">'Stammdaten - Schwimmer'!E50</f>
        <v>0</v>
      </c>
      <c r="F78" s="0" t="n">
        <f aca="false">'Stammdaten - Schwimmer'!F50</f>
        <v>0</v>
      </c>
      <c r="K78" s="0" t="n">
        <f aca="false">'Stammdaten - Schwimmer'!A80</f>
        <v>78</v>
      </c>
      <c r="L78" s="0" t="str">
        <f aca="false">'Stammdaten - Schwimmer'!B80</f>
        <v>B</v>
      </c>
      <c r="M78" s="0" t="str">
        <f aca="false">'Stammdaten - Schwimmer'!C80</f>
        <v>Pascal</v>
      </c>
      <c r="N78" s="23" t="n">
        <f aca="false">'Stammdaten - Schwimmer'!D80</f>
        <v>32874</v>
      </c>
      <c r="O78" s="0" t="n">
        <f aca="false">'Stammdaten - Schwimmer'!E80</f>
        <v>503.504</v>
      </c>
      <c r="P78" s="0" t="n">
        <f aca="false">'Stammdaten - Schwimmer'!F80</f>
        <v>50</v>
      </c>
      <c r="Q78" s="0" t="n">
        <v>25</v>
      </c>
      <c r="R78" s="0" t="n">
        <f aca="false">P78*Q78</f>
        <v>1250</v>
      </c>
    </row>
    <row r="79" customFormat="false" ht="15" hidden="false" customHeight="false" outlineLevel="0" collapsed="false">
      <c r="A79" s="0" t="n">
        <f aca="false">'Stammdaten - Schwimmer'!A51</f>
        <v>49</v>
      </c>
      <c r="B79" s="0" t="n">
        <f aca="false">'Stammdaten - Schwimmer'!B51</f>
        <v>0</v>
      </c>
      <c r="C79" s="0" t="n">
        <f aca="false">'Stammdaten - Schwimmer'!C51</f>
        <v>0</v>
      </c>
      <c r="D79" s="23" t="n">
        <f aca="false">'Stammdaten - Schwimmer'!D51</f>
        <v>0</v>
      </c>
      <c r="E79" s="0" t="n">
        <f aca="false">'Stammdaten - Schwimmer'!E51</f>
        <v>0</v>
      </c>
      <c r="F79" s="0" t="n">
        <f aca="false">'Stammdaten - Schwimmer'!F51</f>
        <v>0</v>
      </c>
      <c r="K79" s="0" t="n">
        <f aca="false">'Stammdaten - Schwimmer'!A81</f>
        <v>79</v>
      </c>
      <c r="L79" s="0" t="str">
        <f aca="false">'Stammdaten - Schwimmer'!B81</f>
        <v>Fritz</v>
      </c>
      <c r="M79" s="0" t="str">
        <f aca="false">'Stammdaten - Schwimmer'!C81</f>
        <v>Lukas</v>
      </c>
      <c r="N79" s="23" t="n">
        <f aca="false">'Stammdaten - Schwimmer'!D81</f>
        <v>35085</v>
      </c>
      <c r="O79" s="0" t="n">
        <f aca="false">'Stammdaten - Schwimmer'!E81</f>
        <v>0</v>
      </c>
      <c r="P79" s="0" t="n">
        <f aca="false">'Stammdaten - Schwimmer'!F81</f>
        <v>46</v>
      </c>
      <c r="Q79" s="0" t="n">
        <v>50</v>
      </c>
      <c r="R79" s="0" t="n">
        <f aca="false">P79*Q79</f>
        <v>2300</v>
      </c>
    </row>
    <row r="80" customFormat="false" ht="15" hidden="false" customHeight="false" outlineLevel="0" collapsed="false">
      <c r="A80" s="0" t="n">
        <f aca="false">'Stammdaten - Schwimmer'!A52</f>
        <v>50</v>
      </c>
      <c r="B80" s="0" t="str">
        <f aca="false">'Stammdaten - Schwimmer'!B52</f>
        <v>Ludwig</v>
      </c>
      <c r="C80" s="0" t="str">
        <f aca="false">'Stammdaten - Schwimmer'!C52</f>
        <v>Mariya</v>
      </c>
      <c r="D80" s="23" t="n">
        <f aca="false">'Stammdaten - Schwimmer'!D52</f>
        <v>40298</v>
      </c>
      <c r="E80" s="0" t="n">
        <f aca="false">'Stammdaten - Schwimmer'!E52</f>
        <v>502</v>
      </c>
      <c r="F80" s="0" t="n">
        <f aca="false">'Stammdaten - Schwimmer'!F52</f>
        <v>54</v>
      </c>
      <c r="K80" s="0" t="n">
        <f aca="false">'Stammdaten - Schwimmer'!A82</f>
        <v>80</v>
      </c>
      <c r="L80" s="0" t="str">
        <f aca="false">'Stammdaten - Schwimmer'!B82</f>
        <v>Schönefeld</v>
      </c>
      <c r="M80" s="0" t="str">
        <f aca="false">'Stammdaten - Schwimmer'!C82</f>
        <v>Frida Marie</v>
      </c>
      <c r="N80" s="23" t="n">
        <f aca="false">'Stammdaten - Schwimmer'!D82</f>
        <v>43719</v>
      </c>
      <c r="O80" s="0" t="n">
        <f aca="false">'Stammdaten - Schwimmer'!E82</f>
        <v>0</v>
      </c>
      <c r="P80" s="0" t="n">
        <f aca="false">'Stammdaten - Schwimmer'!F82</f>
        <v>32</v>
      </c>
      <c r="Q80" s="0" t="n">
        <v>50</v>
      </c>
      <c r="R80" s="0" t="n">
        <f aca="false">P80*Q80</f>
        <v>1600</v>
      </c>
    </row>
    <row r="81" customFormat="false" ht="15" hidden="false" customHeight="false" outlineLevel="0" collapsed="false">
      <c r="A81" s="0" t="n">
        <f aca="false">'Stammdaten - Schwimmer'!A53</f>
        <v>51</v>
      </c>
      <c r="B81" s="0" t="str">
        <f aca="false">'Stammdaten - Schwimmer'!B53</f>
        <v>Warga</v>
      </c>
      <c r="C81" s="0" t="str">
        <f aca="false">'Stammdaten - Schwimmer'!C53</f>
        <v>Eva</v>
      </c>
      <c r="D81" s="23" t="n">
        <f aca="false">'Stammdaten - Schwimmer'!D53</f>
        <v>42629</v>
      </c>
      <c r="E81" s="0" t="n">
        <f aca="false">'Stammdaten - Schwimmer'!E53</f>
        <v>507</v>
      </c>
      <c r="F81" s="0" t="n">
        <f aca="false">'Stammdaten - Schwimmer'!F53</f>
        <v>102</v>
      </c>
      <c r="K81" s="0" t="n">
        <f aca="false">'Stammdaten - Schwimmer'!A83</f>
        <v>81</v>
      </c>
      <c r="L81" s="0" t="str">
        <f aca="false">'Stammdaten - Schwimmer'!B83</f>
        <v>Mauer</v>
      </c>
      <c r="M81" s="0" t="str">
        <f aca="false">'Stammdaten - Schwimmer'!C83</f>
        <v>Mika</v>
      </c>
      <c r="N81" s="23" t="n">
        <f aca="false">'Stammdaten - Schwimmer'!D83</f>
        <v>41857</v>
      </c>
      <c r="O81" s="0" t="n">
        <f aca="false">'Stammdaten - Schwimmer'!E83</f>
        <v>503</v>
      </c>
      <c r="P81" s="0" t="n">
        <f aca="false">'Stammdaten - Schwimmer'!F83</f>
        <v>124</v>
      </c>
      <c r="Q81" s="0" t="n">
        <v>25</v>
      </c>
      <c r="R81" s="0" t="n">
        <f aca="false">P81*Q81</f>
        <v>3100</v>
      </c>
    </row>
    <row r="82" customFormat="false" ht="15" hidden="false" customHeight="false" outlineLevel="0" collapsed="false">
      <c r="A82" s="0" t="n">
        <f aca="false">'Stammdaten - Schwimmer'!A54</f>
        <v>52</v>
      </c>
      <c r="B82" s="0" t="str">
        <f aca="false">'Stammdaten - Schwimmer'!B54</f>
        <v>Warga</v>
      </c>
      <c r="C82" s="0" t="str">
        <f aca="false">'Stammdaten - Schwimmer'!C54</f>
        <v>Christina</v>
      </c>
      <c r="D82" s="23" t="n">
        <f aca="false">'Stammdaten - Schwimmer'!D54</f>
        <v>27766</v>
      </c>
      <c r="E82" s="0" t="n">
        <f aca="false">'Stammdaten - Schwimmer'!E54</f>
        <v>507</v>
      </c>
      <c r="F82" s="0" t="n">
        <f aca="false">'Stammdaten - Schwimmer'!F54</f>
        <v>40</v>
      </c>
      <c r="K82" s="0" t="n">
        <f aca="false">'Stammdaten - Schwimmer'!A84</f>
        <v>82</v>
      </c>
      <c r="L82" s="0" t="str">
        <f aca="false">'Stammdaten - Schwimmer'!B84</f>
        <v>Veit</v>
      </c>
      <c r="M82" s="0" t="str">
        <f aca="false">'Stammdaten - Schwimmer'!C84</f>
        <v>Dorothea</v>
      </c>
      <c r="N82" s="23" t="n">
        <f aca="false">'Stammdaten - Schwimmer'!D84</f>
        <v>41475</v>
      </c>
      <c r="O82" s="0" t="n">
        <f aca="false">'Stammdaten - Schwimmer'!E84</f>
        <v>503</v>
      </c>
      <c r="P82" s="0" t="n">
        <f aca="false">'Stammdaten - Schwimmer'!F84</f>
        <v>104</v>
      </c>
      <c r="Q82" s="0" t="n">
        <v>25</v>
      </c>
      <c r="R82" s="0" t="n">
        <f aca="false">P82*Q82</f>
        <v>2600</v>
      </c>
    </row>
    <row r="83" customFormat="false" ht="15" hidden="false" customHeight="false" outlineLevel="0" collapsed="false">
      <c r="A83" s="0" t="n">
        <f aca="false">'Stammdaten - Schwimmer'!A55</f>
        <v>53</v>
      </c>
      <c r="B83" s="0" t="str">
        <f aca="false">'Stammdaten - Schwimmer'!B55</f>
        <v>Warga</v>
      </c>
      <c r="C83" s="0" t="str">
        <f aca="false">'Stammdaten - Schwimmer'!C55</f>
        <v>Paula</v>
      </c>
      <c r="D83" s="23" t="n">
        <f aca="false">'Stammdaten - Schwimmer'!D55</f>
        <v>39823</v>
      </c>
      <c r="E83" s="0" t="n">
        <f aca="false">'Stammdaten - Schwimmer'!E55</f>
        <v>507</v>
      </c>
      <c r="F83" s="0" t="n">
        <f aca="false">'Stammdaten - Schwimmer'!F55</f>
        <v>58</v>
      </c>
      <c r="K83" s="0" t="n">
        <f aca="false">'Stammdaten - Schwimmer'!A85</f>
        <v>83</v>
      </c>
      <c r="L83" s="0" t="str">
        <f aca="false">'Stammdaten - Schwimmer'!B85</f>
        <v>Heineke</v>
      </c>
      <c r="M83" s="0" t="str">
        <f aca="false">'Stammdaten - Schwimmer'!C85</f>
        <v>Jana</v>
      </c>
      <c r="N83" s="23" t="n">
        <f aca="false">'Stammdaten - Schwimmer'!D85</f>
        <v>40445</v>
      </c>
      <c r="O83" s="0" t="n">
        <f aca="false">'Stammdaten - Schwimmer'!E85</f>
        <v>503</v>
      </c>
      <c r="P83" s="0" t="n">
        <f aca="false">'Stammdaten - Schwimmer'!F85</f>
        <v>64</v>
      </c>
      <c r="Q83" s="0" t="n">
        <v>50</v>
      </c>
      <c r="R83" s="0" t="n">
        <f aca="false">P83*Q83</f>
        <v>3200</v>
      </c>
    </row>
    <row r="84" customFormat="false" ht="15" hidden="false" customHeight="false" outlineLevel="0" collapsed="false">
      <c r="A84" s="0" t="n">
        <f aca="false">'Stammdaten - Schwimmer'!A56</f>
        <v>54</v>
      </c>
      <c r="B84" s="0" t="str">
        <f aca="false">'Stammdaten - Schwimmer'!B56</f>
        <v>Warga</v>
      </c>
      <c r="C84" s="0" t="str">
        <f aca="false">'Stammdaten - Schwimmer'!C56</f>
        <v>Christian</v>
      </c>
      <c r="D84" s="23" t="n">
        <f aca="false">'Stammdaten - Schwimmer'!D56</f>
        <v>27486</v>
      </c>
      <c r="E84" s="0" t="n">
        <f aca="false">'Stammdaten - Schwimmer'!E56</f>
        <v>507</v>
      </c>
      <c r="F84" s="0" t="n">
        <f aca="false">'Stammdaten - Schwimmer'!F56</f>
        <v>38</v>
      </c>
      <c r="K84" s="0" t="n">
        <f aca="false">'Stammdaten - Schwimmer'!A86</f>
        <v>84</v>
      </c>
      <c r="L84" s="0" t="str">
        <f aca="false">'Stammdaten - Schwimmer'!B86</f>
        <v>Mauer</v>
      </c>
      <c r="M84" s="0" t="str">
        <f aca="false">'Stammdaten - Schwimmer'!C86</f>
        <v>Jana</v>
      </c>
      <c r="N84" s="23" t="n">
        <f aca="false">'Stammdaten - Schwimmer'!D86</f>
        <v>41857</v>
      </c>
      <c r="O84" s="0" t="n">
        <f aca="false">'Stammdaten - Schwimmer'!E86</f>
        <v>503</v>
      </c>
      <c r="P84" s="0" t="n">
        <f aca="false">'Stammdaten - Schwimmer'!F86</f>
        <v>42</v>
      </c>
      <c r="Q84" s="0" t="n">
        <v>50</v>
      </c>
      <c r="R84" s="0" t="n">
        <f aca="false">P84*Q84</f>
        <v>2100</v>
      </c>
    </row>
    <row r="85" customFormat="false" ht="15" hidden="false" customHeight="false" outlineLevel="0" collapsed="false">
      <c r="A85" s="0" t="n">
        <f aca="false">'Stammdaten - Schwimmer'!A57</f>
        <v>55</v>
      </c>
      <c r="B85" s="0" t="n">
        <f aca="false">'Stammdaten - Schwimmer'!B57</f>
        <v>0</v>
      </c>
      <c r="C85" s="0" t="n">
        <f aca="false">'Stammdaten - Schwimmer'!C57</f>
        <v>0</v>
      </c>
      <c r="D85" s="23" t="n">
        <f aca="false">'Stammdaten - Schwimmer'!D57</f>
        <v>0</v>
      </c>
      <c r="E85" s="0" t="n">
        <f aca="false">'Stammdaten - Schwimmer'!E57</f>
        <v>0</v>
      </c>
      <c r="F85" s="0" t="n">
        <f aca="false">'Stammdaten - Schwimmer'!F57</f>
        <v>0</v>
      </c>
      <c r="K85" s="0" t="n">
        <f aca="false">'Stammdaten - Schwimmer'!A87</f>
        <v>85</v>
      </c>
      <c r="L85" s="0" t="str">
        <f aca="false">'Stammdaten - Schwimmer'!B87</f>
        <v>Fernandez</v>
      </c>
      <c r="M85" s="0" t="str">
        <f aca="false">'Stammdaten - Schwimmer'!C87</f>
        <v>Silvia Velesco</v>
      </c>
      <c r="N85" s="23" t="n">
        <f aca="false">'Stammdaten - Schwimmer'!D87</f>
        <v>26482</v>
      </c>
      <c r="O85" s="0" t="n">
        <f aca="false">'Stammdaten - Schwimmer'!E87</f>
        <v>0</v>
      </c>
      <c r="P85" s="0" t="n">
        <f aca="false">'Stammdaten - Schwimmer'!F87</f>
        <v>32</v>
      </c>
      <c r="Q85" s="0" t="n">
        <v>50</v>
      </c>
      <c r="R85" s="0" t="n">
        <f aca="false">P85*Q85</f>
        <v>1600</v>
      </c>
    </row>
    <row r="86" customFormat="false" ht="15" hidden="false" customHeight="false" outlineLevel="0" collapsed="false">
      <c r="A86" s="0" t="n">
        <f aca="false">'Stammdaten - Schwimmer'!A58</f>
        <v>56</v>
      </c>
      <c r="B86" s="0" t="n">
        <f aca="false">'Stammdaten - Schwimmer'!B58</f>
        <v>0</v>
      </c>
      <c r="C86" s="0" t="n">
        <f aca="false">'Stammdaten - Schwimmer'!C58</f>
        <v>0</v>
      </c>
      <c r="D86" s="23" t="n">
        <f aca="false">'Stammdaten - Schwimmer'!D58</f>
        <v>0</v>
      </c>
      <c r="E86" s="0" t="n">
        <f aca="false">'Stammdaten - Schwimmer'!E58</f>
        <v>0</v>
      </c>
      <c r="F86" s="0" t="n">
        <f aca="false">'Stammdaten - Schwimmer'!F58</f>
        <v>0</v>
      </c>
      <c r="K86" s="0" t="n">
        <f aca="false">'Stammdaten - Schwimmer'!A88</f>
        <v>86</v>
      </c>
      <c r="L86" s="0" t="str">
        <f aca="false">'Stammdaten - Schwimmer'!B88</f>
        <v>Collmer</v>
      </c>
      <c r="M86" s="0" t="str">
        <f aca="false">'Stammdaten - Schwimmer'!C88</f>
        <v>Andreas</v>
      </c>
      <c r="N86" s="23" t="n">
        <f aca="false">'Stammdaten - Schwimmer'!D88</f>
        <v>25976</v>
      </c>
      <c r="O86" s="0" t="n">
        <f aca="false">'Stammdaten - Schwimmer'!E88</f>
        <v>0</v>
      </c>
      <c r="P86" s="0" t="n">
        <f aca="false">'Stammdaten - Schwimmer'!F88</f>
        <v>52</v>
      </c>
      <c r="Q86" s="0" t="n">
        <v>25</v>
      </c>
      <c r="R86" s="0" t="n">
        <f aca="false">P86*Q86</f>
        <v>1300</v>
      </c>
    </row>
    <row r="87" customFormat="false" ht="15" hidden="false" customHeight="false" outlineLevel="0" collapsed="false">
      <c r="A87" s="0" t="n">
        <f aca="false">'Stammdaten - Schwimmer'!A59</f>
        <v>57</v>
      </c>
      <c r="B87" s="0" t="n">
        <f aca="false">'Stammdaten - Schwimmer'!B59</f>
        <v>0</v>
      </c>
      <c r="C87" s="0" t="n">
        <f aca="false">'Stammdaten - Schwimmer'!C59</f>
        <v>0</v>
      </c>
      <c r="D87" s="23" t="n">
        <f aca="false">'Stammdaten - Schwimmer'!D59</f>
        <v>0</v>
      </c>
      <c r="E87" s="0" t="n">
        <f aca="false">'Stammdaten - Schwimmer'!E59</f>
        <v>0</v>
      </c>
      <c r="F87" s="0" t="n">
        <f aca="false">'Stammdaten - Schwimmer'!F59</f>
        <v>0</v>
      </c>
      <c r="K87" s="0" t="n">
        <f aca="false">'Stammdaten - Schwimmer'!A89</f>
        <v>87</v>
      </c>
      <c r="L87" s="0" t="str">
        <f aca="false">'Stammdaten - Schwimmer'!B89</f>
        <v>Tutsch</v>
      </c>
      <c r="M87" s="0" t="str">
        <f aca="false">'Stammdaten - Schwimmer'!C89</f>
        <v>Linda</v>
      </c>
      <c r="N87" s="23" t="n">
        <f aca="false">'Stammdaten - Schwimmer'!D89</f>
        <v>41934</v>
      </c>
      <c r="O87" s="0" t="n">
        <f aca="false">'Stammdaten - Schwimmer'!E89</f>
        <v>505</v>
      </c>
      <c r="P87" s="0" t="n">
        <f aca="false">'Stammdaten - Schwimmer'!F89</f>
        <v>84</v>
      </c>
      <c r="Q87" s="0" t="n">
        <v>50</v>
      </c>
      <c r="R87" s="0" t="n">
        <f aca="false">P87*Q87</f>
        <v>4200</v>
      </c>
    </row>
    <row r="88" customFormat="false" ht="15" hidden="false" customHeight="false" outlineLevel="0" collapsed="false">
      <c r="A88" s="0" t="n">
        <f aca="false">'Stammdaten - Schwimmer'!A60</f>
        <v>58</v>
      </c>
      <c r="B88" s="0" t="n">
        <f aca="false">'Stammdaten - Schwimmer'!B60</f>
        <v>0</v>
      </c>
      <c r="C88" s="0" t="n">
        <f aca="false">'Stammdaten - Schwimmer'!C60</f>
        <v>0</v>
      </c>
      <c r="D88" s="23" t="n">
        <f aca="false">'Stammdaten - Schwimmer'!D60</f>
        <v>0</v>
      </c>
      <c r="E88" s="0" t="n">
        <f aca="false">'Stammdaten - Schwimmer'!E60</f>
        <v>0</v>
      </c>
      <c r="F88" s="0" t="n">
        <f aca="false">'Stammdaten - Schwimmer'!F60</f>
        <v>0</v>
      </c>
      <c r="K88" s="0" t="n">
        <f aca="false">'Stammdaten - Schwimmer'!A90</f>
        <v>88</v>
      </c>
      <c r="L88" s="0" t="str">
        <f aca="false">'Stammdaten - Schwimmer'!B90</f>
        <v>Tutsch</v>
      </c>
      <c r="M88" s="0" t="str">
        <f aca="false">'Stammdaten - Schwimmer'!C90</f>
        <v>Daniel</v>
      </c>
      <c r="N88" s="23" t="n">
        <f aca="false">'Stammdaten - Schwimmer'!D90</f>
        <v>41321</v>
      </c>
      <c r="O88" s="0" t="n">
        <f aca="false">'Stammdaten - Schwimmer'!E90</f>
        <v>505</v>
      </c>
      <c r="P88" s="0" t="n">
        <f aca="false">'Stammdaten - Schwimmer'!F90</f>
        <v>84</v>
      </c>
      <c r="Q88" s="0" t="n">
        <v>50</v>
      </c>
      <c r="R88" s="0" t="n">
        <f aca="false">P88*Q88</f>
        <v>4200</v>
      </c>
    </row>
    <row r="89" customFormat="false" ht="15" hidden="false" customHeight="false" outlineLevel="0" collapsed="false">
      <c r="A89" s="0" t="n">
        <f aca="false">'Stammdaten - Schwimmer'!A61</f>
        <v>59</v>
      </c>
      <c r="B89" s="0" t="n">
        <f aca="false">'Stammdaten - Schwimmer'!B61</f>
        <v>0</v>
      </c>
      <c r="C89" s="0" t="n">
        <f aca="false">'Stammdaten - Schwimmer'!C61</f>
        <v>0</v>
      </c>
      <c r="D89" s="23" t="n">
        <f aca="false">'Stammdaten - Schwimmer'!D61</f>
        <v>0</v>
      </c>
      <c r="E89" s="0" t="n">
        <f aca="false">'Stammdaten - Schwimmer'!E61</f>
        <v>0</v>
      </c>
      <c r="F89" s="0" t="n">
        <f aca="false">'Stammdaten - Schwimmer'!F61</f>
        <v>0</v>
      </c>
      <c r="K89" s="0" t="n">
        <f aca="false">'Stammdaten - Schwimmer'!A91</f>
        <v>89</v>
      </c>
      <c r="L89" s="0" t="str">
        <f aca="false">'Stammdaten - Schwimmer'!B91</f>
        <v>Sommerfeld</v>
      </c>
      <c r="M89" s="0" t="str">
        <f aca="false">'Stammdaten - Schwimmer'!C91</f>
        <v>Andreas</v>
      </c>
      <c r="N89" s="23" t="n">
        <f aca="false">'Stammdaten - Schwimmer'!D91</f>
        <v>22924</v>
      </c>
      <c r="O89" s="0" t="n">
        <f aca="false">'Stammdaten - Schwimmer'!E91</f>
        <v>0</v>
      </c>
      <c r="P89" s="0" t="n">
        <f aca="false">'Stammdaten - Schwimmer'!F91</f>
        <v>42</v>
      </c>
      <c r="Q89" s="0" t="n">
        <v>50</v>
      </c>
      <c r="R89" s="0" t="n">
        <f aca="false">P89*Q89</f>
        <v>2100</v>
      </c>
    </row>
    <row r="90" customFormat="false" ht="15" hidden="false" customHeight="false" outlineLevel="0" collapsed="false">
      <c r="A90" s="0" t="n">
        <f aca="false">'Stammdaten - Schwimmer'!A62</f>
        <v>60</v>
      </c>
      <c r="B90" s="0" t="n">
        <f aca="false">'Stammdaten - Schwimmer'!B62</f>
        <v>0</v>
      </c>
      <c r="C90" s="0" t="n">
        <f aca="false">'Stammdaten - Schwimmer'!C62</f>
        <v>0</v>
      </c>
      <c r="D90" s="23" t="n">
        <f aca="false">'Stammdaten - Schwimmer'!D62</f>
        <v>0</v>
      </c>
      <c r="E90" s="0" t="n">
        <f aca="false">'Stammdaten - Schwimmer'!E62</f>
        <v>0</v>
      </c>
      <c r="F90" s="0" t="n">
        <f aca="false">'Stammdaten - Schwimmer'!F62</f>
        <v>0</v>
      </c>
      <c r="K90" s="0" t="s">
        <v>84</v>
      </c>
    </row>
    <row r="91" customFormat="false" ht="28.35" hidden="false" customHeight="false" outlineLevel="0" collapsed="false">
      <c r="A91" s="0" t="n">
        <f aca="false">'Stammdaten - Schwimmer'!A63</f>
        <v>61</v>
      </c>
      <c r="B91" s="0" t="n">
        <f aca="false">'Stammdaten - Schwimmer'!B63</f>
        <v>0</v>
      </c>
      <c r="C91" s="0" t="n">
        <f aca="false">'Stammdaten - Schwimmer'!C63</f>
        <v>0</v>
      </c>
      <c r="D91" s="23" t="n">
        <f aca="false">'Stammdaten - Schwimmer'!D63</f>
        <v>0</v>
      </c>
      <c r="E91" s="0" t="n">
        <f aca="false">'Stammdaten - Schwimmer'!E63</f>
        <v>0</v>
      </c>
      <c r="F91" s="0" t="n">
        <f aca="false">'Stammdaten - Schwimmer'!F63</f>
        <v>0</v>
      </c>
      <c r="K91" s="0" t="str">
        <f aca="false">'Stammdaten - Schwimmer'!A3</f>
        <v>Nummer</v>
      </c>
      <c r="L91" s="0" t="str">
        <f aca="false">'Stammdaten - Schwimmer'!B3</f>
        <v>Name </v>
      </c>
      <c r="M91" s="0" t="str">
        <f aca="false">'Stammdaten - Schwimmer'!C3</f>
        <v>Vormname</v>
      </c>
      <c r="N91" s="23" t="str">
        <f aca="false">'Stammdaten - Schwimmer'!D3</f>
        <v>Geburtstag</v>
      </c>
      <c r="O91" s="0" t="str">
        <f aca="false">'Stammdaten - Schwimmer'!E3</f>
        <v>Mannschaft</v>
      </c>
      <c r="P91" s="0" t="str">
        <f aca="false">'Stammdaten - Schwimmer'!F3</f>
        <v>Anzahl
Bahnen</v>
      </c>
      <c r="R91" s="0" t="s">
        <v>85</v>
      </c>
    </row>
    <row r="92" customFormat="false" ht="15" hidden="false" customHeight="false" outlineLevel="0" collapsed="false">
      <c r="A92" s="0" t="n">
        <f aca="false">'Stammdaten - Schwimmer'!A64</f>
        <v>62</v>
      </c>
      <c r="B92" s="0" t="n">
        <f aca="false">'Stammdaten - Schwimmer'!B64</f>
        <v>0</v>
      </c>
      <c r="C92" s="0" t="n">
        <f aca="false">'Stammdaten - Schwimmer'!C64</f>
        <v>0</v>
      </c>
      <c r="D92" s="23" t="n">
        <f aca="false">'Stammdaten - Schwimmer'!D64</f>
        <v>0</v>
      </c>
      <c r="E92" s="0" t="n">
        <f aca="false">'Stammdaten - Schwimmer'!E64</f>
        <v>0</v>
      </c>
      <c r="F92" s="0" t="n">
        <f aca="false">'Stammdaten - Schwimmer'!F64</f>
        <v>0</v>
      </c>
      <c r="K92" s="0" t="e">
        <f aca="false">'stammdaten - schwimmer'!#ref!</f>
        <v>#VALUE!</v>
      </c>
      <c r="L92" s="0" t="e">
        <f aca="false">'stammdaten - schwimmer'!#ref!</f>
        <v>#VALUE!</v>
      </c>
      <c r="M92" s="0" t="e">
        <f aca="false">'stammdaten - schwimmer'!#ref!</f>
        <v>#VALUE!</v>
      </c>
      <c r="N92" s="23" t="e">
        <f aca="false">'stammdaten - schwimmer'!#ref!</f>
        <v>#VALUE!</v>
      </c>
      <c r="O92" s="0" t="e">
        <f aca="false">'stammdaten - schwimmer'!#ref!</f>
        <v>#VALUE!</v>
      </c>
      <c r="P92" s="0" t="e">
        <f aca="false">'stammdaten - schwimmer'!#ref!</f>
        <v>#VALUE!</v>
      </c>
      <c r="Q92" s="0" t="n">
        <v>50</v>
      </c>
      <c r="R92" s="0" t="e">
        <f aca="false">P92*Q92</f>
        <v>#VALUE!</v>
      </c>
    </row>
    <row r="93" customFormat="false" ht="15" hidden="false" customHeight="false" outlineLevel="0" collapsed="false">
      <c r="A93" s="0" t="n">
        <f aca="false">'Stammdaten - Schwimmer'!A65</f>
        <v>63</v>
      </c>
      <c r="B93" s="0" t="n">
        <f aca="false">'Stammdaten - Schwimmer'!B65</f>
        <v>0</v>
      </c>
      <c r="C93" s="0" t="n">
        <f aca="false">'Stammdaten - Schwimmer'!C65</f>
        <v>0</v>
      </c>
      <c r="D93" s="23" t="n">
        <f aca="false">'Stammdaten - Schwimmer'!D65</f>
        <v>0</v>
      </c>
      <c r="E93" s="0" t="n">
        <f aca="false">'Stammdaten - Schwimmer'!E65</f>
        <v>0</v>
      </c>
      <c r="F93" s="0" t="n">
        <f aca="false">'Stammdaten - Schwimmer'!F65</f>
        <v>0</v>
      </c>
      <c r="K93" s="0" t="e">
        <f aca="false">'stammdaten - schwimmer'!#ref!</f>
        <v>#VALUE!</v>
      </c>
      <c r="L93" s="0" t="e">
        <f aca="false">'stammdaten - schwimmer'!#ref!</f>
        <v>#VALUE!</v>
      </c>
      <c r="M93" s="0" t="e">
        <f aca="false">'stammdaten - schwimmer'!#ref!</f>
        <v>#VALUE!</v>
      </c>
      <c r="N93" s="23" t="e">
        <f aca="false">'stammdaten - schwimmer'!#ref!</f>
        <v>#VALUE!</v>
      </c>
      <c r="O93" s="0" t="e">
        <f aca="false">'stammdaten - schwimmer'!#ref!</f>
        <v>#VALUE!</v>
      </c>
      <c r="P93" s="0" t="e">
        <f aca="false">'stammdaten - schwimmer'!#ref!</f>
        <v>#VALUE!</v>
      </c>
      <c r="Q93" s="0" t="n">
        <v>50</v>
      </c>
      <c r="R93" s="0" t="e">
        <f aca="false">P93*Q93</f>
        <v>#VALUE!</v>
      </c>
    </row>
    <row r="94" customFormat="false" ht="15" hidden="false" customHeight="false" outlineLevel="0" collapsed="false">
      <c r="A94" s="0" t="n">
        <f aca="false">'Stammdaten - Schwimmer'!A66</f>
        <v>64</v>
      </c>
      <c r="B94" s="0" t="n">
        <f aca="false">'Stammdaten - Schwimmer'!B66</f>
        <v>0</v>
      </c>
      <c r="C94" s="0" t="n">
        <f aca="false">'Stammdaten - Schwimmer'!C66</f>
        <v>0</v>
      </c>
      <c r="D94" s="23" t="n">
        <f aca="false">'Stammdaten - Schwimmer'!D66</f>
        <v>0</v>
      </c>
      <c r="E94" s="0" t="n">
        <f aca="false">'Stammdaten - Schwimmer'!E66</f>
        <v>0</v>
      </c>
      <c r="F94" s="0" t="n">
        <f aca="false">'Stammdaten - Schwimmer'!F66</f>
        <v>0</v>
      </c>
      <c r="K94" s="0" t="e">
        <f aca="false">'stammdaten - schwimmer'!#ref!</f>
        <v>#VALUE!</v>
      </c>
      <c r="L94" s="0" t="e">
        <f aca="false">'stammdaten - schwimmer'!#ref!</f>
        <v>#VALUE!</v>
      </c>
      <c r="M94" s="0" t="e">
        <f aca="false">'stammdaten - schwimmer'!#ref!</f>
        <v>#VALUE!</v>
      </c>
      <c r="N94" s="23" t="e">
        <f aca="false">'stammdaten - schwimmer'!#ref!</f>
        <v>#VALUE!</v>
      </c>
      <c r="O94" s="0" t="e">
        <f aca="false">'stammdaten - schwimmer'!#ref!</f>
        <v>#VALUE!</v>
      </c>
      <c r="P94" s="0" t="e">
        <f aca="false">'stammdaten - schwimmer'!#ref!</f>
        <v>#VALUE!</v>
      </c>
      <c r="Q94" s="0" t="n">
        <v>25</v>
      </c>
      <c r="R94" s="0" t="e">
        <f aca="false">P94*Q94</f>
        <v>#VALUE!</v>
      </c>
    </row>
    <row r="95" customFormat="false" ht="15" hidden="false" customHeight="false" outlineLevel="0" collapsed="false">
      <c r="A95" s="0" t="n">
        <f aca="false">'Stammdaten - Schwimmer'!A67</f>
        <v>65</v>
      </c>
      <c r="B95" s="0" t="n">
        <f aca="false">'Stammdaten - Schwimmer'!B67</f>
        <v>0</v>
      </c>
      <c r="C95" s="0" t="n">
        <f aca="false">'Stammdaten - Schwimmer'!C67</f>
        <v>0</v>
      </c>
      <c r="D95" s="23" t="n">
        <f aca="false">'Stammdaten - Schwimmer'!D67</f>
        <v>0</v>
      </c>
      <c r="E95" s="0" t="n">
        <f aca="false">'Stammdaten - Schwimmer'!E67</f>
        <v>0</v>
      </c>
      <c r="F95" s="0" t="n">
        <f aca="false">'Stammdaten - Schwimmer'!F67</f>
        <v>0</v>
      </c>
      <c r="P95" s="0" t="e">
        <f aca="false">SUM(P3:P94)</f>
        <v>#VALUE!</v>
      </c>
      <c r="R95" s="0" t="e">
        <f aca="false">SUM(R3:R94)</f>
        <v>#VALUE!</v>
      </c>
    </row>
    <row r="96" customFormat="false" ht="15" hidden="false" customHeight="false" outlineLevel="0" collapsed="false">
      <c r="A96" s="0" t="n">
        <f aca="false">'Stammdaten - Schwimmer'!A68</f>
        <v>66</v>
      </c>
      <c r="B96" s="0" t="n">
        <f aca="false">'Stammdaten - Schwimmer'!B68</f>
        <v>0</v>
      </c>
      <c r="C96" s="0" t="n">
        <f aca="false">'Stammdaten - Schwimmer'!C68</f>
        <v>0</v>
      </c>
      <c r="D96" s="23" t="n">
        <f aca="false">'Stammdaten - Schwimmer'!D68</f>
        <v>0</v>
      </c>
      <c r="E96" s="0" t="n">
        <f aca="false">'Stammdaten - Schwimmer'!E68</f>
        <v>0</v>
      </c>
      <c r="F96" s="0" t="n">
        <f aca="false">'Stammdaten - Schwimmer'!F68</f>
        <v>0</v>
      </c>
    </row>
    <row r="97" customFormat="false" ht="15" hidden="false" customHeight="false" outlineLevel="0" collapsed="false">
      <c r="A97" s="0" t="n">
        <f aca="false">'Stammdaten - Schwimmer'!A69</f>
        <v>67</v>
      </c>
      <c r="B97" s="0" t="n">
        <f aca="false">'Stammdaten - Schwimmer'!B69</f>
        <v>0</v>
      </c>
      <c r="C97" s="0" t="n">
        <f aca="false">'Stammdaten - Schwimmer'!C69</f>
        <v>0</v>
      </c>
      <c r="D97" s="23" t="n">
        <f aca="false">'Stammdaten - Schwimmer'!D69</f>
        <v>0</v>
      </c>
      <c r="E97" s="0" t="n">
        <f aca="false">'Stammdaten - Schwimmer'!E69</f>
        <v>0</v>
      </c>
      <c r="F97" s="0" t="n">
        <f aca="false">'Stammdaten - Schwimmer'!F69</f>
        <v>0</v>
      </c>
    </row>
    <row r="98" customFormat="false" ht="15" hidden="false" customHeight="false" outlineLevel="0" collapsed="false">
      <c r="A98" s="0" t="n">
        <f aca="false">'Stammdaten - Schwimmer'!A70</f>
        <v>68</v>
      </c>
      <c r="B98" s="0" t="n">
        <f aca="false">'Stammdaten - Schwimmer'!B70</f>
        <v>0</v>
      </c>
      <c r="C98" s="0" t="n">
        <f aca="false">'Stammdaten - Schwimmer'!C70</f>
        <v>0</v>
      </c>
      <c r="D98" s="23" t="n">
        <f aca="false">'Stammdaten - Schwimmer'!D70</f>
        <v>0</v>
      </c>
      <c r="E98" s="0" t="n">
        <f aca="false">'Stammdaten - Schwimmer'!E70</f>
        <v>0</v>
      </c>
      <c r="F98" s="0" t="n">
        <f aca="false">'Stammdaten - Schwimmer'!F70</f>
        <v>0</v>
      </c>
    </row>
    <row r="99" customFormat="false" ht="15" hidden="false" customHeight="false" outlineLevel="0" collapsed="false">
      <c r="A99" s="0" t="n">
        <f aca="false">'Stammdaten - Schwimmer'!A71</f>
        <v>69</v>
      </c>
      <c r="B99" s="0" t="n">
        <f aca="false">'Stammdaten - Schwimmer'!B71</f>
        <v>0</v>
      </c>
      <c r="C99" s="0" t="n">
        <f aca="false">'Stammdaten - Schwimmer'!C71</f>
        <v>0</v>
      </c>
      <c r="D99" s="23" t="n">
        <f aca="false">'Stammdaten - Schwimmer'!D71</f>
        <v>0</v>
      </c>
      <c r="E99" s="0" t="n">
        <f aca="false">'Stammdaten - Schwimmer'!E71</f>
        <v>0</v>
      </c>
      <c r="F99" s="0" t="n">
        <f aca="false">'Stammdaten - Schwimmer'!F71</f>
        <v>0</v>
      </c>
    </row>
    <row r="100" customFormat="false" ht="15" hidden="false" customHeight="false" outlineLevel="0" collapsed="false">
      <c r="A100" s="0" t="n">
        <f aca="false">'Stammdaten - Schwimmer'!A100</f>
        <v>98</v>
      </c>
      <c r="B100" s="0" t="n">
        <f aca="false">'Stammdaten - Schwimmer'!B100</f>
        <v>0</v>
      </c>
      <c r="C100" s="0" t="n">
        <f aca="false">'Stammdaten - Schwimmer'!C100</f>
        <v>0</v>
      </c>
      <c r="D100" s="23" t="n">
        <f aca="false">'Stammdaten - Schwimmer'!D100</f>
        <v>0</v>
      </c>
      <c r="E100" s="0" t="n">
        <f aca="false">'Stammdaten - Schwimmer'!E100</f>
        <v>0</v>
      </c>
      <c r="F100" s="0" t="n">
        <f aca="false">'Stammdaten - Schwimmer'!F100</f>
        <v>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9" activeCellId="0" sqref="C39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20"/>
    <col collapsed="false" customWidth="true" hidden="false" outlineLevel="0" max="3" min="3" style="1" width="18.57"/>
    <col collapsed="false" customWidth="true" hidden="false" outlineLevel="0" max="4" min="4" style="1" width="36.42"/>
    <col collapsed="false" customWidth="true" hidden="false" outlineLevel="0" max="5" min="5" style="1" width="11.43"/>
    <col collapsed="false" customWidth="true" hidden="false" outlineLevel="0" max="6" min="6" style="1" width="13.42"/>
    <col collapsed="false" customWidth="true" hidden="false" outlineLevel="0" max="7" min="7" style="1" width="14.42"/>
    <col collapsed="false" customWidth="true" hidden="false" outlineLevel="0" max="8" min="8" style="1" width="13.71"/>
    <col collapsed="false" customWidth="true" hidden="false" outlineLevel="0" max="9" min="9" style="1" width="14.29"/>
    <col collapsed="false" customWidth="true" hidden="false" outlineLevel="0" max="10" min="10" style="1" width="14.42"/>
    <col collapsed="false" customWidth="true" hidden="false" outlineLevel="0" max="11" min="11" style="1" width="15.42"/>
    <col collapsed="false" customWidth="true" hidden="false" outlineLevel="0" max="12" min="12" style="1" width="15"/>
    <col collapsed="false" customWidth="true" hidden="false" outlineLevel="0" max="13" min="13" style="1" width="14.57"/>
    <col collapsed="false" customWidth="true" hidden="false" outlineLevel="0" max="14" min="14" style="0" width="17.29"/>
  </cols>
  <sheetData>
    <row r="1" customFormat="false" ht="15" hidden="false" customHeight="false" outlineLevel="0" collapsed="false">
      <c r="A1" s="3" t="s">
        <v>86</v>
      </c>
    </row>
    <row r="2" customFormat="false" ht="15" hidden="false" customHeight="false" outlineLevel="0" collapsed="false">
      <c r="A2" s="3"/>
    </row>
    <row r="3" customFormat="false" ht="41.75" hidden="false" customHeight="false" outlineLevel="0" collapsed="false">
      <c r="A3" s="26" t="s">
        <v>2</v>
      </c>
      <c r="B3" s="26" t="s">
        <v>87</v>
      </c>
      <c r="C3" s="26" t="s">
        <v>88</v>
      </c>
      <c r="D3" s="1" t="s">
        <v>89</v>
      </c>
      <c r="E3" s="26" t="s">
        <v>90</v>
      </c>
      <c r="F3" s="26" t="s">
        <v>91</v>
      </c>
      <c r="H3" s="26" t="s">
        <v>91</v>
      </c>
      <c r="I3" s="26" t="s">
        <v>91</v>
      </c>
      <c r="J3" s="26" t="s">
        <v>91</v>
      </c>
      <c r="K3" s="26" t="s">
        <v>91</v>
      </c>
      <c r="L3" s="26" t="s">
        <v>91</v>
      </c>
      <c r="M3" s="26" t="s">
        <v>91</v>
      </c>
      <c r="N3" s="26" t="s">
        <v>91</v>
      </c>
    </row>
    <row r="4" customFormat="false" ht="15" hidden="false" customHeight="false" outlineLevel="0" collapsed="false">
      <c r="A4" s="1" t="n">
        <v>1001</v>
      </c>
      <c r="B4" s="27" t="s">
        <v>92</v>
      </c>
      <c r="C4" s="27" t="s">
        <v>93</v>
      </c>
      <c r="D4" s="27"/>
    </row>
    <row r="5" customFormat="false" ht="15" hidden="false" customHeight="false" outlineLevel="0" collapsed="false">
      <c r="A5" s="1" t="n">
        <v>1002</v>
      </c>
      <c r="B5" s="27" t="s">
        <v>94</v>
      </c>
      <c r="C5" s="27" t="s">
        <v>93</v>
      </c>
      <c r="D5" s="27" t="s">
        <v>95</v>
      </c>
      <c r="F5" s="1" t="n">
        <v>502</v>
      </c>
      <c r="H5" s="1" t="n">
        <v>33</v>
      </c>
      <c r="I5" s="1" t="n">
        <v>30</v>
      </c>
      <c r="J5" s="1" t="n">
        <v>31</v>
      </c>
      <c r="K5" s="1" t="n">
        <v>35</v>
      </c>
      <c r="L5" s="1" t="n">
        <v>72</v>
      </c>
      <c r="M5" s="1" t="n">
        <v>74</v>
      </c>
      <c r="N5" s="1" t="n">
        <v>75</v>
      </c>
      <c r="O5" s="1" t="n">
        <v>50</v>
      </c>
      <c r="P5" s="1" t="n">
        <v>77</v>
      </c>
      <c r="Q5" s="1" t="n">
        <v>79</v>
      </c>
      <c r="R5" s="1" t="n">
        <v>94</v>
      </c>
      <c r="S5" s="1" t="n">
        <v>95</v>
      </c>
      <c r="T5" s="1" t="n">
        <v>97</v>
      </c>
    </row>
    <row r="6" customFormat="false" ht="28.35" hidden="false" customHeight="false" outlineLevel="0" collapsed="false">
      <c r="A6" s="1" t="n">
        <v>1003</v>
      </c>
      <c r="B6" s="28" t="s">
        <v>96</v>
      </c>
      <c r="C6" s="27" t="s">
        <v>97</v>
      </c>
      <c r="D6" s="27" t="s">
        <v>98</v>
      </c>
      <c r="F6" s="1" t="n">
        <v>503</v>
      </c>
      <c r="H6" s="1" t="n">
        <v>9</v>
      </c>
      <c r="I6" s="1" t="n">
        <v>6</v>
      </c>
      <c r="J6" s="1" t="n">
        <v>5</v>
      </c>
      <c r="K6" s="1" t="n">
        <v>77</v>
      </c>
      <c r="L6" s="1" t="n">
        <v>78</v>
      </c>
      <c r="M6" s="1" t="n">
        <v>81</v>
      </c>
      <c r="N6" s="1" t="n">
        <v>82</v>
      </c>
      <c r="O6" s="1" t="n">
        <v>83</v>
      </c>
      <c r="P6" s="1" t="n">
        <v>84</v>
      </c>
      <c r="Q6" s="1" t="n">
        <v>91</v>
      </c>
      <c r="R6" s="1" t="n">
        <v>26</v>
      </c>
    </row>
    <row r="7" customFormat="false" ht="15" hidden="false" customHeight="false" outlineLevel="0" collapsed="false">
      <c r="A7" s="1" t="n">
        <v>1004</v>
      </c>
      <c r="B7" s="29" t="s">
        <v>99</v>
      </c>
      <c r="C7" s="27" t="s">
        <v>100</v>
      </c>
      <c r="D7" s="27" t="s">
        <v>101</v>
      </c>
      <c r="F7" s="1" t="n">
        <v>504</v>
      </c>
      <c r="H7" s="1" t="n">
        <v>78</v>
      </c>
    </row>
    <row r="8" customFormat="false" ht="15" hidden="false" customHeight="false" outlineLevel="0" collapsed="false">
      <c r="A8" s="1" t="n">
        <v>1005</v>
      </c>
      <c r="B8" s="30" t="s">
        <v>102</v>
      </c>
      <c r="C8" s="27" t="s">
        <v>103</v>
      </c>
      <c r="D8" s="27" t="s">
        <v>104</v>
      </c>
      <c r="F8" s="1" t="n">
        <v>505</v>
      </c>
      <c r="H8" s="1" t="n">
        <v>5</v>
      </c>
      <c r="I8" s="1" t="n">
        <v>87</v>
      </c>
      <c r="J8" s="1" t="n">
        <v>88</v>
      </c>
    </row>
    <row r="9" customFormat="false" ht="15" hidden="false" customHeight="false" outlineLevel="0" collapsed="false">
      <c r="A9" s="1" t="n">
        <v>1006</v>
      </c>
      <c r="B9" s="30" t="s">
        <v>105</v>
      </c>
      <c r="C9" s="27" t="s">
        <v>106</v>
      </c>
      <c r="D9" s="27" t="s">
        <v>107</v>
      </c>
      <c r="E9" s="1" t="s">
        <v>108</v>
      </c>
      <c r="F9" s="1" t="n">
        <v>2</v>
      </c>
    </row>
    <row r="10" customFormat="false" ht="15" hidden="false" customHeight="false" outlineLevel="0" collapsed="false">
      <c r="A10" s="1" t="n">
        <v>1007</v>
      </c>
      <c r="B10" s="29" t="s">
        <v>109</v>
      </c>
      <c r="C10" s="27" t="s">
        <v>110</v>
      </c>
      <c r="D10" s="27" t="s">
        <v>111</v>
      </c>
      <c r="F10" s="1" t="n">
        <v>2</v>
      </c>
      <c r="XFA10" s="1"/>
      <c r="XFB10" s="1"/>
      <c r="XFC10" s="1"/>
      <c r="XFD10" s="1"/>
    </row>
    <row r="11" s="1" customFormat="true" ht="15" hidden="false" customHeight="false" outlineLevel="0" collapsed="false">
      <c r="A11" s="1" t="n">
        <v>1022</v>
      </c>
      <c r="B11" s="27" t="s">
        <v>112</v>
      </c>
      <c r="C11" s="27" t="s">
        <v>113</v>
      </c>
      <c r="D11" s="27" t="s">
        <v>114</v>
      </c>
      <c r="E11" s="1" t="n">
        <v>50</v>
      </c>
      <c r="F11" s="1" t="n">
        <v>30</v>
      </c>
      <c r="G11" s="1" t="n">
        <v>31</v>
      </c>
      <c r="H11" s="1" t="n">
        <v>33</v>
      </c>
      <c r="I11" s="1" t="n">
        <v>35</v>
      </c>
      <c r="J11" s="27"/>
      <c r="K11" s="27"/>
      <c r="L11" s="27"/>
      <c r="R11" s="27"/>
      <c r="S11" s="27"/>
      <c r="T11" s="27"/>
      <c r="Z11" s="27"/>
      <c r="AA11" s="27"/>
      <c r="AB11" s="27"/>
      <c r="AH11" s="27"/>
      <c r="AI11" s="27"/>
      <c r="AJ11" s="27"/>
      <c r="AP11" s="27"/>
      <c r="AQ11" s="27"/>
      <c r="AR11" s="27"/>
      <c r="AX11" s="27"/>
      <c r="AY11" s="27"/>
      <c r="AZ11" s="27"/>
      <c r="BF11" s="27"/>
      <c r="BG11" s="27"/>
      <c r="BH11" s="27"/>
      <c r="BN11" s="27"/>
      <c r="BO11" s="27"/>
      <c r="BP11" s="27"/>
      <c r="BV11" s="27"/>
      <c r="BW11" s="27"/>
      <c r="BX11" s="27"/>
      <c r="CD11" s="27"/>
      <c r="CE11" s="27"/>
      <c r="CF11" s="27"/>
      <c r="CL11" s="27"/>
      <c r="CM11" s="27"/>
      <c r="CN11" s="27"/>
      <c r="CT11" s="27"/>
      <c r="CU11" s="27"/>
      <c r="CV11" s="27"/>
      <c r="DB11" s="27"/>
      <c r="DC11" s="27"/>
      <c r="DD11" s="27"/>
      <c r="DJ11" s="27"/>
      <c r="DK11" s="27"/>
      <c r="DL11" s="27"/>
      <c r="DR11" s="27"/>
      <c r="DS11" s="27"/>
      <c r="DT11" s="27"/>
      <c r="DZ11" s="27"/>
      <c r="EA11" s="27"/>
      <c r="EB11" s="27"/>
      <c r="EH11" s="27"/>
      <c r="EI11" s="27"/>
      <c r="EJ11" s="27"/>
      <c r="EP11" s="27"/>
      <c r="EQ11" s="27"/>
      <c r="ER11" s="27"/>
      <c r="EX11" s="27"/>
      <c r="EY11" s="27"/>
      <c r="EZ11" s="27"/>
      <c r="FF11" s="27"/>
      <c r="FG11" s="27"/>
      <c r="FH11" s="27"/>
      <c r="FN11" s="27"/>
      <c r="FO11" s="27"/>
      <c r="FP11" s="27"/>
      <c r="FV11" s="27"/>
      <c r="FW11" s="27"/>
      <c r="FX11" s="27"/>
      <c r="GD11" s="27"/>
      <c r="GE11" s="27"/>
      <c r="GF11" s="27"/>
      <c r="GL11" s="27"/>
      <c r="GM11" s="27"/>
      <c r="GN11" s="27"/>
      <c r="GT11" s="27"/>
      <c r="GU11" s="27"/>
      <c r="GV11" s="27"/>
      <c r="HB11" s="27"/>
      <c r="HC11" s="27"/>
      <c r="HD11" s="27"/>
      <c r="HJ11" s="27"/>
      <c r="HK11" s="27"/>
      <c r="HL11" s="27"/>
      <c r="HR11" s="27"/>
      <c r="HS11" s="27"/>
      <c r="HT11" s="27"/>
      <c r="HZ11" s="27"/>
      <c r="IA11" s="27"/>
      <c r="IB11" s="27"/>
      <c r="IH11" s="27"/>
      <c r="II11" s="27"/>
      <c r="IJ11" s="27"/>
      <c r="IP11" s="27"/>
      <c r="IQ11" s="27"/>
      <c r="IR11" s="27"/>
      <c r="IX11" s="27"/>
      <c r="IY11" s="27"/>
      <c r="IZ11" s="27"/>
      <c r="JF11" s="27"/>
      <c r="JG11" s="27"/>
      <c r="JH11" s="27"/>
      <c r="JN11" s="27"/>
      <c r="JO11" s="27"/>
      <c r="JP11" s="27"/>
      <c r="JV11" s="27"/>
      <c r="JW11" s="27"/>
      <c r="JX11" s="27"/>
      <c r="KD11" s="27"/>
      <c r="KE11" s="27"/>
      <c r="KF11" s="27"/>
      <c r="KL11" s="27"/>
      <c r="KM11" s="27"/>
      <c r="KN11" s="27"/>
      <c r="KT11" s="27"/>
      <c r="KU11" s="27"/>
      <c r="KV11" s="27"/>
      <c r="LB11" s="27"/>
      <c r="LC11" s="27"/>
      <c r="LD11" s="27"/>
      <c r="LJ11" s="27"/>
      <c r="LK11" s="27"/>
      <c r="LL11" s="27"/>
      <c r="LR11" s="27"/>
      <c r="LS11" s="27"/>
      <c r="LT11" s="27"/>
      <c r="LZ11" s="27"/>
      <c r="MA11" s="27"/>
      <c r="MB11" s="27"/>
      <c r="MH11" s="27"/>
      <c r="MI11" s="27"/>
      <c r="MJ11" s="27"/>
      <c r="MP11" s="27"/>
      <c r="MQ11" s="27"/>
      <c r="MR11" s="27"/>
      <c r="MX11" s="27"/>
      <c r="MY11" s="27"/>
      <c r="MZ11" s="27"/>
      <c r="NF11" s="27"/>
      <c r="NG11" s="27"/>
      <c r="NH11" s="27"/>
      <c r="NN11" s="27"/>
      <c r="NO11" s="27"/>
      <c r="NP11" s="27"/>
      <c r="NV11" s="27"/>
      <c r="NW11" s="27"/>
      <c r="NX11" s="27"/>
      <c r="OD11" s="27"/>
      <c r="OE11" s="27"/>
      <c r="OF11" s="27"/>
      <c r="OL11" s="27"/>
      <c r="OM11" s="27"/>
      <c r="ON11" s="27"/>
      <c r="OT11" s="27"/>
      <c r="OU11" s="27"/>
      <c r="OV11" s="27"/>
      <c r="PB11" s="27"/>
      <c r="PC11" s="27"/>
      <c r="PD11" s="27"/>
      <c r="PJ11" s="27"/>
      <c r="PK11" s="27"/>
      <c r="PL11" s="27"/>
      <c r="PR11" s="27"/>
      <c r="PS11" s="27"/>
      <c r="PT11" s="27"/>
      <c r="PZ11" s="27"/>
      <c r="QA11" s="27"/>
      <c r="QB11" s="27"/>
      <c r="QH11" s="27"/>
      <c r="QI11" s="27"/>
      <c r="QJ11" s="27"/>
      <c r="QP11" s="27"/>
      <c r="QQ11" s="27"/>
      <c r="QR11" s="27"/>
      <c r="QX11" s="27"/>
      <c r="QY11" s="27"/>
      <c r="QZ11" s="27"/>
      <c r="RF11" s="27"/>
      <c r="RG11" s="27"/>
      <c r="RH11" s="27"/>
      <c r="RN11" s="27"/>
      <c r="RO11" s="27"/>
      <c r="RP11" s="27"/>
      <c r="RV11" s="27"/>
      <c r="RW11" s="27"/>
      <c r="RX11" s="27"/>
      <c r="SD11" s="27"/>
      <c r="SE11" s="27"/>
      <c r="SF11" s="27"/>
      <c r="SL11" s="27"/>
      <c r="SM11" s="27"/>
      <c r="SN11" s="27"/>
      <c r="ST11" s="27"/>
      <c r="SU11" s="27"/>
      <c r="SV11" s="27"/>
      <c r="TB11" s="27"/>
      <c r="TC11" s="27"/>
      <c r="TD11" s="27"/>
      <c r="TJ11" s="27"/>
      <c r="TK11" s="27"/>
      <c r="TL11" s="27"/>
      <c r="TR11" s="27"/>
      <c r="TS11" s="27"/>
      <c r="TT11" s="27"/>
      <c r="TZ11" s="27"/>
      <c r="UA11" s="27"/>
      <c r="UB11" s="27"/>
      <c r="UH11" s="27"/>
      <c r="UI11" s="27"/>
      <c r="UJ11" s="27"/>
      <c r="UP11" s="27"/>
      <c r="UQ11" s="27"/>
      <c r="UR11" s="27"/>
      <c r="UX11" s="27"/>
      <c r="UY11" s="27"/>
      <c r="UZ11" s="27"/>
      <c r="VF11" s="27"/>
      <c r="VG11" s="27"/>
      <c r="VH11" s="27"/>
      <c r="VN11" s="27"/>
      <c r="VO11" s="27"/>
      <c r="VP11" s="27"/>
      <c r="VV11" s="27"/>
      <c r="VW11" s="27"/>
      <c r="VX11" s="27"/>
      <c r="WD11" s="27"/>
      <c r="WE11" s="27"/>
      <c r="WF11" s="27"/>
      <c r="WL11" s="27"/>
      <c r="WM11" s="27"/>
      <c r="WN11" s="27"/>
      <c r="WT11" s="27"/>
      <c r="WU11" s="27"/>
      <c r="WV11" s="27"/>
      <c r="XB11" s="27"/>
      <c r="XC11" s="27"/>
      <c r="XD11" s="27"/>
      <c r="XJ11" s="27"/>
      <c r="XK11" s="27"/>
      <c r="XL11" s="27"/>
      <c r="XR11" s="27"/>
      <c r="XS11" s="27"/>
      <c r="XT11" s="27"/>
      <c r="XZ11" s="27"/>
      <c r="YA11" s="27"/>
      <c r="YB11" s="27"/>
      <c r="YH11" s="27"/>
      <c r="YI11" s="27"/>
      <c r="YJ11" s="27"/>
      <c r="YP11" s="27"/>
      <c r="YQ11" s="27"/>
      <c r="YR11" s="27"/>
      <c r="YX11" s="27"/>
      <c r="YY11" s="27"/>
      <c r="YZ11" s="27"/>
      <c r="ZF11" s="27"/>
      <c r="ZG11" s="27"/>
      <c r="ZH11" s="27"/>
      <c r="ZN11" s="27"/>
      <c r="ZO11" s="27"/>
      <c r="ZP11" s="27"/>
      <c r="ZV11" s="27"/>
      <c r="ZW11" s="27"/>
      <c r="ZX11" s="27"/>
      <c r="AAD11" s="27"/>
      <c r="AAE11" s="27"/>
      <c r="AAF11" s="27"/>
      <c r="AAL11" s="27"/>
      <c r="AAM11" s="27"/>
      <c r="AAN11" s="27"/>
      <c r="AAT11" s="27"/>
      <c r="AAU11" s="27"/>
      <c r="AAV11" s="27"/>
      <c r="ABB11" s="27"/>
      <c r="ABC11" s="27"/>
      <c r="ABD11" s="27"/>
      <c r="ABJ11" s="27"/>
      <c r="ABK11" s="27"/>
      <c r="ABL11" s="27"/>
      <c r="ABR11" s="27"/>
      <c r="ABS11" s="27"/>
      <c r="ABT11" s="27"/>
      <c r="ABZ11" s="27"/>
      <c r="ACA11" s="27"/>
      <c r="ACB11" s="27"/>
      <c r="ACH11" s="27"/>
      <c r="ACI11" s="27"/>
      <c r="ACJ11" s="27"/>
      <c r="ACP11" s="27"/>
      <c r="ACQ11" s="27"/>
      <c r="ACR11" s="27"/>
      <c r="ACX11" s="27"/>
      <c r="ACY11" s="27"/>
      <c r="ACZ11" s="27"/>
      <c r="ADF11" s="27"/>
      <c r="ADG11" s="27"/>
      <c r="ADH11" s="27"/>
      <c r="ADN11" s="27"/>
      <c r="ADO11" s="27"/>
      <c r="ADP11" s="27"/>
      <c r="ADV11" s="27"/>
      <c r="ADW11" s="27"/>
      <c r="ADX11" s="27"/>
      <c r="AED11" s="27"/>
      <c r="AEE11" s="27"/>
      <c r="AEF11" s="27"/>
      <c r="AEL11" s="27"/>
      <c r="AEM11" s="27"/>
      <c r="AEN11" s="27"/>
      <c r="AET11" s="27"/>
      <c r="AEU11" s="27"/>
      <c r="AEV11" s="27"/>
      <c r="AFB11" s="27"/>
      <c r="AFC11" s="27"/>
      <c r="AFD11" s="27"/>
      <c r="AFJ11" s="27"/>
      <c r="AFK11" s="27"/>
      <c r="AFL11" s="27"/>
      <c r="AFR11" s="27"/>
      <c r="AFS11" s="27"/>
      <c r="AFT11" s="27"/>
      <c r="AFZ11" s="27"/>
      <c r="AGA11" s="27"/>
      <c r="AGB11" s="27"/>
      <c r="AGH11" s="27"/>
      <c r="AGI11" s="27"/>
      <c r="AGJ11" s="27"/>
      <c r="AGP11" s="27"/>
      <c r="AGQ11" s="27"/>
      <c r="AGR11" s="27"/>
      <c r="AGX11" s="27"/>
      <c r="AGY11" s="27"/>
      <c r="AGZ11" s="27"/>
      <c r="AHF11" s="27"/>
      <c r="AHG11" s="27"/>
      <c r="AHH11" s="27"/>
      <c r="AHN11" s="27"/>
      <c r="AHO11" s="27"/>
      <c r="AHP11" s="27"/>
      <c r="AHV11" s="27"/>
      <c r="AHW11" s="27"/>
      <c r="AHX11" s="27"/>
      <c r="AID11" s="27"/>
      <c r="AIE11" s="27"/>
      <c r="AIF11" s="27"/>
      <c r="AIL11" s="27"/>
      <c r="AIM11" s="27"/>
      <c r="AIN11" s="27"/>
      <c r="AIT11" s="27"/>
      <c r="AIU11" s="27"/>
      <c r="AIV11" s="27"/>
      <c r="AJB11" s="27"/>
      <c r="AJC11" s="27"/>
      <c r="AJD11" s="27"/>
      <c r="AJJ11" s="27"/>
      <c r="AJK11" s="27"/>
      <c r="AJL11" s="27"/>
      <c r="AJR11" s="27"/>
      <c r="AJS11" s="27"/>
      <c r="AJT11" s="27"/>
      <c r="AJZ11" s="27"/>
      <c r="AKA11" s="27"/>
      <c r="AKB11" s="27"/>
      <c r="AKH11" s="27"/>
      <c r="AKI11" s="27"/>
      <c r="AKJ11" s="27"/>
      <c r="AKP11" s="27"/>
      <c r="AKQ11" s="27"/>
      <c r="AKR11" s="27"/>
      <c r="AKX11" s="27"/>
      <c r="AKY11" s="27"/>
      <c r="AKZ11" s="27"/>
      <c r="ALF11" s="27"/>
      <c r="ALG11" s="27"/>
      <c r="ALH11" s="27"/>
      <c r="ALN11" s="27"/>
      <c r="ALO11" s="27"/>
      <c r="ALP11" s="27"/>
      <c r="ALV11" s="27"/>
      <c r="ALW11" s="27"/>
      <c r="ALX11" s="27"/>
      <c r="AMD11" s="27"/>
      <c r="AME11" s="27"/>
      <c r="AMF11" s="27"/>
      <c r="AML11" s="27"/>
      <c r="AMM11" s="27"/>
      <c r="AMN11" s="27"/>
      <c r="AMT11" s="27"/>
      <c r="AMU11" s="27"/>
      <c r="AMV11" s="27"/>
      <c r="ANB11" s="27"/>
      <c r="ANC11" s="27"/>
      <c r="AND11" s="27"/>
      <c r="ANJ11" s="27"/>
      <c r="ANK11" s="27"/>
      <c r="ANL11" s="27"/>
      <c r="ANR11" s="27"/>
      <c r="ANS11" s="27"/>
      <c r="ANT11" s="27"/>
      <c r="ANZ11" s="27"/>
      <c r="AOA11" s="27"/>
      <c r="AOB11" s="27"/>
      <c r="AOH11" s="27"/>
      <c r="AOI11" s="27"/>
      <c r="AOJ11" s="27"/>
      <c r="AOP11" s="27"/>
      <c r="AOQ11" s="27"/>
      <c r="AOR11" s="27"/>
      <c r="AOX11" s="27"/>
      <c r="AOY11" s="27"/>
      <c r="AOZ11" s="27"/>
      <c r="APF11" s="27"/>
      <c r="APG11" s="27"/>
      <c r="APH11" s="27"/>
      <c r="APN11" s="27"/>
      <c r="APO11" s="27"/>
      <c r="APP11" s="27"/>
      <c r="APV11" s="27"/>
      <c r="APW11" s="27"/>
      <c r="APX11" s="27"/>
      <c r="AQD11" s="27"/>
      <c r="AQE11" s="27"/>
      <c r="AQF11" s="27"/>
      <c r="AQL11" s="27"/>
      <c r="AQM11" s="27"/>
      <c r="AQN11" s="27"/>
      <c r="AQT11" s="27"/>
      <c r="AQU11" s="27"/>
      <c r="AQV11" s="27"/>
      <c r="ARB11" s="27"/>
      <c r="ARC11" s="27"/>
      <c r="ARD11" s="27"/>
      <c r="ARJ11" s="27"/>
      <c r="ARK11" s="27"/>
      <c r="ARL11" s="27"/>
      <c r="ARR11" s="27"/>
      <c r="ARS11" s="27"/>
      <c r="ART11" s="27"/>
      <c r="ARZ11" s="27"/>
      <c r="ASA11" s="27"/>
      <c r="ASB11" s="27"/>
      <c r="ASH11" s="27"/>
      <c r="ASI11" s="27"/>
      <c r="ASJ11" s="27"/>
      <c r="ASP11" s="27"/>
      <c r="ASQ11" s="27"/>
      <c r="ASR11" s="27"/>
      <c r="ASX11" s="27"/>
      <c r="ASY11" s="27"/>
      <c r="ASZ11" s="27"/>
      <c r="ATF11" s="27"/>
      <c r="ATG11" s="27"/>
      <c r="ATH11" s="27"/>
      <c r="ATN11" s="27"/>
      <c r="ATO11" s="27"/>
      <c r="ATP11" s="27"/>
      <c r="ATV11" s="27"/>
      <c r="ATW11" s="27"/>
      <c r="ATX11" s="27"/>
      <c r="AUD11" s="27"/>
      <c r="AUE11" s="27"/>
      <c r="AUF11" s="27"/>
      <c r="AUL11" s="27"/>
      <c r="AUM11" s="27"/>
      <c r="AUN11" s="27"/>
      <c r="AUT11" s="27"/>
      <c r="AUU11" s="27"/>
      <c r="AUV11" s="27"/>
      <c r="AVB11" s="27"/>
      <c r="AVC11" s="27"/>
      <c r="AVD11" s="27"/>
      <c r="AVJ11" s="27"/>
      <c r="AVK11" s="27"/>
      <c r="AVL11" s="27"/>
      <c r="AVR11" s="27"/>
      <c r="AVS11" s="27"/>
      <c r="AVT11" s="27"/>
      <c r="AVZ11" s="27"/>
      <c r="AWA11" s="27"/>
      <c r="AWB11" s="27"/>
      <c r="AWH11" s="27"/>
      <c r="AWI11" s="27"/>
      <c r="AWJ11" s="27"/>
      <c r="AWP11" s="27"/>
      <c r="AWQ11" s="27"/>
      <c r="AWR11" s="27"/>
      <c r="AWX11" s="27"/>
      <c r="AWY11" s="27"/>
      <c r="AWZ11" s="27"/>
      <c r="AXF11" s="27"/>
      <c r="AXG11" s="27"/>
      <c r="AXH11" s="27"/>
      <c r="AXN11" s="27"/>
      <c r="AXO11" s="27"/>
      <c r="AXP11" s="27"/>
      <c r="AXV11" s="27"/>
      <c r="AXW11" s="27"/>
      <c r="AXX11" s="27"/>
      <c r="AYD11" s="27"/>
      <c r="AYE11" s="27"/>
      <c r="AYF11" s="27"/>
      <c r="AYL11" s="27"/>
      <c r="AYM11" s="27"/>
      <c r="AYN11" s="27"/>
      <c r="AYT11" s="27"/>
      <c r="AYU11" s="27"/>
      <c r="AYV11" s="27"/>
      <c r="AZB11" s="27"/>
      <c r="AZC11" s="27"/>
      <c r="AZD11" s="27"/>
      <c r="AZJ11" s="27"/>
      <c r="AZK11" s="27"/>
      <c r="AZL11" s="27"/>
      <c r="AZR11" s="27"/>
      <c r="AZS11" s="27"/>
      <c r="AZT11" s="27"/>
      <c r="AZZ11" s="27"/>
      <c r="BAA11" s="27"/>
      <c r="BAB11" s="27"/>
      <c r="BAH11" s="27"/>
      <c r="BAI11" s="27"/>
      <c r="BAJ11" s="27"/>
      <c r="BAP11" s="27"/>
      <c r="BAQ11" s="27"/>
      <c r="BAR11" s="27"/>
      <c r="BAX11" s="27"/>
      <c r="BAY11" s="27"/>
      <c r="BAZ11" s="27"/>
      <c r="BBF11" s="27"/>
      <c r="BBG11" s="27"/>
      <c r="BBH11" s="27"/>
      <c r="BBN11" s="27"/>
      <c r="BBO11" s="27"/>
      <c r="BBP11" s="27"/>
      <c r="BBV11" s="27"/>
      <c r="BBW11" s="27"/>
      <c r="BBX11" s="27"/>
      <c r="BCD11" s="27"/>
      <c r="BCE11" s="27"/>
      <c r="BCF11" s="27"/>
      <c r="BCL11" s="27"/>
      <c r="BCM11" s="27"/>
      <c r="BCN11" s="27"/>
      <c r="BCT11" s="27"/>
      <c r="BCU11" s="27"/>
      <c r="BCV11" s="27"/>
      <c r="BDB11" s="27"/>
      <c r="BDC11" s="27"/>
      <c r="BDD11" s="27"/>
      <c r="BDJ11" s="27"/>
      <c r="BDK11" s="27"/>
      <c r="BDL11" s="27"/>
      <c r="BDR11" s="27"/>
      <c r="BDS11" s="27"/>
      <c r="BDT11" s="27"/>
      <c r="BDZ11" s="27"/>
      <c r="BEA11" s="27"/>
      <c r="BEB11" s="27"/>
      <c r="BEH11" s="27"/>
      <c r="BEI11" s="27"/>
      <c r="BEJ11" s="27"/>
      <c r="BEP11" s="27"/>
      <c r="BEQ11" s="27"/>
      <c r="BER11" s="27"/>
      <c r="BEX11" s="27"/>
      <c r="BEY11" s="27"/>
      <c r="BEZ11" s="27"/>
      <c r="BFF11" s="27"/>
      <c r="BFG11" s="27"/>
      <c r="BFH11" s="27"/>
      <c r="BFN11" s="27"/>
      <c r="BFO11" s="27"/>
      <c r="BFP11" s="27"/>
      <c r="BFV11" s="27"/>
      <c r="BFW11" s="27"/>
      <c r="BFX11" s="27"/>
      <c r="BGD11" s="27"/>
      <c r="BGE11" s="27"/>
      <c r="BGF11" s="27"/>
      <c r="BGL11" s="27"/>
      <c r="BGM11" s="27"/>
      <c r="BGN11" s="27"/>
      <c r="BGT11" s="27"/>
      <c r="BGU11" s="27"/>
      <c r="BGV11" s="27"/>
      <c r="BHB11" s="27"/>
      <c r="BHC11" s="27"/>
      <c r="BHD11" s="27"/>
      <c r="BHJ11" s="27"/>
      <c r="BHK11" s="27"/>
      <c r="BHL11" s="27"/>
      <c r="BHR11" s="27"/>
      <c r="BHS11" s="27"/>
      <c r="BHT11" s="27"/>
      <c r="BHZ11" s="27"/>
      <c r="BIA11" s="27"/>
      <c r="BIB11" s="27"/>
      <c r="BIH11" s="27"/>
      <c r="BII11" s="27"/>
      <c r="BIJ11" s="27"/>
      <c r="BIP11" s="27"/>
      <c r="BIQ11" s="27"/>
      <c r="BIR11" s="27"/>
      <c r="BIX11" s="27"/>
      <c r="BIY11" s="27"/>
      <c r="BIZ11" s="27"/>
      <c r="BJF11" s="27"/>
      <c r="BJG11" s="27"/>
      <c r="BJH11" s="27"/>
      <c r="BJN11" s="27"/>
      <c r="BJO11" s="27"/>
      <c r="BJP11" s="27"/>
      <c r="BJV11" s="27"/>
      <c r="BJW11" s="27"/>
      <c r="BJX11" s="27"/>
      <c r="BKD11" s="27"/>
      <c r="BKE11" s="27"/>
      <c r="BKF11" s="27"/>
      <c r="BKL11" s="27"/>
      <c r="BKM11" s="27"/>
      <c r="BKN11" s="27"/>
      <c r="BKT11" s="27"/>
      <c r="BKU11" s="27"/>
      <c r="BKV11" s="27"/>
      <c r="BLB11" s="27"/>
      <c r="BLC11" s="27"/>
      <c r="BLD11" s="27"/>
      <c r="BLJ11" s="27"/>
      <c r="BLK11" s="27"/>
      <c r="BLL11" s="27"/>
      <c r="BLR11" s="27"/>
      <c r="BLS11" s="27"/>
      <c r="BLT11" s="27"/>
      <c r="BLZ11" s="27"/>
      <c r="BMA11" s="27"/>
      <c r="BMB11" s="27"/>
      <c r="BMH11" s="27"/>
      <c r="BMI11" s="27"/>
      <c r="BMJ11" s="27"/>
      <c r="BMP11" s="27"/>
      <c r="BMQ11" s="27"/>
      <c r="BMR11" s="27"/>
      <c r="BMX11" s="27"/>
      <c r="BMY11" s="27"/>
      <c r="BMZ11" s="27"/>
      <c r="BNF11" s="27"/>
      <c r="BNG11" s="27"/>
      <c r="BNH11" s="27"/>
      <c r="BNN11" s="27"/>
      <c r="BNO11" s="27"/>
      <c r="BNP11" s="27"/>
      <c r="BNV11" s="27"/>
      <c r="BNW11" s="27"/>
      <c r="BNX11" s="27"/>
      <c r="BOD11" s="27"/>
      <c r="BOE11" s="27"/>
      <c r="BOF11" s="27"/>
      <c r="BOL11" s="27"/>
      <c r="BOM11" s="27"/>
      <c r="BON11" s="27"/>
      <c r="BOT11" s="27"/>
      <c r="BOU11" s="27"/>
      <c r="BOV11" s="27"/>
      <c r="BPB11" s="27"/>
      <c r="BPC11" s="27"/>
      <c r="BPD11" s="27"/>
      <c r="BPJ11" s="27"/>
      <c r="BPK11" s="27"/>
      <c r="BPL11" s="27"/>
      <c r="BPR11" s="27"/>
      <c r="BPS11" s="27"/>
      <c r="BPT11" s="27"/>
      <c r="BPZ11" s="27"/>
      <c r="BQA11" s="27"/>
      <c r="BQB11" s="27"/>
      <c r="BQH11" s="27"/>
      <c r="BQI11" s="27"/>
      <c r="BQJ11" s="27"/>
      <c r="BQP11" s="27"/>
      <c r="BQQ11" s="27"/>
      <c r="BQR11" s="27"/>
      <c r="BQX11" s="27"/>
      <c r="BQY11" s="27"/>
      <c r="BQZ11" s="27"/>
      <c r="BRF11" s="27"/>
      <c r="BRG11" s="27"/>
      <c r="BRH11" s="27"/>
      <c r="BRN11" s="27"/>
      <c r="BRO11" s="27"/>
      <c r="BRP11" s="27"/>
      <c r="BRV11" s="27"/>
      <c r="BRW11" s="27"/>
      <c r="BRX11" s="27"/>
      <c r="BSD11" s="27"/>
      <c r="BSE11" s="27"/>
      <c r="BSF11" s="27"/>
      <c r="BSL11" s="27"/>
      <c r="BSM11" s="27"/>
      <c r="BSN11" s="27"/>
      <c r="BST11" s="27"/>
      <c r="BSU11" s="27"/>
      <c r="BSV11" s="27"/>
      <c r="BTB11" s="27"/>
      <c r="BTC11" s="27"/>
      <c r="BTD11" s="27"/>
      <c r="BTJ11" s="27"/>
      <c r="BTK11" s="27"/>
      <c r="BTL11" s="27"/>
      <c r="BTR11" s="27"/>
      <c r="BTS11" s="27"/>
      <c r="BTT11" s="27"/>
      <c r="BTZ11" s="27"/>
      <c r="BUA11" s="27"/>
      <c r="BUB11" s="27"/>
      <c r="BUH11" s="27"/>
      <c r="BUI11" s="27"/>
      <c r="BUJ11" s="27"/>
      <c r="BUP11" s="27"/>
      <c r="BUQ11" s="27"/>
      <c r="BUR11" s="27"/>
      <c r="BUX11" s="27"/>
      <c r="BUY11" s="27"/>
      <c r="BUZ11" s="27"/>
      <c r="BVF11" s="27"/>
      <c r="BVG11" s="27"/>
      <c r="BVH11" s="27"/>
      <c r="BVN11" s="27"/>
      <c r="BVO11" s="27"/>
      <c r="BVP11" s="27"/>
      <c r="BVV11" s="27"/>
      <c r="BVW11" s="27"/>
      <c r="BVX11" s="27"/>
      <c r="BWD11" s="27"/>
      <c r="BWE11" s="27"/>
      <c r="BWF11" s="27"/>
      <c r="BWL11" s="27"/>
      <c r="BWM11" s="27"/>
      <c r="BWN11" s="27"/>
      <c r="BWT11" s="27"/>
      <c r="BWU11" s="27"/>
      <c r="BWV11" s="27"/>
      <c r="BXB11" s="27"/>
      <c r="BXC11" s="27"/>
      <c r="BXD11" s="27"/>
      <c r="BXJ11" s="27"/>
      <c r="BXK11" s="27"/>
      <c r="BXL11" s="27"/>
      <c r="BXR11" s="27"/>
      <c r="BXS11" s="27"/>
      <c r="BXT11" s="27"/>
      <c r="BXZ11" s="27"/>
      <c r="BYA11" s="27"/>
      <c r="BYB11" s="27"/>
      <c r="BYH11" s="27"/>
      <c r="BYI11" s="27"/>
      <c r="BYJ11" s="27"/>
      <c r="BYP11" s="27"/>
      <c r="BYQ11" s="27"/>
      <c r="BYR11" s="27"/>
      <c r="BYX11" s="27"/>
      <c r="BYY11" s="27"/>
      <c r="BYZ11" s="27"/>
      <c r="BZF11" s="27"/>
      <c r="BZG11" s="27"/>
      <c r="BZH11" s="27"/>
      <c r="BZN11" s="27"/>
      <c r="BZO11" s="27"/>
      <c r="BZP11" s="27"/>
      <c r="BZV11" s="27"/>
      <c r="BZW11" s="27"/>
      <c r="BZX11" s="27"/>
      <c r="CAD11" s="27"/>
      <c r="CAE11" s="27"/>
      <c r="CAF11" s="27"/>
      <c r="CAL11" s="27"/>
      <c r="CAM11" s="27"/>
      <c r="CAN11" s="27"/>
      <c r="CAT11" s="27"/>
      <c r="CAU11" s="27"/>
      <c r="CAV11" s="27"/>
      <c r="CBB11" s="27"/>
      <c r="CBC11" s="27"/>
      <c r="CBD11" s="27"/>
      <c r="CBJ11" s="27"/>
      <c r="CBK11" s="27"/>
      <c r="CBL11" s="27"/>
      <c r="CBR11" s="27"/>
      <c r="CBS11" s="27"/>
      <c r="CBT11" s="27"/>
      <c r="CBZ11" s="27"/>
      <c r="CCA11" s="27"/>
      <c r="CCB11" s="27"/>
      <c r="CCH11" s="27"/>
      <c r="CCI11" s="27"/>
      <c r="CCJ11" s="27"/>
      <c r="CCP11" s="27"/>
      <c r="CCQ11" s="27"/>
      <c r="CCR11" s="27"/>
      <c r="CCX11" s="27"/>
      <c r="CCY11" s="27"/>
      <c r="CCZ11" s="27"/>
      <c r="CDF11" s="27"/>
      <c r="CDG11" s="27"/>
      <c r="CDH11" s="27"/>
      <c r="CDN11" s="27"/>
      <c r="CDO11" s="27"/>
      <c r="CDP11" s="27"/>
      <c r="CDV11" s="27"/>
      <c r="CDW11" s="27"/>
      <c r="CDX11" s="27"/>
      <c r="CED11" s="27"/>
      <c r="CEE11" s="27"/>
      <c r="CEF11" s="27"/>
      <c r="CEL11" s="27"/>
      <c r="CEM11" s="27"/>
      <c r="CEN11" s="27"/>
      <c r="CET11" s="27"/>
      <c r="CEU11" s="27"/>
      <c r="CEV11" s="27"/>
      <c r="CFB11" s="27"/>
      <c r="CFC11" s="27"/>
      <c r="CFD11" s="27"/>
      <c r="CFJ11" s="27"/>
      <c r="CFK11" s="27"/>
      <c r="CFL11" s="27"/>
      <c r="CFR11" s="27"/>
      <c r="CFS11" s="27"/>
      <c r="CFT11" s="27"/>
      <c r="CFZ11" s="27"/>
      <c r="CGA11" s="27"/>
      <c r="CGB11" s="27"/>
      <c r="CGH11" s="27"/>
      <c r="CGI11" s="27"/>
      <c r="CGJ11" s="27"/>
      <c r="CGP11" s="27"/>
      <c r="CGQ11" s="27"/>
      <c r="CGR11" s="27"/>
      <c r="CGX11" s="27"/>
      <c r="CGY11" s="27"/>
      <c r="CGZ11" s="27"/>
      <c r="CHF11" s="27"/>
      <c r="CHG11" s="27"/>
      <c r="CHH11" s="27"/>
      <c r="CHN11" s="27"/>
      <c r="CHO11" s="27"/>
      <c r="CHP11" s="27"/>
      <c r="CHV11" s="27"/>
      <c r="CHW11" s="27"/>
      <c r="CHX11" s="27"/>
      <c r="CID11" s="27"/>
      <c r="CIE11" s="27"/>
      <c r="CIF11" s="27"/>
      <c r="CIL11" s="27"/>
      <c r="CIM11" s="27"/>
      <c r="CIN11" s="27"/>
      <c r="CIT11" s="27"/>
      <c r="CIU11" s="27"/>
      <c r="CIV11" s="27"/>
      <c r="CJB11" s="27"/>
      <c r="CJC11" s="27"/>
      <c r="CJD11" s="27"/>
      <c r="CJJ11" s="27"/>
      <c r="CJK11" s="27"/>
      <c r="CJL11" s="27"/>
      <c r="CJR11" s="27"/>
      <c r="CJS11" s="27"/>
      <c r="CJT11" s="27"/>
      <c r="CJZ11" s="27"/>
      <c r="CKA11" s="27"/>
      <c r="CKB11" s="27"/>
      <c r="CKH11" s="27"/>
      <c r="CKI11" s="27"/>
      <c r="CKJ11" s="27"/>
      <c r="CKP11" s="27"/>
      <c r="CKQ11" s="27"/>
      <c r="CKR11" s="27"/>
      <c r="CKX11" s="27"/>
      <c r="CKY11" s="27"/>
      <c r="CKZ11" s="27"/>
      <c r="CLF11" s="27"/>
      <c r="CLG11" s="27"/>
      <c r="CLH11" s="27"/>
      <c r="CLN11" s="27"/>
      <c r="CLO11" s="27"/>
      <c r="CLP11" s="27"/>
      <c r="CLV11" s="27"/>
      <c r="CLW11" s="27"/>
      <c r="CLX11" s="27"/>
      <c r="CMD11" s="27"/>
      <c r="CME11" s="27"/>
      <c r="CMF11" s="27"/>
      <c r="CML11" s="27"/>
      <c r="CMM11" s="27"/>
      <c r="CMN11" s="27"/>
      <c r="CMT11" s="27"/>
      <c r="CMU11" s="27"/>
      <c r="CMV11" s="27"/>
      <c r="CNB11" s="27"/>
      <c r="CNC11" s="27"/>
      <c r="CND11" s="27"/>
      <c r="CNJ11" s="27"/>
      <c r="CNK11" s="27"/>
      <c r="CNL11" s="27"/>
      <c r="CNR11" s="27"/>
      <c r="CNS11" s="27"/>
      <c r="CNT11" s="27"/>
      <c r="CNZ11" s="27"/>
      <c r="COA11" s="27"/>
      <c r="COB11" s="27"/>
      <c r="COH11" s="27"/>
      <c r="COI11" s="27"/>
      <c r="COJ11" s="27"/>
      <c r="COP11" s="27"/>
      <c r="COQ11" s="27"/>
      <c r="COR11" s="27"/>
      <c r="COX11" s="27"/>
      <c r="COY11" s="27"/>
      <c r="COZ11" s="27"/>
      <c r="CPF11" s="27"/>
      <c r="CPG11" s="27"/>
      <c r="CPH11" s="27"/>
      <c r="CPN11" s="27"/>
      <c r="CPO11" s="27"/>
      <c r="CPP11" s="27"/>
      <c r="CPV11" s="27"/>
      <c r="CPW11" s="27"/>
      <c r="CPX11" s="27"/>
      <c r="CQD11" s="27"/>
      <c r="CQE11" s="27"/>
      <c r="CQF11" s="27"/>
      <c r="CQL11" s="27"/>
      <c r="CQM11" s="27"/>
      <c r="CQN11" s="27"/>
      <c r="CQT11" s="27"/>
      <c r="CQU11" s="27"/>
      <c r="CQV11" s="27"/>
      <c r="CRB11" s="27"/>
      <c r="CRC11" s="27"/>
      <c r="CRD11" s="27"/>
      <c r="CRJ11" s="27"/>
      <c r="CRK11" s="27"/>
      <c r="CRL11" s="27"/>
      <c r="CRR11" s="27"/>
      <c r="CRS11" s="27"/>
      <c r="CRT11" s="27"/>
      <c r="CRZ11" s="27"/>
      <c r="CSA11" s="27"/>
      <c r="CSB11" s="27"/>
      <c r="CSH11" s="27"/>
      <c r="CSI11" s="27"/>
      <c r="CSJ11" s="27"/>
      <c r="CSP11" s="27"/>
      <c r="CSQ11" s="27"/>
      <c r="CSR11" s="27"/>
      <c r="CSX11" s="27"/>
      <c r="CSY11" s="27"/>
      <c r="CSZ11" s="27"/>
      <c r="CTF11" s="27"/>
      <c r="CTG11" s="27"/>
      <c r="CTH11" s="27"/>
      <c r="CTN11" s="27"/>
      <c r="CTO11" s="27"/>
      <c r="CTP11" s="27"/>
      <c r="CTV11" s="27"/>
      <c r="CTW11" s="27"/>
      <c r="CTX11" s="27"/>
      <c r="CUD11" s="27"/>
      <c r="CUE11" s="27"/>
      <c r="CUF11" s="27"/>
      <c r="CUL11" s="27"/>
      <c r="CUM11" s="27"/>
      <c r="CUN11" s="27"/>
      <c r="CUT11" s="27"/>
      <c r="CUU11" s="27"/>
      <c r="CUV11" s="27"/>
      <c r="CVB11" s="27"/>
      <c r="CVC11" s="27"/>
      <c r="CVD11" s="27"/>
      <c r="CVJ11" s="27"/>
      <c r="CVK11" s="27"/>
      <c r="CVL11" s="27"/>
      <c r="CVR11" s="27"/>
      <c r="CVS11" s="27"/>
      <c r="CVT11" s="27"/>
      <c r="CVZ11" s="27"/>
      <c r="CWA11" s="27"/>
      <c r="CWB11" s="27"/>
      <c r="CWH11" s="27"/>
      <c r="CWI11" s="27"/>
      <c r="CWJ11" s="27"/>
      <c r="CWP11" s="27"/>
      <c r="CWQ11" s="27"/>
      <c r="CWR11" s="27"/>
      <c r="CWX11" s="27"/>
      <c r="CWY11" s="27"/>
      <c r="CWZ11" s="27"/>
      <c r="CXF11" s="27"/>
      <c r="CXG11" s="27"/>
      <c r="CXH11" s="27"/>
      <c r="CXN11" s="27"/>
      <c r="CXO11" s="27"/>
      <c r="CXP11" s="27"/>
      <c r="CXV11" s="27"/>
      <c r="CXW11" s="27"/>
      <c r="CXX11" s="27"/>
      <c r="CYD11" s="27"/>
      <c r="CYE11" s="27"/>
      <c r="CYF11" s="27"/>
      <c r="CYL11" s="27"/>
      <c r="CYM11" s="27"/>
      <c r="CYN11" s="27"/>
      <c r="CYT11" s="27"/>
      <c r="CYU11" s="27"/>
      <c r="CYV11" s="27"/>
      <c r="CZB11" s="27"/>
      <c r="CZC11" s="27"/>
      <c r="CZD11" s="27"/>
      <c r="CZJ11" s="27"/>
      <c r="CZK11" s="27"/>
      <c r="CZL11" s="27"/>
      <c r="CZR11" s="27"/>
      <c r="CZS11" s="27"/>
      <c r="CZT11" s="27"/>
      <c r="CZZ11" s="27"/>
      <c r="DAA11" s="27"/>
      <c r="DAB11" s="27"/>
      <c r="DAH11" s="27"/>
      <c r="DAI11" s="27"/>
      <c r="DAJ11" s="27"/>
      <c r="DAP11" s="27"/>
      <c r="DAQ11" s="27"/>
      <c r="DAR11" s="27"/>
      <c r="DAX11" s="27"/>
      <c r="DAY11" s="27"/>
      <c r="DAZ11" s="27"/>
      <c r="DBF11" s="27"/>
      <c r="DBG11" s="27"/>
      <c r="DBH11" s="27"/>
      <c r="DBN11" s="27"/>
      <c r="DBO11" s="27"/>
      <c r="DBP11" s="27"/>
      <c r="DBV11" s="27"/>
      <c r="DBW11" s="27"/>
      <c r="DBX11" s="27"/>
      <c r="DCD11" s="27"/>
      <c r="DCE11" s="27"/>
      <c r="DCF11" s="27"/>
      <c r="DCL11" s="27"/>
      <c r="DCM11" s="27"/>
      <c r="DCN11" s="27"/>
      <c r="DCT11" s="27"/>
      <c r="DCU11" s="27"/>
      <c r="DCV11" s="27"/>
      <c r="DDB11" s="27"/>
      <c r="DDC11" s="27"/>
      <c r="DDD11" s="27"/>
      <c r="DDJ11" s="27"/>
      <c r="DDK11" s="27"/>
      <c r="DDL11" s="27"/>
      <c r="DDR11" s="27"/>
      <c r="DDS11" s="27"/>
      <c r="DDT11" s="27"/>
      <c r="DDZ11" s="27"/>
      <c r="DEA11" s="27"/>
      <c r="DEB11" s="27"/>
      <c r="DEH11" s="27"/>
      <c r="DEI11" s="27"/>
      <c r="DEJ11" s="27"/>
      <c r="DEP11" s="27"/>
      <c r="DEQ11" s="27"/>
      <c r="DER11" s="27"/>
      <c r="DEX11" s="27"/>
      <c r="DEY11" s="27"/>
      <c r="DEZ11" s="27"/>
      <c r="DFF11" s="27"/>
      <c r="DFG11" s="27"/>
      <c r="DFH11" s="27"/>
      <c r="DFN11" s="27"/>
      <c r="DFO11" s="27"/>
      <c r="DFP11" s="27"/>
      <c r="DFV11" s="27"/>
      <c r="DFW11" s="27"/>
      <c r="DFX11" s="27"/>
      <c r="DGD11" s="27"/>
      <c r="DGE11" s="27"/>
      <c r="DGF11" s="27"/>
      <c r="DGL11" s="27"/>
      <c r="DGM11" s="27"/>
      <c r="DGN11" s="27"/>
      <c r="DGT11" s="27"/>
      <c r="DGU11" s="27"/>
      <c r="DGV11" s="27"/>
      <c r="DHB11" s="27"/>
      <c r="DHC11" s="27"/>
      <c r="DHD11" s="27"/>
      <c r="DHJ11" s="27"/>
      <c r="DHK11" s="27"/>
      <c r="DHL11" s="27"/>
      <c r="DHR11" s="27"/>
      <c r="DHS11" s="27"/>
      <c r="DHT11" s="27"/>
      <c r="DHZ11" s="27"/>
      <c r="DIA11" s="27"/>
      <c r="DIB11" s="27"/>
      <c r="DIH11" s="27"/>
      <c r="DII11" s="27"/>
      <c r="DIJ11" s="27"/>
      <c r="DIP11" s="27"/>
      <c r="DIQ11" s="27"/>
      <c r="DIR11" s="27"/>
      <c r="DIX11" s="27"/>
      <c r="DIY11" s="27"/>
      <c r="DIZ11" s="27"/>
      <c r="DJF11" s="27"/>
      <c r="DJG11" s="27"/>
      <c r="DJH11" s="27"/>
      <c r="DJN11" s="27"/>
      <c r="DJO11" s="27"/>
      <c r="DJP11" s="27"/>
      <c r="DJV11" s="27"/>
      <c r="DJW11" s="27"/>
      <c r="DJX11" s="27"/>
      <c r="DKD11" s="27"/>
      <c r="DKE11" s="27"/>
      <c r="DKF11" s="27"/>
      <c r="DKL11" s="27"/>
      <c r="DKM11" s="27"/>
      <c r="DKN11" s="27"/>
      <c r="DKT11" s="27"/>
      <c r="DKU11" s="27"/>
      <c r="DKV11" s="27"/>
      <c r="DLB11" s="27"/>
      <c r="DLC11" s="27"/>
      <c r="DLD11" s="27"/>
      <c r="DLJ11" s="27"/>
      <c r="DLK11" s="27"/>
      <c r="DLL11" s="27"/>
      <c r="DLR11" s="27"/>
      <c r="DLS11" s="27"/>
      <c r="DLT11" s="27"/>
      <c r="DLZ11" s="27"/>
      <c r="DMA11" s="27"/>
      <c r="DMB11" s="27"/>
      <c r="DMH11" s="27"/>
      <c r="DMI11" s="27"/>
      <c r="DMJ11" s="27"/>
      <c r="DMP11" s="27"/>
      <c r="DMQ11" s="27"/>
      <c r="DMR11" s="27"/>
      <c r="DMX11" s="27"/>
      <c r="DMY11" s="27"/>
      <c r="DMZ11" s="27"/>
      <c r="DNF11" s="27"/>
      <c r="DNG11" s="27"/>
      <c r="DNH11" s="27"/>
      <c r="DNN11" s="27"/>
      <c r="DNO11" s="27"/>
      <c r="DNP11" s="27"/>
      <c r="DNV11" s="27"/>
      <c r="DNW11" s="27"/>
      <c r="DNX11" s="27"/>
      <c r="DOD11" s="27"/>
      <c r="DOE11" s="27"/>
      <c r="DOF11" s="27"/>
      <c r="DOL11" s="27"/>
      <c r="DOM11" s="27"/>
      <c r="DON11" s="27"/>
      <c r="DOT11" s="27"/>
      <c r="DOU11" s="27"/>
      <c r="DOV11" s="27"/>
      <c r="DPB11" s="27"/>
      <c r="DPC11" s="27"/>
      <c r="DPD11" s="27"/>
      <c r="DPJ11" s="27"/>
      <c r="DPK11" s="27"/>
      <c r="DPL11" s="27"/>
      <c r="DPR11" s="27"/>
      <c r="DPS11" s="27"/>
      <c r="DPT11" s="27"/>
      <c r="DPZ11" s="27"/>
      <c r="DQA11" s="27"/>
      <c r="DQB11" s="27"/>
      <c r="DQH11" s="27"/>
      <c r="DQI11" s="27"/>
      <c r="DQJ11" s="27"/>
      <c r="DQP11" s="27"/>
      <c r="DQQ11" s="27"/>
      <c r="DQR11" s="27"/>
      <c r="DQX11" s="27"/>
      <c r="DQY11" s="27"/>
      <c r="DQZ11" s="27"/>
      <c r="DRF11" s="27"/>
      <c r="DRG11" s="27"/>
      <c r="DRH11" s="27"/>
      <c r="DRN11" s="27"/>
      <c r="DRO11" s="27"/>
      <c r="DRP11" s="27"/>
      <c r="DRV11" s="27"/>
      <c r="DRW11" s="27"/>
      <c r="DRX11" s="27"/>
      <c r="DSD11" s="27"/>
      <c r="DSE11" s="27"/>
      <c r="DSF11" s="27"/>
      <c r="DSL11" s="27"/>
      <c r="DSM11" s="27"/>
      <c r="DSN11" s="27"/>
      <c r="DST11" s="27"/>
      <c r="DSU11" s="27"/>
      <c r="DSV11" s="27"/>
      <c r="DTB11" s="27"/>
      <c r="DTC11" s="27"/>
      <c r="DTD11" s="27"/>
      <c r="DTJ11" s="27"/>
      <c r="DTK11" s="27"/>
      <c r="DTL11" s="27"/>
      <c r="DTR11" s="27"/>
      <c r="DTS11" s="27"/>
      <c r="DTT11" s="27"/>
      <c r="DTZ11" s="27"/>
      <c r="DUA11" s="27"/>
      <c r="DUB11" s="27"/>
      <c r="DUH11" s="27"/>
      <c r="DUI11" s="27"/>
      <c r="DUJ11" s="27"/>
      <c r="DUP11" s="27"/>
      <c r="DUQ11" s="27"/>
      <c r="DUR11" s="27"/>
      <c r="DUX11" s="27"/>
      <c r="DUY11" s="27"/>
      <c r="DUZ11" s="27"/>
      <c r="DVF11" s="27"/>
      <c r="DVG11" s="27"/>
      <c r="DVH11" s="27"/>
      <c r="DVN11" s="27"/>
      <c r="DVO11" s="27"/>
      <c r="DVP11" s="27"/>
      <c r="DVV11" s="27"/>
      <c r="DVW11" s="27"/>
      <c r="DVX11" s="27"/>
      <c r="DWD11" s="27"/>
      <c r="DWE11" s="27"/>
      <c r="DWF11" s="27"/>
      <c r="DWL11" s="27"/>
      <c r="DWM11" s="27"/>
      <c r="DWN11" s="27"/>
      <c r="DWT11" s="27"/>
      <c r="DWU11" s="27"/>
      <c r="DWV11" s="27"/>
      <c r="DXB11" s="27"/>
      <c r="DXC11" s="27"/>
      <c r="DXD11" s="27"/>
      <c r="DXJ11" s="27"/>
      <c r="DXK11" s="27"/>
      <c r="DXL11" s="27"/>
      <c r="DXR11" s="27"/>
      <c r="DXS11" s="27"/>
      <c r="DXT11" s="27"/>
      <c r="DXZ11" s="27"/>
      <c r="DYA11" s="27"/>
      <c r="DYB11" s="27"/>
      <c r="DYH11" s="27"/>
      <c r="DYI11" s="27"/>
      <c r="DYJ11" s="27"/>
      <c r="DYP11" s="27"/>
      <c r="DYQ11" s="27"/>
      <c r="DYR11" s="27"/>
      <c r="DYX11" s="27"/>
      <c r="DYY11" s="27"/>
      <c r="DYZ11" s="27"/>
      <c r="DZF11" s="27"/>
      <c r="DZG11" s="27"/>
      <c r="DZH11" s="27"/>
      <c r="DZN11" s="27"/>
      <c r="DZO11" s="27"/>
      <c r="DZP11" s="27"/>
      <c r="DZV11" s="27"/>
      <c r="DZW11" s="27"/>
      <c r="DZX11" s="27"/>
      <c r="EAD11" s="27"/>
      <c r="EAE11" s="27"/>
      <c r="EAF11" s="27"/>
      <c r="EAL11" s="27"/>
      <c r="EAM11" s="27"/>
      <c r="EAN11" s="27"/>
      <c r="EAT11" s="27"/>
      <c r="EAU11" s="27"/>
      <c r="EAV11" s="27"/>
      <c r="EBB11" s="27"/>
      <c r="EBC11" s="27"/>
      <c r="EBD11" s="27"/>
      <c r="EBJ11" s="27"/>
      <c r="EBK11" s="27"/>
      <c r="EBL11" s="27"/>
      <c r="EBR11" s="27"/>
      <c r="EBS11" s="27"/>
      <c r="EBT11" s="27"/>
      <c r="EBZ11" s="27"/>
      <c r="ECA11" s="27"/>
      <c r="ECB11" s="27"/>
      <c r="ECH11" s="27"/>
      <c r="ECI11" s="27"/>
      <c r="ECJ11" s="27"/>
      <c r="ECP11" s="27"/>
      <c r="ECQ11" s="27"/>
      <c r="ECR11" s="27"/>
      <c r="ECX11" s="27"/>
      <c r="ECY11" s="27"/>
      <c r="ECZ11" s="27"/>
      <c r="EDF11" s="27"/>
      <c r="EDG11" s="27"/>
      <c r="EDH11" s="27"/>
      <c r="EDN11" s="27"/>
      <c r="EDO11" s="27"/>
      <c r="EDP11" s="27"/>
      <c r="EDV11" s="27"/>
      <c r="EDW11" s="27"/>
      <c r="EDX11" s="27"/>
      <c r="EED11" s="27"/>
      <c r="EEE11" s="27"/>
      <c r="EEF11" s="27"/>
      <c r="EEL11" s="27"/>
      <c r="EEM11" s="27"/>
      <c r="EEN11" s="27"/>
      <c r="EET11" s="27"/>
      <c r="EEU11" s="27"/>
      <c r="EEV11" s="27"/>
      <c r="EFB11" s="27"/>
      <c r="EFC11" s="27"/>
      <c r="EFD11" s="27"/>
      <c r="EFJ11" s="27"/>
      <c r="EFK11" s="27"/>
      <c r="EFL11" s="27"/>
      <c r="EFR11" s="27"/>
      <c r="EFS11" s="27"/>
      <c r="EFT11" s="27"/>
      <c r="EFZ11" s="27"/>
      <c r="EGA11" s="27"/>
      <c r="EGB11" s="27"/>
      <c r="EGH11" s="27"/>
      <c r="EGI11" s="27"/>
      <c r="EGJ11" s="27"/>
      <c r="EGP11" s="27"/>
      <c r="EGQ11" s="27"/>
      <c r="EGR11" s="27"/>
      <c r="EGX11" s="27"/>
      <c r="EGY11" s="27"/>
      <c r="EGZ11" s="27"/>
      <c r="EHF11" s="27"/>
      <c r="EHG11" s="27"/>
      <c r="EHH11" s="27"/>
      <c r="EHN11" s="27"/>
      <c r="EHO11" s="27"/>
      <c r="EHP11" s="27"/>
      <c r="EHV11" s="27"/>
      <c r="EHW11" s="27"/>
      <c r="EHX11" s="27"/>
      <c r="EID11" s="27"/>
      <c r="EIE11" s="27"/>
      <c r="EIF11" s="27"/>
      <c r="EIL11" s="27"/>
      <c r="EIM11" s="27"/>
      <c r="EIN11" s="27"/>
      <c r="EIT11" s="27"/>
      <c r="EIU11" s="27"/>
      <c r="EIV11" s="27"/>
      <c r="EJB11" s="27"/>
      <c r="EJC11" s="27"/>
      <c r="EJD11" s="27"/>
      <c r="EJJ11" s="27"/>
      <c r="EJK11" s="27"/>
      <c r="EJL11" s="27"/>
      <c r="EJR11" s="27"/>
      <c r="EJS11" s="27"/>
      <c r="EJT11" s="27"/>
      <c r="EJZ11" s="27"/>
      <c r="EKA11" s="27"/>
      <c r="EKB11" s="27"/>
      <c r="EKH11" s="27"/>
      <c r="EKI11" s="27"/>
      <c r="EKJ11" s="27"/>
      <c r="EKP11" s="27"/>
      <c r="EKQ11" s="27"/>
      <c r="EKR11" s="27"/>
      <c r="EKX11" s="27"/>
      <c r="EKY11" s="27"/>
      <c r="EKZ11" s="27"/>
      <c r="ELF11" s="27"/>
      <c r="ELG11" s="27"/>
      <c r="ELH11" s="27"/>
      <c r="ELN11" s="27"/>
      <c r="ELO11" s="27"/>
      <c r="ELP11" s="27"/>
      <c r="ELV11" s="27"/>
      <c r="ELW11" s="27"/>
      <c r="ELX11" s="27"/>
      <c r="EMD11" s="27"/>
      <c r="EME11" s="27"/>
      <c r="EMF11" s="27"/>
      <c r="EML11" s="27"/>
      <c r="EMM11" s="27"/>
      <c r="EMN11" s="27"/>
      <c r="EMT11" s="27"/>
      <c r="EMU11" s="27"/>
      <c r="EMV11" s="27"/>
      <c r="ENB11" s="27"/>
      <c r="ENC11" s="27"/>
      <c r="END11" s="27"/>
      <c r="ENJ11" s="27"/>
      <c r="ENK11" s="27"/>
      <c r="ENL11" s="27"/>
      <c r="ENR11" s="27"/>
      <c r="ENS11" s="27"/>
      <c r="ENT11" s="27"/>
      <c r="ENZ11" s="27"/>
      <c r="EOA11" s="27"/>
      <c r="EOB11" s="27"/>
      <c r="EOH11" s="27"/>
      <c r="EOI11" s="27"/>
      <c r="EOJ11" s="27"/>
      <c r="EOP11" s="27"/>
      <c r="EOQ11" s="27"/>
      <c r="EOR11" s="27"/>
      <c r="EOX11" s="27"/>
      <c r="EOY11" s="27"/>
      <c r="EOZ11" s="27"/>
      <c r="EPF11" s="27"/>
      <c r="EPG11" s="27"/>
      <c r="EPH11" s="27"/>
      <c r="EPN11" s="27"/>
      <c r="EPO11" s="27"/>
      <c r="EPP11" s="27"/>
      <c r="EPV11" s="27"/>
      <c r="EPW11" s="27"/>
      <c r="EPX11" s="27"/>
      <c r="EQD11" s="27"/>
      <c r="EQE11" s="27"/>
      <c r="EQF11" s="27"/>
      <c r="EQL11" s="27"/>
      <c r="EQM11" s="27"/>
      <c r="EQN11" s="27"/>
      <c r="EQT11" s="27"/>
      <c r="EQU11" s="27"/>
      <c r="EQV11" s="27"/>
      <c r="ERB11" s="27"/>
      <c r="ERC11" s="27"/>
      <c r="ERD11" s="27"/>
      <c r="ERJ11" s="27"/>
      <c r="ERK11" s="27"/>
      <c r="ERL11" s="27"/>
      <c r="ERR11" s="27"/>
      <c r="ERS11" s="27"/>
      <c r="ERT11" s="27"/>
      <c r="ERZ11" s="27"/>
      <c r="ESA11" s="27"/>
      <c r="ESB11" s="27"/>
      <c r="ESH11" s="27"/>
      <c r="ESI11" s="27"/>
      <c r="ESJ11" s="27"/>
      <c r="ESP11" s="27"/>
      <c r="ESQ11" s="27"/>
      <c r="ESR11" s="27"/>
      <c r="ESX11" s="27"/>
      <c r="ESY11" s="27"/>
      <c r="ESZ11" s="27"/>
      <c r="ETF11" s="27"/>
      <c r="ETG11" s="27"/>
      <c r="ETH11" s="27"/>
      <c r="ETN11" s="27"/>
      <c r="ETO11" s="27"/>
      <c r="ETP11" s="27"/>
      <c r="ETV11" s="27"/>
      <c r="ETW11" s="27"/>
      <c r="ETX11" s="27"/>
      <c r="EUD11" s="27"/>
      <c r="EUE11" s="27"/>
      <c r="EUF11" s="27"/>
      <c r="EUL11" s="27"/>
      <c r="EUM11" s="27"/>
      <c r="EUN11" s="27"/>
      <c r="EUT11" s="27"/>
      <c r="EUU11" s="27"/>
      <c r="EUV11" s="27"/>
      <c r="EVB11" s="27"/>
      <c r="EVC11" s="27"/>
      <c r="EVD11" s="27"/>
      <c r="EVJ11" s="27"/>
      <c r="EVK11" s="27"/>
      <c r="EVL11" s="27"/>
      <c r="EVR11" s="27"/>
      <c r="EVS11" s="27"/>
      <c r="EVT11" s="27"/>
      <c r="EVZ11" s="27"/>
      <c r="EWA11" s="27"/>
      <c r="EWB11" s="27"/>
      <c r="EWH11" s="27"/>
      <c r="EWI11" s="27"/>
      <c r="EWJ11" s="27"/>
      <c r="EWP11" s="27"/>
      <c r="EWQ11" s="27"/>
      <c r="EWR11" s="27"/>
      <c r="EWX11" s="27"/>
      <c r="EWY11" s="27"/>
      <c r="EWZ11" s="27"/>
      <c r="EXF11" s="27"/>
      <c r="EXG11" s="27"/>
      <c r="EXH11" s="27"/>
      <c r="EXN11" s="27"/>
      <c r="EXO11" s="27"/>
      <c r="EXP11" s="27"/>
      <c r="EXV11" s="27"/>
      <c r="EXW11" s="27"/>
      <c r="EXX11" s="27"/>
      <c r="EYD11" s="27"/>
      <c r="EYE11" s="27"/>
      <c r="EYF11" s="27"/>
      <c r="EYL11" s="27"/>
      <c r="EYM11" s="27"/>
      <c r="EYN11" s="27"/>
      <c r="EYT11" s="27"/>
      <c r="EYU11" s="27"/>
      <c r="EYV11" s="27"/>
      <c r="EZB11" s="27"/>
      <c r="EZC11" s="27"/>
      <c r="EZD11" s="27"/>
      <c r="EZJ11" s="27"/>
      <c r="EZK11" s="27"/>
      <c r="EZL11" s="27"/>
      <c r="EZR11" s="27"/>
      <c r="EZS11" s="27"/>
      <c r="EZT11" s="27"/>
      <c r="EZZ11" s="27"/>
      <c r="FAA11" s="27"/>
      <c r="FAB11" s="27"/>
      <c r="FAH11" s="27"/>
      <c r="FAI11" s="27"/>
      <c r="FAJ11" s="27"/>
      <c r="FAP11" s="27"/>
      <c r="FAQ11" s="27"/>
      <c r="FAR11" s="27"/>
      <c r="FAX11" s="27"/>
      <c r="FAY11" s="27"/>
      <c r="FAZ11" s="27"/>
      <c r="FBF11" s="27"/>
      <c r="FBG11" s="27"/>
      <c r="FBH11" s="27"/>
      <c r="FBN11" s="27"/>
      <c r="FBO11" s="27"/>
      <c r="FBP11" s="27"/>
      <c r="FBV11" s="27"/>
      <c r="FBW11" s="27"/>
      <c r="FBX11" s="27"/>
      <c r="FCD11" s="27"/>
      <c r="FCE11" s="27"/>
      <c r="FCF11" s="27"/>
      <c r="FCL11" s="27"/>
      <c r="FCM11" s="27"/>
      <c r="FCN11" s="27"/>
      <c r="FCT11" s="27"/>
      <c r="FCU11" s="27"/>
      <c r="FCV11" s="27"/>
      <c r="FDB11" s="27"/>
      <c r="FDC11" s="27"/>
      <c r="FDD11" s="27"/>
      <c r="FDJ11" s="27"/>
      <c r="FDK11" s="27"/>
      <c r="FDL11" s="27"/>
      <c r="FDR11" s="27"/>
      <c r="FDS11" s="27"/>
      <c r="FDT11" s="27"/>
      <c r="FDZ11" s="27"/>
      <c r="FEA11" s="27"/>
      <c r="FEB11" s="27"/>
      <c r="FEH11" s="27"/>
      <c r="FEI11" s="27"/>
      <c r="FEJ11" s="27"/>
      <c r="FEP11" s="27"/>
      <c r="FEQ11" s="27"/>
      <c r="FER11" s="27"/>
      <c r="FEX11" s="27"/>
      <c r="FEY11" s="27"/>
      <c r="FEZ11" s="27"/>
      <c r="FFF11" s="27"/>
      <c r="FFG11" s="27"/>
      <c r="FFH11" s="27"/>
      <c r="FFN11" s="27"/>
      <c r="FFO11" s="27"/>
      <c r="FFP11" s="27"/>
      <c r="FFV11" s="27"/>
      <c r="FFW11" s="27"/>
      <c r="FFX11" s="27"/>
      <c r="FGD11" s="27"/>
      <c r="FGE11" s="27"/>
      <c r="FGF11" s="27"/>
      <c r="FGL11" s="27"/>
      <c r="FGM11" s="27"/>
      <c r="FGN11" s="27"/>
      <c r="FGT11" s="27"/>
      <c r="FGU11" s="27"/>
      <c r="FGV11" s="27"/>
      <c r="FHB11" s="27"/>
      <c r="FHC11" s="27"/>
      <c r="FHD11" s="27"/>
      <c r="FHJ11" s="27"/>
      <c r="FHK11" s="27"/>
      <c r="FHL11" s="27"/>
      <c r="FHR11" s="27"/>
      <c r="FHS11" s="27"/>
      <c r="FHT11" s="27"/>
      <c r="FHZ11" s="27"/>
      <c r="FIA11" s="27"/>
      <c r="FIB11" s="27"/>
      <c r="FIH11" s="27"/>
      <c r="FII11" s="27"/>
      <c r="FIJ11" s="27"/>
      <c r="FIP11" s="27"/>
      <c r="FIQ11" s="27"/>
      <c r="FIR11" s="27"/>
      <c r="FIX11" s="27"/>
      <c r="FIY11" s="27"/>
      <c r="FIZ11" s="27"/>
      <c r="FJF11" s="27"/>
      <c r="FJG11" s="27"/>
      <c r="FJH11" s="27"/>
      <c r="FJN11" s="27"/>
      <c r="FJO11" s="27"/>
      <c r="FJP11" s="27"/>
      <c r="FJV11" s="27"/>
      <c r="FJW11" s="27"/>
      <c r="FJX11" s="27"/>
      <c r="FKD11" s="27"/>
      <c r="FKE11" s="27"/>
      <c r="FKF11" s="27"/>
      <c r="FKL11" s="27"/>
      <c r="FKM11" s="27"/>
      <c r="FKN11" s="27"/>
      <c r="FKT11" s="27"/>
      <c r="FKU11" s="27"/>
      <c r="FKV11" s="27"/>
      <c r="FLB11" s="27"/>
      <c r="FLC11" s="27"/>
      <c r="FLD11" s="27"/>
      <c r="FLJ11" s="27"/>
      <c r="FLK11" s="27"/>
      <c r="FLL11" s="27"/>
      <c r="FLR11" s="27"/>
      <c r="FLS11" s="27"/>
      <c r="FLT11" s="27"/>
      <c r="FLZ11" s="27"/>
      <c r="FMA11" s="27"/>
      <c r="FMB11" s="27"/>
      <c r="FMH11" s="27"/>
      <c r="FMI11" s="27"/>
      <c r="FMJ11" s="27"/>
      <c r="FMP11" s="27"/>
      <c r="FMQ11" s="27"/>
      <c r="FMR11" s="27"/>
      <c r="FMX11" s="27"/>
      <c r="FMY11" s="27"/>
      <c r="FMZ11" s="27"/>
      <c r="FNF11" s="27"/>
      <c r="FNG11" s="27"/>
      <c r="FNH11" s="27"/>
      <c r="FNN11" s="27"/>
      <c r="FNO11" s="27"/>
      <c r="FNP11" s="27"/>
      <c r="FNV11" s="27"/>
      <c r="FNW11" s="27"/>
      <c r="FNX11" s="27"/>
      <c r="FOD11" s="27"/>
      <c r="FOE11" s="27"/>
      <c r="FOF11" s="27"/>
      <c r="FOL11" s="27"/>
      <c r="FOM11" s="27"/>
      <c r="FON11" s="27"/>
      <c r="FOT11" s="27"/>
      <c r="FOU11" s="27"/>
      <c r="FOV11" s="27"/>
      <c r="FPB11" s="27"/>
      <c r="FPC11" s="27"/>
      <c r="FPD11" s="27"/>
      <c r="FPJ11" s="27"/>
      <c r="FPK11" s="27"/>
      <c r="FPL11" s="27"/>
      <c r="FPR11" s="27"/>
      <c r="FPS11" s="27"/>
      <c r="FPT11" s="27"/>
      <c r="FPZ11" s="27"/>
      <c r="FQA11" s="27"/>
      <c r="FQB11" s="27"/>
      <c r="FQH11" s="27"/>
      <c r="FQI11" s="27"/>
      <c r="FQJ11" s="27"/>
      <c r="FQP11" s="27"/>
      <c r="FQQ11" s="27"/>
      <c r="FQR11" s="27"/>
      <c r="FQX11" s="27"/>
      <c r="FQY11" s="27"/>
      <c r="FQZ11" s="27"/>
      <c r="FRF11" s="27"/>
      <c r="FRG11" s="27"/>
      <c r="FRH11" s="27"/>
      <c r="FRN11" s="27"/>
      <c r="FRO11" s="27"/>
      <c r="FRP11" s="27"/>
      <c r="FRV11" s="27"/>
      <c r="FRW11" s="27"/>
      <c r="FRX11" s="27"/>
      <c r="FSD11" s="27"/>
      <c r="FSE11" s="27"/>
      <c r="FSF11" s="27"/>
      <c r="FSL11" s="27"/>
      <c r="FSM11" s="27"/>
      <c r="FSN11" s="27"/>
      <c r="FST11" s="27"/>
      <c r="FSU11" s="27"/>
      <c r="FSV11" s="27"/>
      <c r="FTB11" s="27"/>
      <c r="FTC11" s="27"/>
      <c r="FTD11" s="27"/>
      <c r="FTJ11" s="27"/>
      <c r="FTK11" s="27"/>
      <c r="FTL11" s="27"/>
      <c r="FTR11" s="27"/>
      <c r="FTS11" s="27"/>
      <c r="FTT11" s="27"/>
      <c r="FTZ11" s="27"/>
      <c r="FUA11" s="27"/>
      <c r="FUB11" s="27"/>
      <c r="FUH11" s="27"/>
      <c r="FUI11" s="27"/>
      <c r="FUJ11" s="27"/>
      <c r="FUP11" s="27"/>
      <c r="FUQ11" s="27"/>
      <c r="FUR11" s="27"/>
      <c r="FUX11" s="27"/>
      <c r="FUY11" s="27"/>
      <c r="FUZ11" s="27"/>
      <c r="FVF11" s="27"/>
      <c r="FVG11" s="27"/>
      <c r="FVH11" s="27"/>
      <c r="FVN11" s="27"/>
      <c r="FVO11" s="27"/>
      <c r="FVP11" s="27"/>
      <c r="FVV11" s="27"/>
      <c r="FVW11" s="27"/>
      <c r="FVX11" s="27"/>
      <c r="FWD11" s="27"/>
      <c r="FWE11" s="27"/>
      <c r="FWF11" s="27"/>
      <c r="FWL11" s="27"/>
      <c r="FWM11" s="27"/>
      <c r="FWN11" s="27"/>
      <c r="FWT11" s="27"/>
      <c r="FWU11" s="27"/>
      <c r="FWV11" s="27"/>
      <c r="FXB11" s="27"/>
      <c r="FXC11" s="27"/>
      <c r="FXD11" s="27"/>
      <c r="FXJ11" s="27"/>
      <c r="FXK11" s="27"/>
      <c r="FXL11" s="27"/>
      <c r="FXR11" s="27"/>
      <c r="FXS11" s="27"/>
      <c r="FXT11" s="27"/>
      <c r="FXZ11" s="27"/>
      <c r="FYA11" s="27"/>
      <c r="FYB11" s="27"/>
      <c r="FYH11" s="27"/>
      <c r="FYI11" s="27"/>
      <c r="FYJ11" s="27"/>
      <c r="FYP11" s="27"/>
      <c r="FYQ11" s="27"/>
      <c r="FYR11" s="27"/>
      <c r="FYX11" s="27"/>
      <c r="FYY11" s="27"/>
      <c r="FYZ11" s="27"/>
      <c r="FZF11" s="27"/>
      <c r="FZG11" s="27"/>
      <c r="FZH11" s="27"/>
      <c r="FZN11" s="27"/>
      <c r="FZO11" s="27"/>
      <c r="FZP11" s="27"/>
      <c r="FZV11" s="27"/>
      <c r="FZW11" s="27"/>
      <c r="FZX11" s="27"/>
      <c r="GAD11" s="27"/>
      <c r="GAE11" s="27"/>
      <c r="GAF11" s="27"/>
      <c r="GAL11" s="27"/>
      <c r="GAM11" s="27"/>
      <c r="GAN11" s="27"/>
      <c r="GAT11" s="27"/>
      <c r="GAU11" s="27"/>
      <c r="GAV11" s="27"/>
      <c r="GBB11" s="27"/>
      <c r="GBC11" s="27"/>
      <c r="GBD11" s="27"/>
      <c r="GBJ11" s="27"/>
      <c r="GBK11" s="27"/>
      <c r="GBL11" s="27"/>
      <c r="GBR11" s="27"/>
      <c r="GBS11" s="27"/>
      <c r="GBT11" s="27"/>
      <c r="GBZ11" s="27"/>
      <c r="GCA11" s="27"/>
      <c r="GCB11" s="27"/>
      <c r="GCH11" s="27"/>
      <c r="GCI11" s="27"/>
      <c r="GCJ11" s="27"/>
      <c r="GCP11" s="27"/>
      <c r="GCQ11" s="27"/>
      <c r="GCR11" s="27"/>
      <c r="GCX11" s="27"/>
      <c r="GCY11" s="27"/>
      <c r="GCZ11" s="27"/>
      <c r="GDF11" s="27"/>
      <c r="GDG11" s="27"/>
      <c r="GDH11" s="27"/>
      <c r="GDN11" s="27"/>
      <c r="GDO11" s="27"/>
      <c r="GDP11" s="27"/>
      <c r="GDV11" s="27"/>
      <c r="GDW11" s="27"/>
      <c r="GDX11" s="27"/>
      <c r="GED11" s="27"/>
      <c r="GEE11" s="27"/>
      <c r="GEF11" s="27"/>
      <c r="GEL11" s="27"/>
      <c r="GEM11" s="27"/>
      <c r="GEN11" s="27"/>
      <c r="GET11" s="27"/>
      <c r="GEU11" s="27"/>
      <c r="GEV11" s="27"/>
      <c r="GFB11" s="27"/>
      <c r="GFC11" s="27"/>
      <c r="GFD11" s="27"/>
      <c r="GFJ11" s="27"/>
      <c r="GFK11" s="27"/>
      <c r="GFL11" s="27"/>
      <c r="GFR11" s="27"/>
      <c r="GFS11" s="27"/>
      <c r="GFT11" s="27"/>
      <c r="GFZ11" s="27"/>
      <c r="GGA11" s="27"/>
      <c r="GGB11" s="27"/>
      <c r="GGH11" s="27"/>
      <c r="GGI11" s="27"/>
      <c r="GGJ11" s="27"/>
      <c r="GGP11" s="27"/>
      <c r="GGQ11" s="27"/>
      <c r="GGR11" s="27"/>
      <c r="GGX11" s="27"/>
      <c r="GGY11" s="27"/>
      <c r="GGZ11" s="27"/>
      <c r="GHF11" s="27"/>
      <c r="GHG11" s="27"/>
      <c r="GHH11" s="27"/>
      <c r="GHN11" s="27"/>
      <c r="GHO11" s="27"/>
      <c r="GHP11" s="27"/>
      <c r="GHV11" s="27"/>
      <c r="GHW11" s="27"/>
      <c r="GHX11" s="27"/>
      <c r="GID11" s="27"/>
      <c r="GIE11" s="27"/>
      <c r="GIF11" s="27"/>
      <c r="GIL11" s="27"/>
      <c r="GIM11" s="27"/>
      <c r="GIN11" s="27"/>
      <c r="GIT11" s="27"/>
      <c r="GIU11" s="27"/>
      <c r="GIV11" s="27"/>
      <c r="GJB11" s="27"/>
      <c r="GJC11" s="27"/>
      <c r="GJD11" s="27"/>
      <c r="GJJ11" s="27"/>
      <c r="GJK11" s="27"/>
      <c r="GJL11" s="27"/>
      <c r="GJR11" s="27"/>
      <c r="GJS11" s="27"/>
      <c r="GJT11" s="27"/>
      <c r="GJZ11" s="27"/>
      <c r="GKA11" s="27"/>
      <c r="GKB11" s="27"/>
      <c r="GKH11" s="27"/>
      <c r="GKI11" s="27"/>
      <c r="GKJ11" s="27"/>
      <c r="GKP11" s="27"/>
      <c r="GKQ11" s="27"/>
      <c r="GKR11" s="27"/>
      <c r="GKX11" s="27"/>
      <c r="GKY11" s="27"/>
      <c r="GKZ11" s="27"/>
      <c r="GLF11" s="27"/>
      <c r="GLG11" s="27"/>
      <c r="GLH11" s="27"/>
      <c r="GLN11" s="27"/>
      <c r="GLO11" s="27"/>
      <c r="GLP11" s="27"/>
      <c r="GLV11" s="27"/>
      <c r="GLW11" s="27"/>
      <c r="GLX11" s="27"/>
      <c r="GMD11" s="27"/>
      <c r="GME11" s="27"/>
      <c r="GMF11" s="27"/>
      <c r="GML11" s="27"/>
      <c r="GMM11" s="27"/>
      <c r="GMN11" s="27"/>
      <c r="GMT11" s="27"/>
      <c r="GMU11" s="27"/>
      <c r="GMV11" s="27"/>
      <c r="GNB11" s="27"/>
      <c r="GNC11" s="27"/>
      <c r="GND11" s="27"/>
      <c r="GNJ11" s="27"/>
      <c r="GNK11" s="27"/>
      <c r="GNL11" s="27"/>
      <c r="GNR11" s="27"/>
      <c r="GNS11" s="27"/>
      <c r="GNT11" s="27"/>
      <c r="GNZ11" s="27"/>
      <c r="GOA11" s="27"/>
      <c r="GOB11" s="27"/>
      <c r="GOH11" s="27"/>
      <c r="GOI11" s="27"/>
      <c r="GOJ11" s="27"/>
      <c r="GOP11" s="27"/>
      <c r="GOQ11" s="27"/>
      <c r="GOR11" s="27"/>
      <c r="GOX11" s="27"/>
      <c r="GOY11" s="27"/>
      <c r="GOZ11" s="27"/>
      <c r="GPF11" s="27"/>
      <c r="GPG11" s="27"/>
      <c r="GPH11" s="27"/>
      <c r="GPN11" s="27"/>
      <c r="GPO11" s="27"/>
      <c r="GPP11" s="27"/>
      <c r="GPV11" s="27"/>
      <c r="GPW11" s="27"/>
      <c r="GPX11" s="27"/>
      <c r="GQD11" s="27"/>
      <c r="GQE11" s="27"/>
      <c r="GQF11" s="27"/>
      <c r="GQL11" s="27"/>
      <c r="GQM11" s="27"/>
      <c r="GQN11" s="27"/>
      <c r="GQT11" s="27"/>
      <c r="GQU11" s="27"/>
      <c r="GQV11" s="27"/>
      <c r="GRB11" s="27"/>
      <c r="GRC11" s="27"/>
      <c r="GRD11" s="27"/>
      <c r="GRJ11" s="27"/>
      <c r="GRK11" s="27"/>
      <c r="GRL11" s="27"/>
      <c r="GRR11" s="27"/>
      <c r="GRS11" s="27"/>
      <c r="GRT11" s="27"/>
      <c r="GRZ11" s="27"/>
      <c r="GSA11" s="27"/>
      <c r="GSB11" s="27"/>
      <c r="GSH11" s="27"/>
      <c r="GSI11" s="27"/>
      <c r="GSJ11" s="27"/>
      <c r="GSP11" s="27"/>
      <c r="GSQ11" s="27"/>
      <c r="GSR11" s="27"/>
      <c r="GSX11" s="27"/>
      <c r="GSY11" s="27"/>
      <c r="GSZ11" s="27"/>
      <c r="GTF11" s="27"/>
      <c r="GTG11" s="27"/>
      <c r="GTH11" s="27"/>
      <c r="GTN11" s="27"/>
      <c r="GTO11" s="27"/>
      <c r="GTP11" s="27"/>
      <c r="GTV11" s="27"/>
      <c r="GTW11" s="27"/>
      <c r="GTX11" s="27"/>
      <c r="GUD11" s="27"/>
      <c r="GUE11" s="27"/>
      <c r="GUF11" s="27"/>
      <c r="GUL11" s="27"/>
      <c r="GUM11" s="27"/>
      <c r="GUN11" s="27"/>
      <c r="GUT11" s="27"/>
      <c r="GUU11" s="27"/>
      <c r="GUV11" s="27"/>
      <c r="GVB11" s="27"/>
      <c r="GVC11" s="27"/>
      <c r="GVD11" s="27"/>
      <c r="GVJ11" s="27"/>
      <c r="GVK11" s="27"/>
      <c r="GVL11" s="27"/>
      <c r="GVR11" s="27"/>
      <c r="GVS11" s="27"/>
      <c r="GVT11" s="27"/>
      <c r="GVZ11" s="27"/>
      <c r="GWA11" s="27"/>
      <c r="GWB11" s="27"/>
      <c r="GWH11" s="27"/>
      <c r="GWI11" s="27"/>
      <c r="GWJ11" s="27"/>
      <c r="GWP11" s="27"/>
      <c r="GWQ11" s="27"/>
      <c r="GWR11" s="27"/>
      <c r="GWX11" s="27"/>
      <c r="GWY11" s="27"/>
      <c r="GWZ11" s="27"/>
      <c r="GXF11" s="27"/>
      <c r="GXG11" s="27"/>
      <c r="GXH11" s="27"/>
      <c r="GXN11" s="27"/>
      <c r="GXO11" s="27"/>
      <c r="GXP11" s="27"/>
      <c r="GXV11" s="27"/>
      <c r="GXW11" s="27"/>
      <c r="GXX11" s="27"/>
      <c r="GYD11" s="27"/>
      <c r="GYE11" s="27"/>
      <c r="GYF11" s="27"/>
      <c r="GYL11" s="27"/>
      <c r="GYM11" s="27"/>
      <c r="GYN11" s="27"/>
      <c r="GYT11" s="27"/>
      <c r="GYU11" s="27"/>
      <c r="GYV11" s="27"/>
      <c r="GZB11" s="27"/>
      <c r="GZC11" s="27"/>
      <c r="GZD11" s="27"/>
      <c r="GZJ11" s="27"/>
      <c r="GZK11" s="27"/>
      <c r="GZL11" s="27"/>
      <c r="GZR11" s="27"/>
      <c r="GZS11" s="27"/>
      <c r="GZT11" s="27"/>
      <c r="GZZ11" s="27"/>
      <c r="HAA11" s="27"/>
      <c r="HAB11" s="27"/>
      <c r="HAH11" s="27"/>
      <c r="HAI11" s="27"/>
      <c r="HAJ11" s="27"/>
      <c r="HAP11" s="27"/>
      <c r="HAQ11" s="27"/>
      <c r="HAR11" s="27"/>
      <c r="HAX11" s="27"/>
      <c r="HAY11" s="27"/>
      <c r="HAZ11" s="27"/>
      <c r="HBF11" s="27"/>
      <c r="HBG11" s="27"/>
      <c r="HBH11" s="27"/>
      <c r="HBN11" s="27"/>
      <c r="HBO11" s="27"/>
      <c r="HBP11" s="27"/>
      <c r="HBV11" s="27"/>
      <c r="HBW11" s="27"/>
      <c r="HBX11" s="27"/>
      <c r="HCD11" s="27"/>
      <c r="HCE11" s="27"/>
      <c r="HCF11" s="27"/>
      <c r="HCL11" s="27"/>
      <c r="HCM11" s="27"/>
      <c r="HCN11" s="27"/>
      <c r="HCT11" s="27"/>
      <c r="HCU11" s="27"/>
      <c r="HCV11" s="27"/>
      <c r="HDB11" s="27"/>
      <c r="HDC11" s="27"/>
      <c r="HDD11" s="27"/>
      <c r="HDJ11" s="27"/>
      <c r="HDK11" s="27"/>
      <c r="HDL11" s="27"/>
      <c r="HDR11" s="27"/>
      <c r="HDS11" s="27"/>
      <c r="HDT11" s="27"/>
      <c r="HDZ11" s="27"/>
      <c r="HEA11" s="27"/>
      <c r="HEB11" s="27"/>
      <c r="HEH11" s="27"/>
      <c r="HEI11" s="27"/>
      <c r="HEJ11" s="27"/>
      <c r="HEP11" s="27"/>
      <c r="HEQ11" s="27"/>
      <c r="HER11" s="27"/>
      <c r="HEX11" s="27"/>
      <c r="HEY11" s="27"/>
      <c r="HEZ11" s="27"/>
      <c r="HFF11" s="27"/>
      <c r="HFG11" s="27"/>
      <c r="HFH11" s="27"/>
      <c r="HFN11" s="27"/>
      <c r="HFO11" s="27"/>
      <c r="HFP11" s="27"/>
      <c r="HFV11" s="27"/>
      <c r="HFW11" s="27"/>
      <c r="HFX11" s="27"/>
      <c r="HGD11" s="27"/>
      <c r="HGE11" s="27"/>
      <c r="HGF11" s="27"/>
      <c r="HGL11" s="27"/>
      <c r="HGM11" s="27"/>
      <c r="HGN11" s="27"/>
      <c r="HGT11" s="27"/>
      <c r="HGU11" s="27"/>
      <c r="HGV11" s="27"/>
      <c r="HHB11" s="27"/>
      <c r="HHC11" s="27"/>
      <c r="HHD11" s="27"/>
      <c r="HHJ11" s="27"/>
      <c r="HHK11" s="27"/>
      <c r="HHL11" s="27"/>
      <c r="HHR11" s="27"/>
      <c r="HHS11" s="27"/>
      <c r="HHT11" s="27"/>
      <c r="HHZ11" s="27"/>
      <c r="HIA11" s="27"/>
      <c r="HIB11" s="27"/>
      <c r="HIH11" s="27"/>
      <c r="HII11" s="27"/>
      <c r="HIJ11" s="27"/>
      <c r="HIP11" s="27"/>
      <c r="HIQ11" s="27"/>
      <c r="HIR11" s="27"/>
      <c r="HIX11" s="27"/>
      <c r="HIY11" s="27"/>
      <c r="HIZ11" s="27"/>
      <c r="HJF11" s="27"/>
      <c r="HJG11" s="27"/>
      <c r="HJH11" s="27"/>
      <c r="HJN11" s="27"/>
      <c r="HJO11" s="27"/>
      <c r="HJP11" s="27"/>
      <c r="HJV11" s="27"/>
      <c r="HJW11" s="27"/>
      <c r="HJX11" s="27"/>
      <c r="HKD11" s="27"/>
      <c r="HKE11" s="27"/>
      <c r="HKF11" s="27"/>
      <c r="HKL11" s="27"/>
      <c r="HKM11" s="27"/>
      <c r="HKN11" s="27"/>
      <c r="HKT11" s="27"/>
      <c r="HKU11" s="27"/>
      <c r="HKV11" s="27"/>
      <c r="HLB11" s="27"/>
      <c r="HLC11" s="27"/>
      <c r="HLD11" s="27"/>
      <c r="HLJ11" s="27"/>
      <c r="HLK11" s="27"/>
      <c r="HLL11" s="27"/>
      <c r="HLR11" s="27"/>
      <c r="HLS11" s="27"/>
      <c r="HLT11" s="27"/>
      <c r="HLZ11" s="27"/>
      <c r="HMA11" s="27"/>
      <c r="HMB11" s="27"/>
      <c r="HMH11" s="27"/>
      <c r="HMI11" s="27"/>
      <c r="HMJ11" s="27"/>
      <c r="HMP11" s="27"/>
      <c r="HMQ11" s="27"/>
      <c r="HMR11" s="27"/>
      <c r="HMX11" s="27"/>
      <c r="HMY11" s="27"/>
      <c r="HMZ11" s="27"/>
      <c r="HNF11" s="27"/>
      <c r="HNG11" s="27"/>
      <c r="HNH11" s="27"/>
      <c r="HNN11" s="27"/>
      <c r="HNO11" s="27"/>
      <c r="HNP11" s="27"/>
      <c r="HNV11" s="27"/>
      <c r="HNW11" s="27"/>
      <c r="HNX11" s="27"/>
      <c r="HOD11" s="27"/>
      <c r="HOE11" s="27"/>
      <c r="HOF11" s="27"/>
      <c r="HOL11" s="27"/>
      <c r="HOM11" s="27"/>
      <c r="HON11" s="27"/>
      <c r="HOT11" s="27"/>
      <c r="HOU11" s="27"/>
      <c r="HOV11" s="27"/>
      <c r="HPB11" s="27"/>
      <c r="HPC11" s="27"/>
      <c r="HPD11" s="27"/>
      <c r="HPJ11" s="27"/>
      <c r="HPK11" s="27"/>
      <c r="HPL11" s="27"/>
      <c r="HPR11" s="27"/>
      <c r="HPS11" s="27"/>
      <c r="HPT11" s="27"/>
      <c r="HPZ11" s="27"/>
      <c r="HQA11" s="27"/>
      <c r="HQB11" s="27"/>
      <c r="HQH11" s="27"/>
      <c r="HQI11" s="27"/>
      <c r="HQJ11" s="27"/>
      <c r="HQP11" s="27"/>
      <c r="HQQ11" s="27"/>
      <c r="HQR11" s="27"/>
      <c r="HQX11" s="27"/>
      <c r="HQY11" s="27"/>
      <c r="HQZ11" s="27"/>
      <c r="HRF11" s="27"/>
      <c r="HRG11" s="27"/>
      <c r="HRH11" s="27"/>
      <c r="HRN11" s="27"/>
      <c r="HRO11" s="27"/>
      <c r="HRP11" s="27"/>
      <c r="HRV11" s="27"/>
      <c r="HRW11" s="27"/>
      <c r="HRX11" s="27"/>
      <c r="HSD11" s="27"/>
      <c r="HSE11" s="27"/>
      <c r="HSF11" s="27"/>
      <c r="HSL11" s="27"/>
      <c r="HSM11" s="27"/>
      <c r="HSN11" s="27"/>
      <c r="HST11" s="27"/>
      <c r="HSU11" s="27"/>
      <c r="HSV11" s="27"/>
      <c r="HTB11" s="27"/>
      <c r="HTC11" s="27"/>
      <c r="HTD11" s="27"/>
      <c r="HTJ11" s="27"/>
      <c r="HTK11" s="27"/>
      <c r="HTL11" s="27"/>
      <c r="HTR11" s="27"/>
      <c r="HTS11" s="27"/>
      <c r="HTT11" s="27"/>
      <c r="HTZ11" s="27"/>
      <c r="HUA11" s="27"/>
      <c r="HUB11" s="27"/>
      <c r="HUH11" s="27"/>
      <c r="HUI11" s="27"/>
      <c r="HUJ11" s="27"/>
      <c r="HUP11" s="27"/>
      <c r="HUQ11" s="27"/>
      <c r="HUR11" s="27"/>
      <c r="HUX11" s="27"/>
      <c r="HUY11" s="27"/>
      <c r="HUZ11" s="27"/>
      <c r="HVF11" s="27"/>
      <c r="HVG11" s="27"/>
      <c r="HVH11" s="27"/>
      <c r="HVN11" s="27"/>
      <c r="HVO11" s="27"/>
      <c r="HVP11" s="27"/>
      <c r="HVV11" s="27"/>
      <c r="HVW11" s="27"/>
      <c r="HVX11" s="27"/>
      <c r="HWD11" s="27"/>
      <c r="HWE11" s="27"/>
      <c r="HWF11" s="27"/>
      <c r="HWL11" s="27"/>
      <c r="HWM11" s="27"/>
      <c r="HWN11" s="27"/>
      <c r="HWT11" s="27"/>
      <c r="HWU11" s="27"/>
      <c r="HWV11" s="27"/>
      <c r="HXB11" s="27"/>
      <c r="HXC11" s="27"/>
      <c r="HXD11" s="27"/>
      <c r="HXJ11" s="27"/>
      <c r="HXK11" s="27"/>
      <c r="HXL11" s="27"/>
      <c r="HXR11" s="27"/>
      <c r="HXS11" s="27"/>
      <c r="HXT11" s="27"/>
      <c r="HXZ11" s="27"/>
      <c r="HYA11" s="27"/>
      <c r="HYB11" s="27"/>
      <c r="HYH11" s="27"/>
      <c r="HYI11" s="27"/>
      <c r="HYJ11" s="27"/>
      <c r="HYP11" s="27"/>
      <c r="HYQ11" s="27"/>
      <c r="HYR11" s="27"/>
      <c r="HYX11" s="27"/>
      <c r="HYY11" s="27"/>
      <c r="HYZ11" s="27"/>
      <c r="HZF11" s="27"/>
      <c r="HZG11" s="27"/>
      <c r="HZH11" s="27"/>
      <c r="HZN11" s="27"/>
      <c r="HZO11" s="27"/>
      <c r="HZP11" s="27"/>
      <c r="HZV11" s="27"/>
      <c r="HZW11" s="27"/>
      <c r="HZX11" s="27"/>
      <c r="IAD11" s="27"/>
      <c r="IAE11" s="27"/>
      <c r="IAF11" s="27"/>
      <c r="IAL11" s="27"/>
      <c r="IAM11" s="27"/>
      <c r="IAN11" s="27"/>
      <c r="IAT11" s="27"/>
      <c r="IAU11" s="27"/>
      <c r="IAV11" s="27"/>
      <c r="IBB11" s="27"/>
      <c r="IBC11" s="27"/>
      <c r="IBD11" s="27"/>
      <c r="IBJ11" s="27"/>
      <c r="IBK11" s="27"/>
      <c r="IBL11" s="27"/>
      <c r="IBR11" s="27"/>
      <c r="IBS11" s="27"/>
      <c r="IBT11" s="27"/>
      <c r="IBZ11" s="27"/>
      <c r="ICA11" s="27"/>
      <c r="ICB11" s="27"/>
      <c r="ICH11" s="27"/>
      <c r="ICI11" s="27"/>
      <c r="ICJ11" s="27"/>
      <c r="ICP11" s="27"/>
      <c r="ICQ11" s="27"/>
      <c r="ICR11" s="27"/>
      <c r="ICX11" s="27"/>
      <c r="ICY11" s="27"/>
      <c r="ICZ11" s="27"/>
      <c r="IDF11" s="27"/>
      <c r="IDG11" s="27"/>
      <c r="IDH11" s="27"/>
      <c r="IDN11" s="27"/>
      <c r="IDO11" s="27"/>
      <c r="IDP11" s="27"/>
      <c r="IDV11" s="27"/>
      <c r="IDW11" s="27"/>
      <c r="IDX11" s="27"/>
      <c r="IED11" s="27"/>
      <c r="IEE11" s="27"/>
      <c r="IEF11" s="27"/>
      <c r="IEL11" s="27"/>
      <c r="IEM11" s="27"/>
      <c r="IEN11" s="27"/>
      <c r="IET11" s="27"/>
      <c r="IEU11" s="27"/>
      <c r="IEV11" s="27"/>
      <c r="IFB11" s="27"/>
      <c r="IFC11" s="27"/>
      <c r="IFD11" s="27"/>
      <c r="IFJ11" s="27"/>
      <c r="IFK11" s="27"/>
      <c r="IFL11" s="27"/>
      <c r="IFR11" s="27"/>
      <c r="IFS11" s="27"/>
      <c r="IFT11" s="27"/>
      <c r="IFZ11" s="27"/>
      <c r="IGA11" s="27"/>
      <c r="IGB11" s="27"/>
      <c r="IGH11" s="27"/>
      <c r="IGI11" s="27"/>
      <c r="IGJ11" s="27"/>
      <c r="IGP11" s="27"/>
      <c r="IGQ11" s="27"/>
      <c r="IGR11" s="27"/>
      <c r="IGX11" s="27"/>
      <c r="IGY11" s="27"/>
      <c r="IGZ11" s="27"/>
      <c r="IHF11" s="27"/>
      <c r="IHG11" s="27"/>
      <c r="IHH11" s="27"/>
      <c r="IHN11" s="27"/>
      <c r="IHO11" s="27"/>
      <c r="IHP11" s="27"/>
      <c r="IHV11" s="27"/>
      <c r="IHW11" s="27"/>
      <c r="IHX11" s="27"/>
      <c r="IID11" s="27"/>
      <c r="IIE11" s="27"/>
      <c r="IIF11" s="27"/>
      <c r="IIL11" s="27"/>
      <c r="IIM11" s="27"/>
      <c r="IIN11" s="27"/>
      <c r="IIT11" s="27"/>
      <c r="IIU11" s="27"/>
      <c r="IIV11" s="27"/>
      <c r="IJB11" s="27"/>
      <c r="IJC11" s="27"/>
      <c r="IJD11" s="27"/>
      <c r="IJJ11" s="27"/>
      <c r="IJK11" s="27"/>
      <c r="IJL11" s="27"/>
      <c r="IJR11" s="27"/>
      <c r="IJS11" s="27"/>
      <c r="IJT11" s="27"/>
      <c r="IJZ11" s="27"/>
      <c r="IKA11" s="27"/>
      <c r="IKB11" s="27"/>
      <c r="IKH11" s="27"/>
      <c r="IKI11" s="27"/>
      <c r="IKJ11" s="27"/>
      <c r="IKP11" s="27"/>
      <c r="IKQ11" s="27"/>
      <c r="IKR11" s="27"/>
      <c r="IKX11" s="27"/>
      <c r="IKY11" s="27"/>
      <c r="IKZ11" s="27"/>
      <c r="ILF11" s="27"/>
      <c r="ILG11" s="27"/>
      <c r="ILH11" s="27"/>
      <c r="ILN11" s="27"/>
      <c r="ILO11" s="27"/>
      <c r="ILP11" s="27"/>
      <c r="ILV11" s="27"/>
      <c r="ILW11" s="27"/>
      <c r="ILX11" s="27"/>
      <c r="IMD11" s="27"/>
      <c r="IME11" s="27"/>
      <c r="IMF11" s="27"/>
      <c r="IML11" s="27"/>
      <c r="IMM11" s="27"/>
      <c r="IMN11" s="27"/>
      <c r="IMT11" s="27"/>
      <c r="IMU11" s="27"/>
      <c r="IMV11" s="27"/>
      <c r="INB11" s="27"/>
      <c r="INC11" s="27"/>
      <c r="IND11" s="27"/>
      <c r="INJ11" s="27"/>
      <c r="INK11" s="27"/>
      <c r="INL11" s="27"/>
      <c r="INR11" s="27"/>
      <c r="INS11" s="27"/>
      <c r="INT11" s="27"/>
      <c r="INZ11" s="27"/>
      <c r="IOA11" s="27"/>
      <c r="IOB11" s="27"/>
      <c r="IOH11" s="27"/>
      <c r="IOI11" s="27"/>
      <c r="IOJ11" s="27"/>
      <c r="IOP11" s="27"/>
      <c r="IOQ11" s="27"/>
      <c r="IOR11" s="27"/>
      <c r="IOX11" s="27"/>
      <c r="IOY11" s="27"/>
      <c r="IOZ11" s="27"/>
      <c r="IPF11" s="27"/>
      <c r="IPG11" s="27"/>
      <c r="IPH11" s="27"/>
      <c r="IPN11" s="27"/>
      <c r="IPO11" s="27"/>
      <c r="IPP11" s="27"/>
      <c r="IPV11" s="27"/>
      <c r="IPW11" s="27"/>
      <c r="IPX11" s="27"/>
      <c r="IQD11" s="27"/>
      <c r="IQE11" s="27"/>
      <c r="IQF11" s="27"/>
      <c r="IQL11" s="27"/>
      <c r="IQM11" s="27"/>
      <c r="IQN11" s="27"/>
      <c r="IQT11" s="27"/>
      <c r="IQU11" s="27"/>
      <c r="IQV11" s="27"/>
      <c r="IRB11" s="27"/>
      <c r="IRC11" s="27"/>
      <c r="IRD11" s="27"/>
      <c r="IRJ11" s="27"/>
      <c r="IRK11" s="27"/>
      <c r="IRL11" s="27"/>
      <c r="IRR11" s="27"/>
      <c r="IRS11" s="27"/>
      <c r="IRT11" s="27"/>
      <c r="IRZ11" s="27"/>
      <c r="ISA11" s="27"/>
      <c r="ISB11" s="27"/>
      <c r="ISH11" s="27"/>
      <c r="ISI11" s="27"/>
      <c r="ISJ11" s="27"/>
      <c r="ISP11" s="27"/>
      <c r="ISQ11" s="27"/>
      <c r="ISR11" s="27"/>
      <c r="ISX11" s="27"/>
      <c r="ISY11" s="27"/>
      <c r="ISZ11" s="27"/>
      <c r="ITF11" s="27"/>
      <c r="ITG11" s="27"/>
      <c r="ITH11" s="27"/>
      <c r="ITN11" s="27"/>
      <c r="ITO11" s="27"/>
      <c r="ITP11" s="27"/>
      <c r="ITV11" s="27"/>
      <c r="ITW11" s="27"/>
      <c r="ITX11" s="27"/>
      <c r="IUD11" s="27"/>
      <c r="IUE11" s="27"/>
      <c r="IUF11" s="27"/>
      <c r="IUL11" s="27"/>
      <c r="IUM11" s="27"/>
      <c r="IUN11" s="27"/>
      <c r="IUT11" s="27"/>
      <c r="IUU11" s="27"/>
      <c r="IUV11" s="27"/>
      <c r="IVB11" s="27"/>
      <c r="IVC11" s="27"/>
      <c r="IVD11" s="27"/>
      <c r="IVJ11" s="27"/>
      <c r="IVK11" s="27"/>
      <c r="IVL11" s="27"/>
      <c r="IVR11" s="27"/>
      <c r="IVS11" s="27"/>
      <c r="IVT11" s="27"/>
      <c r="IVZ11" s="27"/>
      <c r="IWA11" s="27"/>
      <c r="IWB11" s="27"/>
      <c r="IWH11" s="27"/>
      <c r="IWI11" s="27"/>
      <c r="IWJ11" s="27"/>
      <c r="IWP11" s="27"/>
      <c r="IWQ11" s="27"/>
      <c r="IWR11" s="27"/>
      <c r="IWX11" s="27"/>
      <c r="IWY11" s="27"/>
      <c r="IWZ11" s="27"/>
      <c r="IXF11" s="27"/>
      <c r="IXG11" s="27"/>
      <c r="IXH11" s="27"/>
      <c r="IXN11" s="27"/>
      <c r="IXO11" s="27"/>
      <c r="IXP11" s="27"/>
      <c r="IXV11" s="27"/>
      <c r="IXW11" s="27"/>
      <c r="IXX11" s="27"/>
      <c r="IYD11" s="27"/>
      <c r="IYE11" s="27"/>
      <c r="IYF11" s="27"/>
      <c r="IYL11" s="27"/>
      <c r="IYM11" s="27"/>
      <c r="IYN11" s="27"/>
      <c r="IYT11" s="27"/>
      <c r="IYU11" s="27"/>
      <c r="IYV11" s="27"/>
      <c r="IZB11" s="27"/>
      <c r="IZC11" s="27"/>
      <c r="IZD11" s="27"/>
      <c r="IZJ11" s="27"/>
      <c r="IZK11" s="27"/>
      <c r="IZL11" s="27"/>
      <c r="IZR11" s="27"/>
      <c r="IZS11" s="27"/>
      <c r="IZT11" s="27"/>
      <c r="IZZ11" s="27"/>
      <c r="JAA11" s="27"/>
      <c r="JAB11" s="27"/>
      <c r="JAH11" s="27"/>
      <c r="JAI11" s="27"/>
      <c r="JAJ11" s="27"/>
      <c r="JAP11" s="27"/>
      <c r="JAQ11" s="27"/>
      <c r="JAR11" s="27"/>
      <c r="JAX11" s="27"/>
      <c r="JAY11" s="27"/>
      <c r="JAZ11" s="27"/>
      <c r="JBF11" s="27"/>
      <c r="JBG11" s="27"/>
      <c r="JBH11" s="27"/>
      <c r="JBN11" s="27"/>
      <c r="JBO11" s="27"/>
      <c r="JBP11" s="27"/>
      <c r="JBV11" s="27"/>
      <c r="JBW11" s="27"/>
      <c r="JBX11" s="27"/>
      <c r="JCD11" s="27"/>
      <c r="JCE11" s="27"/>
      <c r="JCF11" s="27"/>
      <c r="JCL11" s="27"/>
      <c r="JCM11" s="27"/>
      <c r="JCN11" s="27"/>
      <c r="JCT11" s="27"/>
      <c r="JCU11" s="27"/>
      <c r="JCV11" s="27"/>
      <c r="JDB11" s="27"/>
      <c r="JDC11" s="27"/>
      <c r="JDD11" s="27"/>
      <c r="JDJ11" s="27"/>
      <c r="JDK11" s="27"/>
      <c r="JDL11" s="27"/>
      <c r="JDR11" s="27"/>
      <c r="JDS11" s="27"/>
      <c r="JDT11" s="27"/>
      <c r="JDZ11" s="27"/>
      <c r="JEA11" s="27"/>
      <c r="JEB11" s="27"/>
      <c r="JEH11" s="27"/>
      <c r="JEI11" s="27"/>
      <c r="JEJ11" s="27"/>
      <c r="JEP11" s="27"/>
      <c r="JEQ11" s="27"/>
      <c r="JER11" s="27"/>
      <c r="JEX11" s="27"/>
      <c r="JEY11" s="27"/>
      <c r="JEZ11" s="27"/>
      <c r="JFF11" s="27"/>
      <c r="JFG11" s="27"/>
      <c r="JFH11" s="27"/>
      <c r="JFN11" s="27"/>
      <c r="JFO11" s="27"/>
      <c r="JFP11" s="27"/>
      <c r="JFV11" s="27"/>
      <c r="JFW11" s="27"/>
      <c r="JFX11" s="27"/>
      <c r="JGD11" s="27"/>
      <c r="JGE11" s="27"/>
      <c r="JGF11" s="27"/>
      <c r="JGL11" s="27"/>
      <c r="JGM11" s="27"/>
      <c r="JGN11" s="27"/>
      <c r="JGT11" s="27"/>
      <c r="JGU11" s="27"/>
      <c r="JGV11" s="27"/>
      <c r="JHB11" s="27"/>
      <c r="JHC11" s="27"/>
      <c r="JHD11" s="27"/>
      <c r="JHJ11" s="27"/>
      <c r="JHK11" s="27"/>
      <c r="JHL11" s="27"/>
      <c r="JHR11" s="27"/>
      <c r="JHS11" s="27"/>
      <c r="JHT11" s="27"/>
      <c r="JHZ11" s="27"/>
      <c r="JIA11" s="27"/>
      <c r="JIB11" s="27"/>
      <c r="JIH11" s="27"/>
      <c r="JII11" s="27"/>
      <c r="JIJ11" s="27"/>
      <c r="JIP11" s="27"/>
      <c r="JIQ11" s="27"/>
      <c r="JIR11" s="27"/>
      <c r="JIX11" s="27"/>
      <c r="JIY11" s="27"/>
      <c r="JIZ11" s="27"/>
      <c r="JJF11" s="27"/>
      <c r="JJG11" s="27"/>
      <c r="JJH11" s="27"/>
      <c r="JJN11" s="27"/>
      <c r="JJO11" s="27"/>
      <c r="JJP11" s="27"/>
      <c r="JJV11" s="27"/>
      <c r="JJW11" s="27"/>
      <c r="JJX11" s="27"/>
      <c r="JKD11" s="27"/>
      <c r="JKE11" s="27"/>
      <c r="JKF11" s="27"/>
      <c r="JKL11" s="27"/>
      <c r="JKM11" s="27"/>
      <c r="JKN11" s="27"/>
      <c r="JKT11" s="27"/>
      <c r="JKU11" s="27"/>
      <c r="JKV11" s="27"/>
      <c r="JLB11" s="27"/>
      <c r="JLC11" s="27"/>
      <c r="JLD11" s="27"/>
      <c r="JLJ11" s="27"/>
      <c r="JLK11" s="27"/>
      <c r="JLL11" s="27"/>
      <c r="JLR11" s="27"/>
      <c r="JLS11" s="27"/>
      <c r="JLT11" s="27"/>
      <c r="JLZ11" s="27"/>
      <c r="JMA11" s="27"/>
      <c r="JMB11" s="27"/>
      <c r="JMH11" s="27"/>
      <c r="JMI11" s="27"/>
      <c r="JMJ11" s="27"/>
      <c r="JMP11" s="27"/>
      <c r="JMQ11" s="27"/>
      <c r="JMR11" s="27"/>
      <c r="JMX11" s="27"/>
      <c r="JMY11" s="27"/>
      <c r="JMZ11" s="27"/>
      <c r="JNF11" s="27"/>
      <c r="JNG11" s="27"/>
      <c r="JNH11" s="27"/>
      <c r="JNN11" s="27"/>
      <c r="JNO11" s="27"/>
      <c r="JNP11" s="27"/>
      <c r="JNV11" s="27"/>
      <c r="JNW11" s="27"/>
      <c r="JNX11" s="27"/>
      <c r="JOD11" s="27"/>
      <c r="JOE11" s="27"/>
      <c r="JOF11" s="27"/>
      <c r="JOL11" s="27"/>
      <c r="JOM11" s="27"/>
      <c r="JON11" s="27"/>
      <c r="JOT11" s="27"/>
      <c r="JOU11" s="27"/>
      <c r="JOV11" s="27"/>
      <c r="JPB11" s="27"/>
      <c r="JPC11" s="27"/>
      <c r="JPD11" s="27"/>
      <c r="JPJ11" s="27"/>
      <c r="JPK11" s="27"/>
      <c r="JPL11" s="27"/>
      <c r="JPR11" s="27"/>
      <c r="JPS11" s="27"/>
      <c r="JPT11" s="27"/>
      <c r="JPZ11" s="27"/>
      <c r="JQA11" s="27"/>
      <c r="JQB11" s="27"/>
      <c r="JQH11" s="27"/>
      <c r="JQI11" s="27"/>
      <c r="JQJ11" s="27"/>
      <c r="JQP11" s="27"/>
      <c r="JQQ11" s="27"/>
      <c r="JQR11" s="27"/>
      <c r="JQX11" s="27"/>
      <c r="JQY11" s="27"/>
      <c r="JQZ11" s="27"/>
      <c r="JRF11" s="27"/>
      <c r="JRG11" s="27"/>
      <c r="JRH11" s="27"/>
      <c r="JRN11" s="27"/>
      <c r="JRO11" s="27"/>
      <c r="JRP11" s="27"/>
      <c r="JRV11" s="27"/>
      <c r="JRW11" s="27"/>
      <c r="JRX11" s="27"/>
      <c r="JSD11" s="27"/>
      <c r="JSE11" s="27"/>
      <c r="JSF11" s="27"/>
      <c r="JSL11" s="27"/>
      <c r="JSM11" s="27"/>
      <c r="JSN11" s="27"/>
      <c r="JST11" s="27"/>
      <c r="JSU11" s="27"/>
      <c r="JSV11" s="27"/>
      <c r="JTB11" s="27"/>
      <c r="JTC11" s="27"/>
      <c r="JTD11" s="27"/>
      <c r="JTJ11" s="27"/>
      <c r="JTK11" s="27"/>
      <c r="JTL11" s="27"/>
      <c r="JTR11" s="27"/>
      <c r="JTS11" s="27"/>
      <c r="JTT11" s="27"/>
      <c r="JTZ11" s="27"/>
      <c r="JUA11" s="27"/>
      <c r="JUB11" s="27"/>
      <c r="JUH11" s="27"/>
      <c r="JUI11" s="27"/>
      <c r="JUJ11" s="27"/>
      <c r="JUP11" s="27"/>
      <c r="JUQ11" s="27"/>
      <c r="JUR11" s="27"/>
      <c r="JUX11" s="27"/>
      <c r="JUY11" s="27"/>
      <c r="JUZ11" s="27"/>
      <c r="JVF11" s="27"/>
      <c r="JVG11" s="27"/>
      <c r="JVH11" s="27"/>
      <c r="JVN11" s="27"/>
      <c r="JVO11" s="27"/>
      <c r="JVP11" s="27"/>
      <c r="JVV11" s="27"/>
      <c r="JVW11" s="27"/>
      <c r="JVX11" s="27"/>
      <c r="JWD11" s="27"/>
      <c r="JWE11" s="27"/>
      <c r="JWF11" s="27"/>
      <c r="JWL11" s="27"/>
      <c r="JWM11" s="27"/>
      <c r="JWN11" s="27"/>
      <c r="JWT11" s="27"/>
      <c r="JWU11" s="27"/>
      <c r="JWV11" s="27"/>
      <c r="JXB11" s="27"/>
      <c r="JXC11" s="27"/>
      <c r="JXD11" s="27"/>
      <c r="JXJ11" s="27"/>
      <c r="JXK11" s="27"/>
      <c r="JXL11" s="27"/>
      <c r="JXR11" s="27"/>
      <c r="JXS11" s="27"/>
      <c r="JXT11" s="27"/>
      <c r="JXZ11" s="27"/>
      <c r="JYA11" s="27"/>
      <c r="JYB11" s="27"/>
      <c r="JYH11" s="27"/>
      <c r="JYI11" s="27"/>
      <c r="JYJ11" s="27"/>
      <c r="JYP11" s="27"/>
      <c r="JYQ11" s="27"/>
      <c r="JYR11" s="27"/>
      <c r="JYX11" s="27"/>
      <c r="JYY11" s="27"/>
      <c r="JYZ11" s="27"/>
      <c r="JZF11" s="27"/>
      <c r="JZG11" s="27"/>
      <c r="JZH11" s="27"/>
      <c r="JZN11" s="27"/>
      <c r="JZO11" s="27"/>
      <c r="JZP11" s="27"/>
      <c r="JZV11" s="27"/>
      <c r="JZW11" s="27"/>
      <c r="JZX11" s="27"/>
      <c r="KAD11" s="27"/>
      <c r="KAE11" s="27"/>
      <c r="KAF11" s="27"/>
      <c r="KAL11" s="27"/>
      <c r="KAM11" s="27"/>
      <c r="KAN11" s="27"/>
      <c r="KAT11" s="27"/>
      <c r="KAU11" s="27"/>
      <c r="KAV11" s="27"/>
      <c r="KBB11" s="27"/>
      <c r="KBC11" s="27"/>
      <c r="KBD11" s="27"/>
      <c r="KBJ11" s="27"/>
      <c r="KBK11" s="27"/>
      <c r="KBL11" s="27"/>
      <c r="KBR11" s="27"/>
      <c r="KBS11" s="27"/>
      <c r="KBT11" s="27"/>
      <c r="KBZ11" s="27"/>
      <c r="KCA11" s="27"/>
      <c r="KCB11" s="27"/>
      <c r="KCH11" s="27"/>
      <c r="KCI11" s="27"/>
      <c r="KCJ11" s="27"/>
      <c r="KCP11" s="27"/>
      <c r="KCQ11" s="27"/>
      <c r="KCR11" s="27"/>
      <c r="KCX11" s="27"/>
      <c r="KCY11" s="27"/>
      <c r="KCZ11" s="27"/>
      <c r="KDF11" s="27"/>
      <c r="KDG11" s="27"/>
      <c r="KDH11" s="27"/>
      <c r="KDN11" s="27"/>
      <c r="KDO11" s="27"/>
      <c r="KDP11" s="27"/>
      <c r="KDV11" s="27"/>
      <c r="KDW11" s="27"/>
      <c r="KDX11" s="27"/>
      <c r="KED11" s="27"/>
      <c r="KEE11" s="27"/>
      <c r="KEF11" s="27"/>
      <c r="KEL11" s="27"/>
      <c r="KEM11" s="27"/>
      <c r="KEN11" s="27"/>
      <c r="KET11" s="27"/>
      <c r="KEU11" s="27"/>
      <c r="KEV11" s="27"/>
      <c r="KFB11" s="27"/>
      <c r="KFC11" s="27"/>
      <c r="KFD11" s="27"/>
      <c r="KFJ11" s="27"/>
      <c r="KFK11" s="27"/>
      <c r="KFL11" s="27"/>
      <c r="KFR11" s="27"/>
      <c r="KFS11" s="27"/>
      <c r="KFT11" s="27"/>
      <c r="KFZ11" s="27"/>
      <c r="KGA11" s="27"/>
      <c r="KGB11" s="27"/>
      <c r="KGH11" s="27"/>
      <c r="KGI11" s="27"/>
      <c r="KGJ11" s="27"/>
      <c r="KGP11" s="27"/>
      <c r="KGQ11" s="27"/>
      <c r="KGR11" s="27"/>
      <c r="KGX11" s="27"/>
      <c r="KGY11" s="27"/>
      <c r="KGZ11" s="27"/>
      <c r="KHF11" s="27"/>
      <c r="KHG11" s="27"/>
      <c r="KHH11" s="27"/>
      <c r="KHN11" s="27"/>
      <c r="KHO11" s="27"/>
      <c r="KHP11" s="27"/>
      <c r="KHV11" s="27"/>
      <c r="KHW11" s="27"/>
      <c r="KHX11" s="27"/>
      <c r="KID11" s="27"/>
      <c r="KIE11" s="27"/>
      <c r="KIF11" s="27"/>
      <c r="KIL11" s="27"/>
      <c r="KIM11" s="27"/>
      <c r="KIN11" s="27"/>
      <c r="KIT11" s="27"/>
      <c r="KIU11" s="27"/>
      <c r="KIV11" s="27"/>
      <c r="KJB11" s="27"/>
      <c r="KJC11" s="27"/>
      <c r="KJD11" s="27"/>
      <c r="KJJ11" s="27"/>
      <c r="KJK11" s="27"/>
      <c r="KJL11" s="27"/>
      <c r="KJR11" s="27"/>
      <c r="KJS11" s="27"/>
      <c r="KJT11" s="27"/>
      <c r="KJZ11" s="27"/>
      <c r="KKA11" s="27"/>
      <c r="KKB11" s="27"/>
      <c r="KKH11" s="27"/>
      <c r="KKI11" s="27"/>
      <c r="KKJ11" s="27"/>
      <c r="KKP11" s="27"/>
      <c r="KKQ11" s="27"/>
      <c r="KKR11" s="27"/>
      <c r="KKX11" s="27"/>
      <c r="KKY11" s="27"/>
      <c r="KKZ11" s="27"/>
      <c r="KLF11" s="27"/>
      <c r="KLG11" s="27"/>
      <c r="KLH11" s="27"/>
      <c r="KLN11" s="27"/>
      <c r="KLO11" s="27"/>
      <c r="KLP11" s="27"/>
      <c r="KLV11" s="27"/>
      <c r="KLW11" s="27"/>
      <c r="KLX11" s="27"/>
      <c r="KMD11" s="27"/>
      <c r="KME11" s="27"/>
      <c r="KMF11" s="27"/>
      <c r="KML11" s="27"/>
      <c r="KMM11" s="27"/>
      <c r="KMN11" s="27"/>
      <c r="KMT11" s="27"/>
      <c r="KMU11" s="27"/>
      <c r="KMV11" s="27"/>
      <c r="KNB11" s="27"/>
      <c r="KNC11" s="27"/>
      <c r="KND11" s="27"/>
      <c r="KNJ11" s="27"/>
      <c r="KNK11" s="27"/>
      <c r="KNL11" s="27"/>
      <c r="KNR11" s="27"/>
      <c r="KNS11" s="27"/>
      <c r="KNT11" s="27"/>
      <c r="KNZ11" s="27"/>
      <c r="KOA11" s="27"/>
      <c r="KOB11" s="27"/>
      <c r="KOH11" s="27"/>
      <c r="KOI11" s="27"/>
      <c r="KOJ11" s="27"/>
      <c r="KOP11" s="27"/>
      <c r="KOQ11" s="27"/>
      <c r="KOR11" s="27"/>
      <c r="KOX11" s="27"/>
      <c r="KOY11" s="27"/>
      <c r="KOZ11" s="27"/>
      <c r="KPF11" s="27"/>
      <c r="KPG11" s="27"/>
      <c r="KPH11" s="27"/>
      <c r="KPN11" s="27"/>
      <c r="KPO11" s="27"/>
      <c r="KPP11" s="27"/>
      <c r="KPV11" s="27"/>
      <c r="KPW11" s="27"/>
      <c r="KPX11" s="27"/>
      <c r="KQD11" s="27"/>
      <c r="KQE11" s="27"/>
      <c r="KQF11" s="27"/>
      <c r="KQL11" s="27"/>
      <c r="KQM11" s="27"/>
      <c r="KQN11" s="27"/>
      <c r="KQT11" s="27"/>
      <c r="KQU11" s="27"/>
      <c r="KQV11" s="27"/>
      <c r="KRB11" s="27"/>
      <c r="KRC11" s="27"/>
      <c r="KRD11" s="27"/>
      <c r="KRJ11" s="27"/>
      <c r="KRK11" s="27"/>
      <c r="KRL11" s="27"/>
      <c r="KRR11" s="27"/>
      <c r="KRS11" s="27"/>
      <c r="KRT11" s="27"/>
      <c r="KRZ11" s="27"/>
      <c r="KSA11" s="27"/>
      <c r="KSB11" s="27"/>
      <c r="KSH11" s="27"/>
      <c r="KSI11" s="27"/>
      <c r="KSJ11" s="27"/>
      <c r="KSP11" s="27"/>
      <c r="KSQ11" s="27"/>
      <c r="KSR11" s="27"/>
      <c r="KSX11" s="27"/>
      <c r="KSY11" s="27"/>
      <c r="KSZ11" s="27"/>
      <c r="KTF11" s="27"/>
      <c r="KTG11" s="27"/>
      <c r="KTH11" s="27"/>
      <c r="KTN11" s="27"/>
      <c r="KTO11" s="27"/>
      <c r="KTP11" s="27"/>
      <c r="KTV11" s="27"/>
      <c r="KTW11" s="27"/>
      <c r="KTX11" s="27"/>
      <c r="KUD11" s="27"/>
      <c r="KUE11" s="27"/>
      <c r="KUF11" s="27"/>
      <c r="KUL11" s="27"/>
      <c r="KUM11" s="27"/>
      <c r="KUN11" s="27"/>
      <c r="KUT11" s="27"/>
      <c r="KUU11" s="27"/>
      <c r="KUV11" s="27"/>
      <c r="KVB11" s="27"/>
      <c r="KVC11" s="27"/>
      <c r="KVD11" s="27"/>
      <c r="KVJ11" s="27"/>
      <c r="KVK11" s="27"/>
      <c r="KVL11" s="27"/>
      <c r="KVR11" s="27"/>
      <c r="KVS11" s="27"/>
      <c r="KVT11" s="27"/>
      <c r="KVZ11" s="27"/>
      <c r="KWA11" s="27"/>
      <c r="KWB11" s="27"/>
      <c r="KWH11" s="27"/>
      <c r="KWI11" s="27"/>
      <c r="KWJ11" s="27"/>
      <c r="KWP11" s="27"/>
      <c r="KWQ11" s="27"/>
      <c r="KWR11" s="27"/>
      <c r="KWX11" s="27"/>
      <c r="KWY11" s="27"/>
      <c r="KWZ11" s="27"/>
      <c r="KXF11" s="27"/>
      <c r="KXG11" s="27"/>
      <c r="KXH11" s="27"/>
      <c r="KXN11" s="27"/>
      <c r="KXO11" s="27"/>
      <c r="KXP11" s="27"/>
      <c r="KXV11" s="27"/>
      <c r="KXW11" s="27"/>
      <c r="KXX11" s="27"/>
      <c r="KYD11" s="27"/>
      <c r="KYE11" s="27"/>
      <c r="KYF11" s="27"/>
      <c r="KYL11" s="27"/>
      <c r="KYM11" s="27"/>
      <c r="KYN11" s="27"/>
      <c r="KYT11" s="27"/>
      <c r="KYU11" s="27"/>
      <c r="KYV11" s="27"/>
      <c r="KZB11" s="27"/>
      <c r="KZC11" s="27"/>
      <c r="KZD11" s="27"/>
      <c r="KZJ11" s="27"/>
      <c r="KZK11" s="27"/>
      <c r="KZL11" s="27"/>
      <c r="KZR11" s="27"/>
      <c r="KZS11" s="27"/>
      <c r="KZT11" s="27"/>
      <c r="KZZ11" s="27"/>
      <c r="LAA11" s="27"/>
      <c r="LAB11" s="27"/>
      <c r="LAH11" s="27"/>
      <c r="LAI11" s="27"/>
      <c r="LAJ11" s="27"/>
      <c r="LAP11" s="27"/>
      <c r="LAQ11" s="27"/>
      <c r="LAR11" s="27"/>
      <c r="LAX11" s="27"/>
      <c r="LAY11" s="27"/>
      <c r="LAZ11" s="27"/>
      <c r="LBF11" s="27"/>
      <c r="LBG11" s="27"/>
      <c r="LBH11" s="27"/>
      <c r="LBN11" s="27"/>
      <c r="LBO11" s="27"/>
      <c r="LBP11" s="27"/>
      <c r="LBV11" s="27"/>
      <c r="LBW11" s="27"/>
      <c r="LBX11" s="27"/>
      <c r="LCD11" s="27"/>
      <c r="LCE11" s="27"/>
      <c r="LCF11" s="27"/>
      <c r="LCL11" s="27"/>
      <c r="LCM11" s="27"/>
      <c r="LCN11" s="27"/>
      <c r="LCT11" s="27"/>
      <c r="LCU11" s="27"/>
      <c r="LCV11" s="27"/>
      <c r="LDB11" s="27"/>
      <c r="LDC11" s="27"/>
      <c r="LDD11" s="27"/>
      <c r="LDJ11" s="27"/>
      <c r="LDK11" s="27"/>
      <c r="LDL11" s="27"/>
      <c r="LDR11" s="27"/>
      <c r="LDS11" s="27"/>
      <c r="LDT11" s="27"/>
      <c r="LDZ11" s="27"/>
      <c r="LEA11" s="27"/>
      <c r="LEB11" s="27"/>
      <c r="LEH11" s="27"/>
      <c r="LEI11" s="27"/>
      <c r="LEJ11" s="27"/>
      <c r="LEP11" s="27"/>
      <c r="LEQ11" s="27"/>
      <c r="LER11" s="27"/>
      <c r="LEX11" s="27"/>
      <c r="LEY11" s="27"/>
      <c r="LEZ11" s="27"/>
      <c r="LFF11" s="27"/>
      <c r="LFG11" s="27"/>
      <c r="LFH11" s="27"/>
      <c r="LFN11" s="27"/>
      <c r="LFO11" s="27"/>
      <c r="LFP11" s="27"/>
      <c r="LFV11" s="27"/>
      <c r="LFW11" s="27"/>
      <c r="LFX11" s="27"/>
      <c r="LGD11" s="27"/>
      <c r="LGE11" s="27"/>
      <c r="LGF11" s="27"/>
      <c r="LGL11" s="27"/>
      <c r="LGM11" s="27"/>
      <c r="LGN11" s="27"/>
      <c r="LGT11" s="27"/>
      <c r="LGU11" s="27"/>
      <c r="LGV11" s="27"/>
      <c r="LHB11" s="27"/>
      <c r="LHC11" s="27"/>
      <c r="LHD11" s="27"/>
      <c r="LHJ11" s="27"/>
      <c r="LHK11" s="27"/>
      <c r="LHL11" s="27"/>
      <c r="LHR11" s="27"/>
      <c r="LHS11" s="27"/>
      <c r="LHT11" s="27"/>
      <c r="LHZ11" s="27"/>
      <c r="LIA11" s="27"/>
      <c r="LIB11" s="27"/>
      <c r="LIH11" s="27"/>
      <c r="LII11" s="27"/>
      <c r="LIJ11" s="27"/>
      <c r="LIP11" s="27"/>
      <c r="LIQ11" s="27"/>
      <c r="LIR11" s="27"/>
      <c r="LIX11" s="27"/>
      <c r="LIY11" s="27"/>
      <c r="LIZ11" s="27"/>
      <c r="LJF11" s="27"/>
      <c r="LJG11" s="27"/>
      <c r="LJH11" s="27"/>
      <c r="LJN11" s="27"/>
      <c r="LJO11" s="27"/>
      <c r="LJP11" s="27"/>
      <c r="LJV11" s="27"/>
      <c r="LJW11" s="27"/>
      <c r="LJX11" s="27"/>
      <c r="LKD11" s="27"/>
      <c r="LKE11" s="27"/>
      <c r="LKF11" s="27"/>
      <c r="LKL11" s="27"/>
      <c r="LKM11" s="27"/>
      <c r="LKN11" s="27"/>
      <c r="LKT11" s="27"/>
      <c r="LKU11" s="27"/>
      <c r="LKV11" s="27"/>
      <c r="LLB11" s="27"/>
      <c r="LLC11" s="27"/>
      <c r="LLD11" s="27"/>
      <c r="LLJ11" s="27"/>
      <c r="LLK11" s="27"/>
      <c r="LLL11" s="27"/>
      <c r="LLR11" s="27"/>
      <c r="LLS11" s="27"/>
      <c r="LLT11" s="27"/>
      <c r="LLZ11" s="27"/>
      <c r="LMA11" s="27"/>
      <c r="LMB11" s="27"/>
      <c r="LMH11" s="27"/>
      <c r="LMI11" s="27"/>
      <c r="LMJ11" s="27"/>
      <c r="LMP11" s="27"/>
      <c r="LMQ11" s="27"/>
      <c r="LMR11" s="27"/>
      <c r="LMX11" s="27"/>
      <c r="LMY11" s="27"/>
      <c r="LMZ11" s="27"/>
      <c r="LNF11" s="27"/>
      <c r="LNG11" s="27"/>
      <c r="LNH11" s="27"/>
      <c r="LNN11" s="27"/>
      <c r="LNO11" s="27"/>
      <c r="LNP11" s="27"/>
      <c r="LNV11" s="27"/>
      <c r="LNW11" s="27"/>
      <c r="LNX11" s="27"/>
      <c r="LOD11" s="27"/>
      <c r="LOE11" s="27"/>
      <c r="LOF11" s="27"/>
      <c r="LOL11" s="27"/>
      <c r="LOM11" s="27"/>
      <c r="LON11" s="27"/>
      <c r="LOT11" s="27"/>
      <c r="LOU11" s="27"/>
      <c r="LOV11" s="27"/>
      <c r="LPB11" s="27"/>
      <c r="LPC11" s="27"/>
      <c r="LPD11" s="27"/>
      <c r="LPJ11" s="27"/>
      <c r="LPK11" s="27"/>
      <c r="LPL11" s="27"/>
      <c r="LPR11" s="27"/>
      <c r="LPS11" s="27"/>
      <c r="LPT11" s="27"/>
      <c r="LPZ11" s="27"/>
      <c r="LQA11" s="27"/>
      <c r="LQB11" s="27"/>
      <c r="LQH11" s="27"/>
      <c r="LQI11" s="27"/>
      <c r="LQJ11" s="27"/>
      <c r="LQP11" s="27"/>
      <c r="LQQ11" s="27"/>
      <c r="LQR11" s="27"/>
      <c r="LQX11" s="27"/>
      <c r="LQY11" s="27"/>
      <c r="LQZ11" s="27"/>
      <c r="LRF11" s="27"/>
      <c r="LRG11" s="27"/>
      <c r="LRH11" s="27"/>
      <c r="LRN11" s="27"/>
      <c r="LRO11" s="27"/>
      <c r="LRP11" s="27"/>
      <c r="LRV11" s="27"/>
      <c r="LRW11" s="27"/>
      <c r="LRX11" s="27"/>
      <c r="LSD11" s="27"/>
      <c r="LSE11" s="27"/>
      <c r="LSF11" s="27"/>
      <c r="LSL11" s="27"/>
      <c r="LSM11" s="27"/>
      <c r="LSN11" s="27"/>
      <c r="LST11" s="27"/>
      <c r="LSU11" s="27"/>
      <c r="LSV11" s="27"/>
      <c r="LTB11" s="27"/>
      <c r="LTC11" s="27"/>
      <c r="LTD11" s="27"/>
      <c r="LTJ11" s="27"/>
      <c r="LTK11" s="27"/>
      <c r="LTL11" s="27"/>
      <c r="LTR11" s="27"/>
      <c r="LTS11" s="27"/>
      <c r="LTT11" s="27"/>
      <c r="LTZ11" s="27"/>
      <c r="LUA11" s="27"/>
      <c r="LUB11" s="27"/>
      <c r="LUH11" s="27"/>
      <c r="LUI11" s="27"/>
      <c r="LUJ11" s="27"/>
      <c r="LUP11" s="27"/>
      <c r="LUQ11" s="27"/>
      <c r="LUR11" s="27"/>
      <c r="LUX11" s="27"/>
      <c r="LUY11" s="27"/>
      <c r="LUZ11" s="27"/>
      <c r="LVF11" s="27"/>
      <c r="LVG11" s="27"/>
      <c r="LVH11" s="27"/>
      <c r="LVN11" s="27"/>
      <c r="LVO11" s="27"/>
      <c r="LVP11" s="27"/>
      <c r="LVV11" s="27"/>
      <c r="LVW11" s="27"/>
      <c r="LVX11" s="27"/>
      <c r="LWD11" s="27"/>
      <c r="LWE11" s="27"/>
      <c r="LWF11" s="27"/>
      <c r="LWL11" s="27"/>
      <c r="LWM11" s="27"/>
      <c r="LWN11" s="27"/>
      <c r="LWT11" s="27"/>
      <c r="LWU11" s="27"/>
      <c r="LWV11" s="27"/>
      <c r="LXB11" s="27"/>
      <c r="LXC11" s="27"/>
      <c r="LXD11" s="27"/>
      <c r="LXJ11" s="27"/>
      <c r="LXK11" s="27"/>
      <c r="LXL11" s="27"/>
      <c r="LXR11" s="27"/>
      <c r="LXS11" s="27"/>
      <c r="LXT11" s="27"/>
      <c r="LXZ11" s="27"/>
      <c r="LYA11" s="27"/>
      <c r="LYB11" s="27"/>
      <c r="LYH11" s="27"/>
      <c r="LYI11" s="27"/>
      <c r="LYJ11" s="27"/>
      <c r="LYP11" s="27"/>
      <c r="LYQ11" s="27"/>
      <c r="LYR11" s="27"/>
      <c r="LYX11" s="27"/>
      <c r="LYY11" s="27"/>
      <c r="LYZ11" s="27"/>
      <c r="LZF11" s="27"/>
      <c r="LZG11" s="27"/>
      <c r="LZH11" s="27"/>
      <c r="LZN11" s="27"/>
      <c r="LZO11" s="27"/>
      <c r="LZP11" s="27"/>
      <c r="LZV11" s="27"/>
      <c r="LZW11" s="27"/>
      <c r="LZX11" s="27"/>
      <c r="MAD11" s="27"/>
      <c r="MAE11" s="27"/>
      <c r="MAF11" s="27"/>
      <c r="MAL11" s="27"/>
      <c r="MAM11" s="27"/>
      <c r="MAN11" s="27"/>
      <c r="MAT11" s="27"/>
      <c r="MAU11" s="27"/>
      <c r="MAV11" s="27"/>
      <c r="MBB11" s="27"/>
      <c r="MBC11" s="27"/>
      <c r="MBD11" s="27"/>
      <c r="MBJ11" s="27"/>
      <c r="MBK11" s="27"/>
      <c r="MBL11" s="27"/>
      <c r="MBR11" s="27"/>
      <c r="MBS11" s="27"/>
      <c r="MBT11" s="27"/>
      <c r="MBZ11" s="27"/>
      <c r="MCA11" s="27"/>
      <c r="MCB11" s="27"/>
      <c r="MCH11" s="27"/>
      <c r="MCI11" s="27"/>
      <c r="MCJ11" s="27"/>
      <c r="MCP11" s="27"/>
      <c r="MCQ11" s="27"/>
      <c r="MCR11" s="27"/>
      <c r="MCX11" s="27"/>
      <c r="MCY11" s="27"/>
      <c r="MCZ11" s="27"/>
      <c r="MDF11" s="27"/>
      <c r="MDG11" s="27"/>
      <c r="MDH11" s="27"/>
      <c r="MDN11" s="27"/>
      <c r="MDO11" s="27"/>
      <c r="MDP11" s="27"/>
      <c r="MDV11" s="27"/>
      <c r="MDW11" s="27"/>
      <c r="MDX11" s="27"/>
      <c r="MED11" s="27"/>
      <c r="MEE11" s="27"/>
      <c r="MEF11" s="27"/>
      <c r="MEL11" s="27"/>
      <c r="MEM11" s="27"/>
      <c r="MEN11" s="27"/>
      <c r="MET11" s="27"/>
      <c r="MEU11" s="27"/>
      <c r="MEV11" s="27"/>
      <c r="MFB11" s="27"/>
      <c r="MFC11" s="27"/>
      <c r="MFD11" s="27"/>
      <c r="MFJ11" s="27"/>
      <c r="MFK11" s="27"/>
      <c r="MFL11" s="27"/>
      <c r="MFR11" s="27"/>
      <c r="MFS11" s="27"/>
      <c r="MFT11" s="27"/>
      <c r="MFZ11" s="27"/>
      <c r="MGA11" s="27"/>
      <c r="MGB11" s="27"/>
      <c r="MGH11" s="27"/>
      <c r="MGI11" s="27"/>
      <c r="MGJ11" s="27"/>
      <c r="MGP11" s="27"/>
      <c r="MGQ11" s="27"/>
      <c r="MGR11" s="27"/>
      <c r="MGX11" s="27"/>
      <c r="MGY11" s="27"/>
      <c r="MGZ11" s="27"/>
      <c r="MHF11" s="27"/>
      <c r="MHG11" s="27"/>
      <c r="MHH11" s="27"/>
      <c r="MHN11" s="27"/>
      <c r="MHO11" s="27"/>
      <c r="MHP11" s="27"/>
      <c r="MHV11" s="27"/>
      <c r="MHW11" s="27"/>
      <c r="MHX11" s="27"/>
      <c r="MID11" s="27"/>
      <c r="MIE11" s="27"/>
      <c r="MIF11" s="27"/>
      <c r="MIL11" s="27"/>
      <c r="MIM11" s="27"/>
      <c r="MIN11" s="27"/>
      <c r="MIT11" s="27"/>
      <c r="MIU11" s="27"/>
      <c r="MIV11" s="27"/>
      <c r="MJB11" s="27"/>
      <c r="MJC11" s="27"/>
      <c r="MJD11" s="27"/>
      <c r="MJJ11" s="27"/>
      <c r="MJK11" s="27"/>
      <c r="MJL11" s="27"/>
      <c r="MJR11" s="27"/>
      <c r="MJS11" s="27"/>
      <c r="MJT11" s="27"/>
      <c r="MJZ11" s="27"/>
      <c r="MKA11" s="27"/>
      <c r="MKB11" s="27"/>
      <c r="MKH11" s="27"/>
      <c r="MKI11" s="27"/>
      <c r="MKJ11" s="27"/>
      <c r="MKP11" s="27"/>
      <c r="MKQ11" s="27"/>
      <c r="MKR11" s="27"/>
      <c r="MKX11" s="27"/>
      <c r="MKY11" s="27"/>
      <c r="MKZ11" s="27"/>
      <c r="MLF11" s="27"/>
      <c r="MLG11" s="27"/>
      <c r="MLH11" s="27"/>
      <c r="MLN11" s="27"/>
      <c r="MLO11" s="27"/>
      <c r="MLP11" s="27"/>
      <c r="MLV11" s="27"/>
      <c r="MLW11" s="27"/>
      <c r="MLX11" s="27"/>
      <c r="MMD11" s="27"/>
      <c r="MME11" s="27"/>
      <c r="MMF11" s="27"/>
      <c r="MML11" s="27"/>
      <c r="MMM11" s="27"/>
      <c r="MMN11" s="27"/>
      <c r="MMT11" s="27"/>
      <c r="MMU11" s="27"/>
      <c r="MMV11" s="27"/>
      <c r="MNB11" s="27"/>
      <c r="MNC11" s="27"/>
      <c r="MND11" s="27"/>
      <c r="MNJ11" s="27"/>
      <c r="MNK11" s="27"/>
      <c r="MNL11" s="27"/>
      <c r="MNR11" s="27"/>
      <c r="MNS11" s="27"/>
      <c r="MNT11" s="27"/>
      <c r="MNZ11" s="27"/>
      <c r="MOA11" s="27"/>
      <c r="MOB11" s="27"/>
      <c r="MOH11" s="27"/>
      <c r="MOI11" s="27"/>
      <c r="MOJ11" s="27"/>
      <c r="MOP11" s="27"/>
      <c r="MOQ11" s="27"/>
      <c r="MOR11" s="27"/>
      <c r="MOX11" s="27"/>
      <c r="MOY11" s="27"/>
      <c r="MOZ11" s="27"/>
      <c r="MPF11" s="27"/>
      <c r="MPG11" s="27"/>
      <c r="MPH11" s="27"/>
      <c r="MPN11" s="27"/>
      <c r="MPO11" s="27"/>
      <c r="MPP11" s="27"/>
      <c r="MPV11" s="27"/>
      <c r="MPW11" s="27"/>
      <c r="MPX11" s="27"/>
      <c r="MQD11" s="27"/>
      <c r="MQE11" s="27"/>
      <c r="MQF11" s="27"/>
      <c r="MQL11" s="27"/>
      <c r="MQM11" s="27"/>
      <c r="MQN11" s="27"/>
      <c r="MQT11" s="27"/>
      <c r="MQU11" s="27"/>
      <c r="MQV11" s="27"/>
      <c r="MRB11" s="27"/>
      <c r="MRC11" s="27"/>
      <c r="MRD11" s="27"/>
      <c r="MRJ11" s="27"/>
      <c r="MRK11" s="27"/>
      <c r="MRL11" s="27"/>
      <c r="MRR11" s="27"/>
      <c r="MRS11" s="27"/>
      <c r="MRT11" s="27"/>
      <c r="MRZ11" s="27"/>
      <c r="MSA11" s="27"/>
      <c r="MSB11" s="27"/>
      <c r="MSH11" s="27"/>
      <c r="MSI11" s="27"/>
      <c r="MSJ11" s="27"/>
      <c r="MSP11" s="27"/>
      <c r="MSQ11" s="27"/>
      <c r="MSR11" s="27"/>
      <c r="MSX11" s="27"/>
      <c r="MSY11" s="27"/>
      <c r="MSZ11" s="27"/>
      <c r="MTF11" s="27"/>
      <c r="MTG11" s="27"/>
      <c r="MTH11" s="27"/>
      <c r="MTN11" s="27"/>
      <c r="MTO11" s="27"/>
      <c r="MTP11" s="27"/>
      <c r="MTV11" s="27"/>
      <c r="MTW11" s="27"/>
      <c r="MTX11" s="27"/>
      <c r="MUD11" s="27"/>
      <c r="MUE11" s="27"/>
      <c r="MUF11" s="27"/>
      <c r="MUL11" s="27"/>
      <c r="MUM11" s="27"/>
      <c r="MUN11" s="27"/>
      <c r="MUT11" s="27"/>
      <c r="MUU11" s="27"/>
      <c r="MUV11" s="27"/>
      <c r="MVB11" s="27"/>
      <c r="MVC11" s="27"/>
      <c r="MVD11" s="27"/>
      <c r="MVJ11" s="27"/>
      <c r="MVK11" s="27"/>
      <c r="MVL11" s="27"/>
      <c r="MVR11" s="27"/>
      <c r="MVS11" s="27"/>
      <c r="MVT11" s="27"/>
      <c r="MVZ11" s="27"/>
      <c r="MWA11" s="27"/>
      <c r="MWB11" s="27"/>
      <c r="MWH11" s="27"/>
      <c r="MWI11" s="27"/>
      <c r="MWJ11" s="27"/>
      <c r="MWP11" s="27"/>
      <c r="MWQ11" s="27"/>
      <c r="MWR11" s="27"/>
      <c r="MWX11" s="27"/>
      <c r="MWY11" s="27"/>
      <c r="MWZ11" s="27"/>
      <c r="MXF11" s="27"/>
      <c r="MXG11" s="27"/>
      <c r="MXH11" s="27"/>
      <c r="MXN11" s="27"/>
      <c r="MXO11" s="27"/>
      <c r="MXP11" s="27"/>
      <c r="MXV11" s="27"/>
      <c r="MXW11" s="27"/>
      <c r="MXX11" s="27"/>
      <c r="MYD11" s="27"/>
      <c r="MYE11" s="27"/>
      <c r="MYF11" s="27"/>
      <c r="MYL11" s="27"/>
      <c r="MYM11" s="27"/>
      <c r="MYN11" s="27"/>
      <c r="MYT11" s="27"/>
      <c r="MYU11" s="27"/>
      <c r="MYV11" s="27"/>
      <c r="MZB11" s="27"/>
      <c r="MZC11" s="27"/>
      <c r="MZD11" s="27"/>
      <c r="MZJ11" s="27"/>
      <c r="MZK11" s="27"/>
      <c r="MZL11" s="27"/>
      <c r="MZR11" s="27"/>
      <c r="MZS11" s="27"/>
      <c r="MZT11" s="27"/>
      <c r="MZZ11" s="27"/>
      <c r="NAA11" s="27"/>
      <c r="NAB11" s="27"/>
      <c r="NAH11" s="27"/>
      <c r="NAI11" s="27"/>
      <c r="NAJ11" s="27"/>
      <c r="NAP11" s="27"/>
      <c r="NAQ11" s="27"/>
      <c r="NAR11" s="27"/>
      <c r="NAX11" s="27"/>
      <c r="NAY11" s="27"/>
      <c r="NAZ11" s="27"/>
      <c r="NBF11" s="27"/>
      <c r="NBG11" s="27"/>
      <c r="NBH11" s="27"/>
      <c r="NBN11" s="27"/>
      <c r="NBO11" s="27"/>
      <c r="NBP11" s="27"/>
      <c r="NBV11" s="27"/>
      <c r="NBW11" s="27"/>
      <c r="NBX11" s="27"/>
      <c r="NCD11" s="27"/>
      <c r="NCE11" s="27"/>
      <c r="NCF11" s="27"/>
      <c r="NCL11" s="27"/>
      <c r="NCM11" s="27"/>
      <c r="NCN11" s="27"/>
      <c r="NCT11" s="27"/>
      <c r="NCU11" s="27"/>
      <c r="NCV11" s="27"/>
      <c r="NDB11" s="27"/>
      <c r="NDC11" s="27"/>
      <c r="NDD11" s="27"/>
      <c r="NDJ11" s="27"/>
      <c r="NDK11" s="27"/>
      <c r="NDL11" s="27"/>
      <c r="NDR11" s="27"/>
      <c r="NDS11" s="27"/>
      <c r="NDT11" s="27"/>
      <c r="NDZ11" s="27"/>
      <c r="NEA11" s="27"/>
      <c r="NEB11" s="27"/>
      <c r="NEH11" s="27"/>
      <c r="NEI11" s="27"/>
      <c r="NEJ11" s="27"/>
      <c r="NEP11" s="27"/>
      <c r="NEQ11" s="27"/>
      <c r="NER11" s="27"/>
      <c r="NEX11" s="27"/>
      <c r="NEY11" s="27"/>
      <c r="NEZ11" s="27"/>
      <c r="NFF11" s="27"/>
      <c r="NFG11" s="27"/>
      <c r="NFH11" s="27"/>
      <c r="NFN11" s="27"/>
      <c r="NFO11" s="27"/>
      <c r="NFP11" s="27"/>
      <c r="NFV11" s="27"/>
      <c r="NFW11" s="27"/>
      <c r="NFX11" s="27"/>
      <c r="NGD11" s="27"/>
      <c r="NGE11" s="27"/>
      <c r="NGF11" s="27"/>
      <c r="NGL11" s="27"/>
      <c r="NGM11" s="27"/>
      <c r="NGN11" s="27"/>
      <c r="NGT11" s="27"/>
      <c r="NGU11" s="27"/>
      <c r="NGV11" s="27"/>
      <c r="NHB11" s="27"/>
      <c r="NHC11" s="27"/>
      <c r="NHD11" s="27"/>
      <c r="NHJ11" s="27"/>
      <c r="NHK11" s="27"/>
      <c r="NHL11" s="27"/>
      <c r="NHR11" s="27"/>
      <c r="NHS11" s="27"/>
      <c r="NHT11" s="27"/>
      <c r="NHZ11" s="27"/>
      <c r="NIA11" s="27"/>
      <c r="NIB11" s="27"/>
      <c r="NIH11" s="27"/>
      <c r="NII11" s="27"/>
      <c r="NIJ11" s="27"/>
      <c r="NIP11" s="27"/>
      <c r="NIQ11" s="27"/>
      <c r="NIR11" s="27"/>
      <c r="NIX11" s="27"/>
      <c r="NIY11" s="27"/>
      <c r="NIZ11" s="27"/>
      <c r="NJF11" s="27"/>
      <c r="NJG11" s="27"/>
      <c r="NJH11" s="27"/>
      <c r="NJN11" s="27"/>
      <c r="NJO11" s="27"/>
      <c r="NJP11" s="27"/>
      <c r="NJV11" s="27"/>
      <c r="NJW11" s="27"/>
      <c r="NJX11" s="27"/>
      <c r="NKD11" s="27"/>
      <c r="NKE11" s="27"/>
      <c r="NKF11" s="27"/>
      <c r="NKL11" s="27"/>
      <c r="NKM11" s="27"/>
      <c r="NKN11" s="27"/>
      <c r="NKT11" s="27"/>
      <c r="NKU11" s="27"/>
      <c r="NKV11" s="27"/>
      <c r="NLB11" s="27"/>
      <c r="NLC11" s="27"/>
      <c r="NLD11" s="27"/>
      <c r="NLJ11" s="27"/>
      <c r="NLK11" s="27"/>
      <c r="NLL11" s="27"/>
      <c r="NLR11" s="27"/>
      <c r="NLS11" s="27"/>
      <c r="NLT11" s="27"/>
      <c r="NLZ11" s="27"/>
      <c r="NMA11" s="27"/>
      <c r="NMB11" s="27"/>
      <c r="NMH11" s="27"/>
      <c r="NMI11" s="27"/>
      <c r="NMJ11" s="27"/>
      <c r="NMP11" s="27"/>
      <c r="NMQ11" s="27"/>
      <c r="NMR11" s="27"/>
      <c r="NMX11" s="27"/>
      <c r="NMY11" s="27"/>
      <c r="NMZ11" s="27"/>
      <c r="NNF11" s="27"/>
      <c r="NNG11" s="27"/>
      <c r="NNH11" s="27"/>
      <c r="NNN11" s="27"/>
      <c r="NNO11" s="27"/>
      <c r="NNP11" s="27"/>
      <c r="NNV11" s="27"/>
      <c r="NNW11" s="27"/>
      <c r="NNX11" s="27"/>
      <c r="NOD11" s="27"/>
      <c r="NOE11" s="27"/>
      <c r="NOF11" s="27"/>
      <c r="NOL11" s="27"/>
      <c r="NOM11" s="27"/>
      <c r="NON11" s="27"/>
      <c r="NOT11" s="27"/>
      <c r="NOU11" s="27"/>
      <c r="NOV11" s="27"/>
      <c r="NPB11" s="27"/>
      <c r="NPC11" s="27"/>
      <c r="NPD11" s="27"/>
      <c r="NPJ11" s="27"/>
      <c r="NPK11" s="27"/>
      <c r="NPL11" s="27"/>
      <c r="NPR11" s="27"/>
      <c r="NPS11" s="27"/>
      <c r="NPT11" s="27"/>
      <c r="NPZ11" s="27"/>
      <c r="NQA11" s="27"/>
      <c r="NQB11" s="27"/>
      <c r="NQH11" s="27"/>
      <c r="NQI11" s="27"/>
      <c r="NQJ11" s="27"/>
      <c r="NQP11" s="27"/>
      <c r="NQQ11" s="27"/>
      <c r="NQR11" s="27"/>
      <c r="NQX11" s="27"/>
      <c r="NQY11" s="27"/>
      <c r="NQZ11" s="27"/>
      <c r="NRF11" s="27"/>
      <c r="NRG11" s="27"/>
      <c r="NRH11" s="27"/>
      <c r="NRN11" s="27"/>
      <c r="NRO11" s="27"/>
      <c r="NRP11" s="27"/>
      <c r="NRV11" s="27"/>
      <c r="NRW11" s="27"/>
      <c r="NRX11" s="27"/>
      <c r="NSD11" s="27"/>
      <c r="NSE11" s="27"/>
      <c r="NSF11" s="27"/>
      <c r="NSL11" s="27"/>
      <c r="NSM11" s="27"/>
      <c r="NSN11" s="27"/>
      <c r="NST11" s="27"/>
      <c r="NSU11" s="27"/>
      <c r="NSV11" s="27"/>
      <c r="NTB11" s="27"/>
      <c r="NTC11" s="27"/>
      <c r="NTD11" s="27"/>
      <c r="NTJ11" s="27"/>
      <c r="NTK11" s="27"/>
      <c r="NTL11" s="27"/>
      <c r="NTR11" s="27"/>
      <c r="NTS11" s="27"/>
      <c r="NTT11" s="27"/>
      <c r="NTZ11" s="27"/>
      <c r="NUA11" s="27"/>
      <c r="NUB11" s="27"/>
      <c r="NUH11" s="27"/>
      <c r="NUI11" s="27"/>
      <c r="NUJ11" s="27"/>
      <c r="NUP11" s="27"/>
      <c r="NUQ11" s="27"/>
      <c r="NUR11" s="27"/>
      <c r="NUX11" s="27"/>
      <c r="NUY11" s="27"/>
      <c r="NUZ11" s="27"/>
      <c r="NVF11" s="27"/>
      <c r="NVG11" s="27"/>
      <c r="NVH11" s="27"/>
      <c r="NVN11" s="27"/>
      <c r="NVO11" s="27"/>
      <c r="NVP11" s="27"/>
      <c r="NVV11" s="27"/>
      <c r="NVW11" s="27"/>
      <c r="NVX11" s="27"/>
      <c r="NWD11" s="27"/>
      <c r="NWE11" s="27"/>
      <c r="NWF11" s="27"/>
      <c r="NWL11" s="27"/>
      <c r="NWM11" s="27"/>
      <c r="NWN11" s="27"/>
      <c r="NWT11" s="27"/>
      <c r="NWU11" s="27"/>
      <c r="NWV11" s="27"/>
      <c r="NXB11" s="27"/>
      <c r="NXC11" s="27"/>
      <c r="NXD11" s="27"/>
      <c r="NXJ11" s="27"/>
      <c r="NXK11" s="27"/>
      <c r="NXL11" s="27"/>
      <c r="NXR11" s="27"/>
      <c r="NXS11" s="27"/>
      <c r="NXT11" s="27"/>
      <c r="NXZ11" s="27"/>
      <c r="NYA11" s="27"/>
      <c r="NYB11" s="27"/>
      <c r="NYH11" s="27"/>
      <c r="NYI11" s="27"/>
      <c r="NYJ11" s="27"/>
      <c r="NYP11" s="27"/>
      <c r="NYQ11" s="27"/>
      <c r="NYR11" s="27"/>
      <c r="NYX11" s="27"/>
      <c r="NYY11" s="27"/>
      <c r="NYZ11" s="27"/>
      <c r="NZF11" s="27"/>
      <c r="NZG11" s="27"/>
      <c r="NZH11" s="27"/>
      <c r="NZN11" s="27"/>
      <c r="NZO11" s="27"/>
      <c r="NZP11" s="27"/>
      <c r="NZV11" s="27"/>
      <c r="NZW11" s="27"/>
      <c r="NZX11" s="27"/>
      <c r="OAD11" s="27"/>
      <c r="OAE11" s="27"/>
      <c r="OAF11" s="27"/>
      <c r="OAL11" s="27"/>
      <c r="OAM11" s="27"/>
      <c r="OAN11" s="27"/>
      <c r="OAT11" s="27"/>
      <c r="OAU11" s="27"/>
      <c r="OAV11" s="27"/>
      <c r="OBB11" s="27"/>
      <c r="OBC11" s="27"/>
      <c r="OBD11" s="27"/>
      <c r="OBJ11" s="27"/>
      <c r="OBK11" s="27"/>
      <c r="OBL11" s="27"/>
      <c r="OBR11" s="27"/>
      <c r="OBS11" s="27"/>
      <c r="OBT11" s="27"/>
      <c r="OBZ11" s="27"/>
      <c r="OCA11" s="27"/>
      <c r="OCB11" s="27"/>
      <c r="OCH11" s="27"/>
      <c r="OCI11" s="27"/>
      <c r="OCJ11" s="27"/>
      <c r="OCP11" s="27"/>
      <c r="OCQ11" s="27"/>
      <c r="OCR11" s="27"/>
      <c r="OCX11" s="27"/>
      <c r="OCY11" s="27"/>
      <c r="OCZ11" s="27"/>
      <c r="ODF11" s="27"/>
      <c r="ODG11" s="27"/>
      <c r="ODH11" s="27"/>
      <c r="ODN11" s="27"/>
      <c r="ODO11" s="27"/>
      <c r="ODP11" s="27"/>
      <c r="ODV11" s="27"/>
      <c r="ODW11" s="27"/>
      <c r="ODX11" s="27"/>
      <c r="OED11" s="27"/>
      <c r="OEE11" s="27"/>
      <c r="OEF11" s="27"/>
      <c r="OEL11" s="27"/>
      <c r="OEM11" s="27"/>
      <c r="OEN11" s="27"/>
      <c r="OET11" s="27"/>
      <c r="OEU11" s="27"/>
      <c r="OEV11" s="27"/>
      <c r="OFB11" s="27"/>
      <c r="OFC11" s="27"/>
      <c r="OFD11" s="27"/>
      <c r="OFJ11" s="27"/>
      <c r="OFK11" s="27"/>
      <c r="OFL11" s="27"/>
      <c r="OFR11" s="27"/>
      <c r="OFS11" s="27"/>
      <c r="OFT11" s="27"/>
      <c r="OFZ11" s="27"/>
      <c r="OGA11" s="27"/>
      <c r="OGB11" s="27"/>
      <c r="OGH11" s="27"/>
      <c r="OGI11" s="27"/>
      <c r="OGJ11" s="27"/>
      <c r="OGP11" s="27"/>
      <c r="OGQ11" s="27"/>
      <c r="OGR11" s="27"/>
      <c r="OGX11" s="27"/>
      <c r="OGY11" s="27"/>
      <c r="OGZ11" s="27"/>
      <c r="OHF11" s="27"/>
      <c r="OHG11" s="27"/>
      <c r="OHH11" s="27"/>
      <c r="OHN11" s="27"/>
      <c r="OHO11" s="27"/>
      <c r="OHP11" s="27"/>
      <c r="OHV11" s="27"/>
      <c r="OHW11" s="27"/>
      <c r="OHX11" s="27"/>
      <c r="OID11" s="27"/>
      <c r="OIE11" s="27"/>
      <c r="OIF11" s="27"/>
      <c r="OIL11" s="27"/>
      <c r="OIM11" s="27"/>
      <c r="OIN11" s="27"/>
      <c r="OIT11" s="27"/>
      <c r="OIU11" s="27"/>
      <c r="OIV11" s="27"/>
      <c r="OJB11" s="27"/>
      <c r="OJC11" s="27"/>
      <c r="OJD11" s="27"/>
      <c r="OJJ11" s="27"/>
      <c r="OJK11" s="27"/>
      <c r="OJL11" s="27"/>
      <c r="OJR11" s="27"/>
      <c r="OJS11" s="27"/>
      <c r="OJT11" s="27"/>
      <c r="OJZ11" s="27"/>
      <c r="OKA11" s="27"/>
      <c r="OKB11" s="27"/>
      <c r="OKH11" s="27"/>
      <c r="OKI11" s="27"/>
      <c r="OKJ11" s="27"/>
      <c r="OKP11" s="27"/>
      <c r="OKQ11" s="27"/>
      <c r="OKR11" s="27"/>
      <c r="OKX11" s="27"/>
      <c r="OKY11" s="27"/>
      <c r="OKZ11" s="27"/>
      <c r="OLF11" s="27"/>
      <c r="OLG11" s="27"/>
      <c r="OLH11" s="27"/>
      <c r="OLN11" s="27"/>
      <c r="OLO11" s="27"/>
      <c r="OLP11" s="27"/>
      <c r="OLV11" s="27"/>
      <c r="OLW11" s="27"/>
      <c r="OLX11" s="27"/>
      <c r="OMD11" s="27"/>
      <c r="OME11" s="27"/>
      <c r="OMF11" s="27"/>
      <c r="OML11" s="27"/>
      <c r="OMM11" s="27"/>
      <c r="OMN11" s="27"/>
      <c r="OMT11" s="27"/>
      <c r="OMU11" s="27"/>
      <c r="OMV11" s="27"/>
      <c r="ONB11" s="27"/>
      <c r="ONC11" s="27"/>
      <c r="OND11" s="27"/>
      <c r="ONJ11" s="27"/>
      <c r="ONK11" s="27"/>
      <c r="ONL11" s="27"/>
      <c r="ONR11" s="27"/>
      <c r="ONS11" s="27"/>
      <c r="ONT11" s="27"/>
      <c r="ONZ11" s="27"/>
      <c r="OOA11" s="27"/>
      <c r="OOB11" s="27"/>
      <c r="OOH11" s="27"/>
      <c r="OOI11" s="27"/>
      <c r="OOJ11" s="27"/>
      <c r="OOP11" s="27"/>
      <c r="OOQ11" s="27"/>
      <c r="OOR11" s="27"/>
      <c r="OOX11" s="27"/>
      <c r="OOY11" s="27"/>
      <c r="OOZ11" s="27"/>
      <c r="OPF11" s="27"/>
      <c r="OPG11" s="27"/>
      <c r="OPH11" s="27"/>
      <c r="OPN11" s="27"/>
      <c r="OPO11" s="27"/>
      <c r="OPP11" s="27"/>
      <c r="OPV11" s="27"/>
      <c r="OPW11" s="27"/>
      <c r="OPX11" s="27"/>
      <c r="OQD11" s="27"/>
      <c r="OQE11" s="27"/>
      <c r="OQF11" s="27"/>
      <c r="OQL11" s="27"/>
      <c r="OQM11" s="27"/>
      <c r="OQN11" s="27"/>
      <c r="OQT11" s="27"/>
      <c r="OQU11" s="27"/>
      <c r="OQV11" s="27"/>
      <c r="ORB11" s="27"/>
      <c r="ORC11" s="27"/>
      <c r="ORD11" s="27"/>
      <c r="ORJ11" s="27"/>
      <c r="ORK11" s="27"/>
      <c r="ORL11" s="27"/>
      <c r="ORR11" s="27"/>
      <c r="ORS11" s="27"/>
      <c r="ORT11" s="27"/>
      <c r="ORZ11" s="27"/>
      <c r="OSA11" s="27"/>
      <c r="OSB11" s="27"/>
      <c r="OSH11" s="27"/>
      <c r="OSI11" s="27"/>
      <c r="OSJ11" s="27"/>
      <c r="OSP11" s="27"/>
      <c r="OSQ11" s="27"/>
      <c r="OSR11" s="27"/>
      <c r="OSX11" s="27"/>
      <c r="OSY11" s="27"/>
      <c r="OSZ11" s="27"/>
      <c r="OTF11" s="27"/>
      <c r="OTG11" s="27"/>
      <c r="OTH11" s="27"/>
      <c r="OTN11" s="27"/>
      <c r="OTO11" s="27"/>
      <c r="OTP11" s="27"/>
      <c r="OTV11" s="27"/>
      <c r="OTW11" s="27"/>
      <c r="OTX11" s="27"/>
      <c r="OUD11" s="27"/>
      <c r="OUE11" s="27"/>
      <c r="OUF11" s="27"/>
      <c r="OUL11" s="27"/>
      <c r="OUM11" s="27"/>
      <c r="OUN11" s="27"/>
      <c r="OUT11" s="27"/>
      <c r="OUU11" s="27"/>
      <c r="OUV11" s="27"/>
      <c r="OVB11" s="27"/>
      <c r="OVC11" s="27"/>
      <c r="OVD11" s="27"/>
      <c r="OVJ11" s="27"/>
      <c r="OVK11" s="27"/>
      <c r="OVL11" s="27"/>
      <c r="OVR11" s="27"/>
      <c r="OVS11" s="27"/>
      <c r="OVT11" s="27"/>
      <c r="OVZ11" s="27"/>
      <c r="OWA11" s="27"/>
      <c r="OWB11" s="27"/>
      <c r="OWH11" s="27"/>
      <c r="OWI11" s="27"/>
      <c r="OWJ11" s="27"/>
      <c r="OWP11" s="27"/>
      <c r="OWQ11" s="27"/>
      <c r="OWR11" s="27"/>
      <c r="OWX11" s="27"/>
      <c r="OWY11" s="27"/>
      <c r="OWZ11" s="27"/>
      <c r="OXF11" s="27"/>
      <c r="OXG11" s="27"/>
      <c r="OXH11" s="27"/>
      <c r="OXN11" s="27"/>
      <c r="OXO11" s="27"/>
      <c r="OXP11" s="27"/>
      <c r="OXV11" s="27"/>
      <c r="OXW11" s="27"/>
      <c r="OXX11" s="27"/>
      <c r="OYD11" s="27"/>
      <c r="OYE11" s="27"/>
      <c r="OYF11" s="27"/>
      <c r="OYL11" s="27"/>
      <c r="OYM11" s="27"/>
      <c r="OYN11" s="27"/>
      <c r="OYT11" s="27"/>
      <c r="OYU11" s="27"/>
      <c r="OYV11" s="27"/>
      <c r="OZB11" s="27"/>
      <c r="OZC11" s="27"/>
      <c r="OZD11" s="27"/>
      <c r="OZJ11" s="27"/>
      <c r="OZK11" s="27"/>
      <c r="OZL11" s="27"/>
      <c r="OZR11" s="27"/>
      <c r="OZS11" s="27"/>
      <c r="OZT11" s="27"/>
      <c r="OZZ11" s="27"/>
      <c r="PAA11" s="27"/>
      <c r="PAB11" s="27"/>
      <c r="PAH11" s="27"/>
      <c r="PAI11" s="27"/>
      <c r="PAJ11" s="27"/>
      <c r="PAP11" s="27"/>
      <c r="PAQ11" s="27"/>
      <c r="PAR11" s="27"/>
      <c r="PAX11" s="27"/>
      <c r="PAY11" s="27"/>
      <c r="PAZ11" s="27"/>
      <c r="PBF11" s="27"/>
      <c r="PBG11" s="27"/>
      <c r="PBH11" s="27"/>
      <c r="PBN11" s="27"/>
      <c r="PBO11" s="27"/>
      <c r="PBP11" s="27"/>
      <c r="PBV11" s="27"/>
      <c r="PBW11" s="27"/>
      <c r="PBX11" s="27"/>
      <c r="PCD11" s="27"/>
      <c r="PCE11" s="27"/>
      <c r="PCF11" s="27"/>
      <c r="PCL11" s="27"/>
      <c r="PCM11" s="27"/>
      <c r="PCN11" s="27"/>
      <c r="PCT11" s="27"/>
      <c r="PCU11" s="27"/>
      <c r="PCV11" s="27"/>
      <c r="PDB11" s="27"/>
      <c r="PDC11" s="27"/>
      <c r="PDD11" s="27"/>
      <c r="PDJ11" s="27"/>
      <c r="PDK11" s="27"/>
      <c r="PDL11" s="27"/>
      <c r="PDR11" s="27"/>
      <c r="PDS11" s="27"/>
      <c r="PDT11" s="27"/>
      <c r="PDZ11" s="27"/>
      <c r="PEA11" s="27"/>
      <c r="PEB11" s="27"/>
      <c r="PEH11" s="27"/>
      <c r="PEI11" s="27"/>
      <c r="PEJ11" s="27"/>
      <c r="PEP11" s="27"/>
      <c r="PEQ11" s="27"/>
      <c r="PER11" s="27"/>
      <c r="PEX11" s="27"/>
      <c r="PEY11" s="27"/>
      <c r="PEZ11" s="27"/>
      <c r="PFF11" s="27"/>
      <c r="PFG11" s="27"/>
      <c r="PFH11" s="27"/>
      <c r="PFN11" s="27"/>
      <c r="PFO11" s="27"/>
      <c r="PFP11" s="27"/>
      <c r="PFV11" s="27"/>
      <c r="PFW11" s="27"/>
      <c r="PFX11" s="27"/>
      <c r="PGD11" s="27"/>
      <c r="PGE11" s="27"/>
      <c r="PGF11" s="27"/>
      <c r="PGL11" s="27"/>
      <c r="PGM11" s="27"/>
      <c r="PGN11" s="27"/>
      <c r="PGT11" s="27"/>
      <c r="PGU11" s="27"/>
      <c r="PGV11" s="27"/>
      <c r="PHB11" s="27"/>
      <c r="PHC11" s="27"/>
      <c r="PHD11" s="27"/>
      <c r="PHJ11" s="27"/>
      <c r="PHK11" s="27"/>
      <c r="PHL11" s="27"/>
      <c r="PHR11" s="27"/>
      <c r="PHS11" s="27"/>
      <c r="PHT11" s="27"/>
      <c r="PHZ11" s="27"/>
      <c r="PIA11" s="27"/>
      <c r="PIB11" s="27"/>
      <c r="PIH11" s="27"/>
      <c r="PII11" s="27"/>
      <c r="PIJ11" s="27"/>
      <c r="PIP11" s="27"/>
      <c r="PIQ11" s="27"/>
      <c r="PIR11" s="27"/>
      <c r="PIX11" s="27"/>
      <c r="PIY11" s="27"/>
      <c r="PIZ11" s="27"/>
      <c r="PJF11" s="27"/>
      <c r="PJG11" s="27"/>
      <c r="PJH11" s="27"/>
      <c r="PJN11" s="27"/>
      <c r="PJO11" s="27"/>
      <c r="PJP11" s="27"/>
      <c r="PJV11" s="27"/>
      <c r="PJW11" s="27"/>
      <c r="PJX11" s="27"/>
      <c r="PKD11" s="27"/>
      <c r="PKE11" s="27"/>
      <c r="PKF11" s="27"/>
      <c r="PKL11" s="27"/>
      <c r="PKM11" s="27"/>
      <c r="PKN11" s="27"/>
      <c r="PKT11" s="27"/>
      <c r="PKU11" s="27"/>
      <c r="PKV11" s="27"/>
      <c r="PLB11" s="27"/>
      <c r="PLC11" s="27"/>
      <c r="PLD11" s="27"/>
      <c r="PLJ11" s="27"/>
      <c r="PLK11" s="27"/>
      <c r="PLL11" s="27"/>
      <c r="PLR11" s="27"/>
      <c r="PLS11" s="27"/>
      <c r="PLT11" s="27"/>
      <c r="PLZ11" s="27"/>
      <c r="PMA11" s="27"/>
      <c r="PMB11" s="27"/>
      <c r="PMH11" s="27"/>
      <c r="PMI11" s="27"/>
      <c r="PMJ11" s="27"/>
      <c r="PMP11" s="27"/>
      <c r="PMQ11" s="27"/>
      <c r="PMR11" s="27"/>
      <c r="PMX11" s="27"/>
      <c r="PMY11" s="27"/>
      <c r="PMZ11" s="27"/>
      <c r="PNF11" s="27"/>
      <c r="PNG11" s="27"/>
      <c r="PNH11" s="27"/>
      <c r="PNN11" s="27"/>
      <c r="PNO11" s="27"/>
      <c r="PNP11" s="27"/>
      <c r="PNV11" s="27"/>
      <c r="PNW11" s="27"/>
      <c r="PNX11" s="27"/>
      <c r="POD11" s="27"/>
      <c r="POE11" s="27"/>
      <c r="POF11" s="27"/>
      <c r="POL11" s="27"/>
      <c r="POM11" s="27"/>
      <c r="PON11" s="27"/>
      <c r="POT11" s="27"/>
      <c r="POU11" s="27"/>
      <c r="POV11" s="27"/>
      <c r="PPB11" s="27"/>
      <c r="PPC11" s="27"/>
      <c r="PPD11" s="27"/>
      <c r="PPJ11" s="27"/>
      <c r="PPK11" s="27"/>
      <c r="PPL11" s="27"/>
      <c r="PPR11" s="27"/>
      <c r="PPS11" s="27"/>
      <c r="PPT11" s="27"/>
      <c r="PPZ11" s="27"/>
      <c r="PQA11" s="27"/>
      <c r="PQB11" s="27"/>
      <c r="PQH11" s="27"/>
      <c r="PQI11" s="27"/>
      <c r="PQJ11" s="27"/>
      <c r="PQP11" s="27"/>
      <c r="PQQ11" s="27"/>
      <c r="PQR11" s="27"/>
      <c r="PQX11" s="27"/>
      <c r="PQY11" s="27"/>
      <c r="PQZ11" s="27"/>
      <c r="PRF11" s="27"/>
      <c r="PRG11" s="27"/>
      <c r="PRH11" s="27"/>
      <c r="PRN11" s="27"/>
      <c r="PRO11" s="27"/>
      <c r="PRP11" s="27"/>
      <c r="PRV11" s="27"/>
      <c r="PRW11" s="27"/>
      <c r="PRX11" s="27"/>
      <c r="PSD11" s="27"/>
      <c r="PSE11" s="27"/>
      <c r="PSF11" s="27"/>
      <c r="PSL11" s="27"/>
      <c r="PSM11" s="27"/>
      <c r="PSN11" s="27"/>
      <c r="PST11" s="27"/>
      <c r="PSU11" s="27"/>
      <c r="PSV11" s="27"/>
      <c r="PTB11" s="27"/>
      <c r="PTC11" s="27"/>
      <c r="PTD11" s="27"/>
      <c r="PTJ11" s="27"/>
      <c r="PTK11" s="27"/>
      <c r="PTL11" s="27"/>
      <c r="PTR11" s="27"/>
      <c r="PTS11" s="27"/>
      <c r="PTT11" s="27"/>
      <c r="PTZ11" s="27"/>
      <c r="PUA11" s="27"/>
      <c r="PUB11" s="27"/>
      <c r="PUH11" s="27"/>
      <c r="PUI11" s="27"/>
      <c r="PUJ11" s="27"/>
      <c r="PUP11" s="27"/>
      <c r="PUQ11" s="27"/>
      <c r="PUR11" s="27"/>
      <c r="PUX11" s="27"/>
      <c r="PUY11" s="27"/>
      <c r="PUZ11" s="27"/>
      <c r="PVF11" s="27"/>
      <c r="PVG11" s="27"/>
      <c r="PVH11" s="27"/>
      <c r="PVN11" s="27"/>
      <c r="PVO11" s="27"/>
      <c r="PVP11" s="27"/>
      <c r="PVV11" s="27"/>
      <c r="PVW11" s="27"/>
      <c r="PVX11" s="27"/>
      <c r="PWD11" s="27"/>
      <c r="PWE11" s="27"/>
      <c r="PWF11" s="27"/>
      <c r="PWL11" s="27"/>
      <c r="PWM11" s="27"/>
      <c r="PWN11" s="27"/>
      <c r="PWT11" s="27"/>
      <c r="PWU11" s="27"/>
      <c r="PWV11" s="27"/>
      <c r="PXB11" s="27"/>
      <c r="PXC11" s="27"/>
      <c r="PXD11" s="27"/>
      <c r="PXJ11" s="27"/>
      <c r="PXK11" s="27"/>
      <c r="PXL11" s="27"/>
      <c r="PXR11" s="27"/>
      <c r="PXS11" s="27"/>
      <c r="PXT11" s="27"/>
      <c r="PXZ11" s="27"/>
      <c r="PYA11" s="27"/>
      <c r="PYB11" s="27"/>
      <c r="PYH11" s="27"/>
      <c r="PYI11" s="27"/>
      <c r="PYJ11" s="27"/>
      <c r="PYP11" s="27"/>
      <c r="PYQ11" s="27"/>
      <c r="PYR11" s="27"/>
      <c r="PYX11" s="27"/>
      <c r="PYY11" s="27"/>
      <c r="PYZ11" s="27"/>
      <c r="PZF11" s="27"/>
      <c r="PZG11" s="27"/>
      <c r="PZH11" s="27"/>
      <c r="PZN11" s="27"/>
      <c r="PZO11" s="27"/>
      <c r="PZP11" s="27"/>
      <c r="PZV11" s="27"/>
      <c r="PZW11" s="27"/>
      <c r="PZX11" s="27"/>
      <c r="QAD11" s="27"/>
      <c r="QAE11" s="27"/>
      <c r="QAF11" s="27"/>
      <c r="QAL11" s="27"/>
      <c r="QAM11" s="27"/>
      <c r="QAN11" s="27"/>
      <c r="QAT11" s="27"/>
      <c r="QAU11" s="27"/>
      <c r="QAV11" s="27"/>
      <c r="QBB11" s="27"/>
      <c r="QBC11" s="27"/>
      <c r="QBD11" s="27"/>
      <c r="QBJ11" s="27"/>
      <c r="QBK11" s="27"/>
      <c r="QBL11" s="27"/>
      <c r="QBR11" s="27"/>
      <c r="QBS11" s="27"/>
      <c r="QBT11" s="27"/>
      <c r="QBZ11" s="27"/>
      <c r="QCA11" s="27"/>
      <c r="QCB11" s="27"/>
      <c r="QCH11" s="27"/>
      <c r="QCI11" s="27"/>
      <c r="QCJ11" s="27"/>
      <c r="QCP11" s="27"/>
      <c r="QCQ11" s="27"/>
      <c r="QCR11" s="27"/>
      <c r="QCX11" s="27"/>
      <c r="QCY11" s="27"/>
      <c r="QCZ11" s="27"/>
      <c r="QDF11" s="27"/>
      <c r="QDG11" s="27"/>
      <c r="QDH11" s="27"/>
      <c r="QDN11" s="27"/>
      <c r="QDO11" s="27"/>
      <c r="QDP11" s="27"/>
      <c r="QDV11" s="27"/>
      <c r="QDW11" s="27"/>
      <c r="QDX11" s="27"/>
      <c r="QED11" s="27"/>
      <c r="QEE11" s="27"/>
      <c r="QEF11" s="27"/>
      <c r="QEL11" s="27"/>
      <c r="QEM11" s="27"/>
      <c r="QEN11" s="27"/>
      <c r="QET11" s="27"/>
      <c r="QEU11" s="27"/>
      <c r="QEV11" s="27"/>
      <c r="QFB11" s="27"/>
      <c r="QFC11" s="27"/>
      <c r="QFD11" s="27"/>
      <c r="QFJ11" s="27"/>
      <c r="QFK11" s="27"/>
      <c r="QFL11" s="27"/>
      <c r="QFR11" s="27"/>
      <c r="QFS11" s="27"/>
      <c r="QFT11" s="27"/>
      <c r="QFZ11" s="27"/>
      <c r="QGA11" s="27"/>
      <c r="QGB11" s="27"/>
      <c r="QGH11" s="27"/>
      <c r="QGI11" s="27"/>
      <c r="QGJ11" s="27"/>
      <c r="QGP11" s="27"/>
      <c r="QGQ11" s="27"/>
      <c r="QGR11" s="27"/>
      <c r="QGX11" s="27"/>
      <c r="QGY11" s="27"/>
      <c r="QGZ11" s="27"/>
      <c r="QHF11" s="27"/>
      <c r="QHG11" s="27"/>
      <c r="QHH11" s="27"/>
      <c r="QHN11" s="27"/>
      <c r="QHO11" s="27"/>
      <c r="QHP11" s="27"/>
      <c r="QHV11" s="27"/>
      <c r="QHW11" s="27"/>
      <c r="QHX11" s="27"/>
      <c r="QID11" s="27"/>
      <c r="QIE11" s="27"/>
      <c r="QIF11" s="27"/>
      <c r="QIL11" s="27"/>
      <c r="QIM11" s="27"/>
      <c r="QIN11" s="27"/>
      <c r="QIT11" s="27"/>
      <c r="QIU11" s="27"/>
      <c r="QIV11" s="27"/>
      <c r="QJB11" s="27"/>
      <c r="QJC11" s="27"/>
      <c r="QJD11" s="27"/>
      <c r="QJJ11" s="27"/>
      <c r="QJK11" s="27"/>
      <c r="QJL11" s="27"/>
      <c r="QJR11" s="27"/>
      <c r="QJS11" s="27"/>
      <c r="QJT11" s="27"/>
      <c r="QJZ11" s="27"/>
      <c r="QKA11" s="27"/>
      <c r="QKB11" s="27"/>
      <c r="QKH11" s="27"/>
      <c r="QKI11" s="27"/>
      <c r="QKJ11" s="27"/>
      <c r="QKP11" s="27"/>
      <c r="QKQ11" s="27"/>
      <c r="QKR11" s="27"/>
      <c r="QKX11" s="27"/>
      <c r="QKY11" s="27"/>
      <c r="QKZ11" s="27"/>
      <c r="QLF11" s="27"/>
      <c r="QLG11" s="27"/>
      <c r="QLH11" s="27"/>
      <c r="QLN11" s="27"/>
      <c r="QLO11" s="27"/>
      <c r="QLP11" s="27"/>
      <c r="QLV11" s="27"/>
      <c r="QLW11" s="27"/>
      <c r="QLX11" s="27"/>
      <c r="QMD11" s="27"/>
      <c r="QME11" s="27"/>
      <c r="QMF11" s="27"/>
      <c r="QML11" s="27"/>
      <c r="QMM11" s="27"/>
      <c r="QMN11" s="27"/>
      <c r="QMT11" s="27"/>
      <c r="QMU11" s="27"/>
      <c r="QMV11" s="27"/>
      <c r="QNB11" s="27"/>
      <c r="QNC11" s="27"/>
      <c r="QND11" s="27"/>
      <c r="QNJ11" s="27"/>
      <c r="QNK11" s="27"/>
      <c r="QNL11" s="27"/>
      <c r="QNR11" s="27"/>
      <c r="QNS11" s="27"/>
      <c r="QNT11" s="27"/>
      <c r="QNZ11" s="27"/>
      <c r="QOA11" s="27"/>
      <c r="QOB11" s="27"/>
      <c r="QOH11" s="27"/>
      <c r="QOI11" s="27"/>
      <c r="QOJ11" s="27"/>
      <c r="QOP11" s="27"/>
      <c r="QOQ11" s="27"/>
      <c r="QOR11" s="27"/>
      <c r="QOX11" s="27"/>
      <c r="QOY11" s="27"/>
      <c r="QOZ11" s="27"/>
      <c r="QPF11" s="27"/>
      <c r="QPG11" s="27"/>
      <c r="QPH11" s="27"/>
      <c r="QPN11" s="27"/>
      <c r="QPO11" s="27"/>
      <c r="QPP11" s="27"/>
      <c r="QPV11" s="27"/>
      <c r="QPW11" s="27"/>
      <c r="QPX11" s="27"/>
      <c r="QQD11" s="27"/>
      <c r="QQE11" s="27"/>
      <c r="QQF11" s="27"/>
      <c r="QQL11" s="27"/>
      <c r="QQM11" s="27"/>
      <c r="QQN11" s="27"/>
      <c r="QQT11" s="27"/>
      <c r="QQU11" s="27"/>
      <c r="QQV11" s="27"/>
      <c r="QRB11" s="27"/>
      <c r="QRC11" s="27"/>
      <c r="QRD11" s="27"/>
      <c r="QRJ11" s="27"/>
      <c r="QRK11" s="27"/>
      <c r="QRL11" s="27"/>
      <c r="QRR11" s="27"/>
      <c r="QRS11" s="27"/>
      <c r="QRT11" s="27"/>
      <c r="QRZ11" s="27"/>
      <c r="QSA11" s="27"/>
      <c r="QSB11" s="27"/>
      <c r="QSH11" s="27"/>
      <c r="QSI11" s="27"/>
      <c r="QSJ11" s="27"/>
      <c r="QSP11" s="27"/>
      <c r="QSQ11" s="27"/>
      <c r="QSR11" s="27"/>
      <c r="QSX11" s="27"/>
      <c r="QSY11" s="27"/>
      <c r="QSZ11" s="27"/>
      <c r="QTF11" s="27"/>
      <c r="QTG11" s="27"/>
      <c r="QTH11" s="27"/>
      <c r="QTN11" s="27"/>
      <c r="QTO11" s="27"/>
      <c r="QTP11" s="27"/>
      <c r="QTV11" s="27"/>
      <c r="QTW11" s="27"/>
      <c r="QTX11" s="27"/>
      <c r="QUD11" s="27"/>
      <c r="QUE11" s="27"/>
      <c r="QUF11" s="27"/>
      <c r="QUL11" s="27"/>
      <c r="QUM11" s="27"/>
      <c r="QUN11" s="27"/>
      <c r="QUT11" s="27"/>
      <c r="QUU11" s="27"/>
      <c r="QUV11" s="27"/>
      <c r="QVB11" s="27"/>
      <c r="QVC11" s="27"/>
      <c r="QVD11" s="27"/>
      <c r="QVJ11" s="27"/>
      <c r="QVK11" s="27"/>
      <c r="QVL11" s="27"/>
      <c r="QVR11" s="27"/>
      <c r="QVS11" s="27"/>
      <c r="QVT11" s="27"/>
      <c r="QVZ11" s="27"/>
      <c r="QWA11" s="27"/>
      <c r="QWB11" s="27"/>
      <c r="QWH11" s="27"/>
      <c r="QWI11" s="27"/>
      <c r="QWJ11" s="27"/>
      <c r="QWP11" s="27"/>
      <c r="QWQ11" s="27"/>
      <c r="QWR11" s="27"/>
      <c r="QWX11" s="27"/>
      <c r="QWY11" s="27"/>
      <c r="QWZ11" s="27"/>
      <c r="QXF11" s="27"/>
      <c r="QXG11" s="27"/>
      <c r="QXH11" s="27"/>
      <c r="QXN11" s="27"/>
      <c r="QXO11" s="27"/>
      <c r="QXP11" s="27"/>
      <c r="QXV11" s="27"/>
      <c r="QXW11" s="27"/>
      <c r="QXX11" s="27"/>
      <c r="QYD11" s="27"/>
      <c r="QYE11" s="27"/>
      <c r="QYF11" s="27"/>
      <c r="QYL11" s="27"/>
      <c r="QYM11" s="27"/>
      <c r="QYN11" s="27"/>
      <c r="QYT11" s="27"/>
      <c r="QYU11" s="27"/>
      <c r="QYV11" s="27"/>
      <c r="QZB11" s="27"/>
      <c r="QZC11" s="27"/>
      <c r="QZD11" s="27"/>
      <c r="QZJ11" s="27"/>
      <c r="QZK11" s="27"/>
      <c r="QZL11" s="27"/>
      <c r="QZR11" s="27"/>
      <c r="QZS11" s="27"/>
      <c r="QZT11" s="27"/>
      <c r="QZZ11" s="27"/>
      <c r="RAA11" s="27"/>
      <c r="RAB11" s="27"/>
      <c r="RAH11" s="27"/>
      <c r="RAI11" s="27"/>
      <c r="RAJ11" s="27"/>
      <c r="RAP11" s="27"/>
      <c r="RAQ11" s="27"/>
      <c r="RAR11" s="27"/>
      <c r="RAX11" s="27"/>
      <c r="RAY11" s="27"/>
      <c r="RAZ11" s="27"/>
      <c r="RBF11" s="27"/>
      <c r="RBG11" s="27"/>
      <c r="RBH11" s="27"/>
      <c r="RBN11" s="27"/>
      <c r="RBO11" s="27"/>
      <c r="RBP11" s="27"/>
      <c r="RBV11" s="27"/>
      <c r="RBW11" s="27"/>
      <c r="RBX11" s="27"/>
      <c r="RCD11" s="27"/>
      <c r="RCE11" s="27"/>
      <c r="RCF11" s="27"/>
      <c r="RCL11" s="27"/>
      <c r="RCM11" s="27"/>
      <c r="RCN11" s="27"/>
      <c r="RCT11" s="27"/>
      <c r="RCU11" s="27"/>
      <c r="RCV11" s="27"/>
      <c r="RDB11" s="27"/>
      <c r="RDC11" s="27"/>
      <c r="RDD11" s="27"/>
      <c r="RDJ11" s="27"/>
      <c r="RDK11" s="27"/>
      <c r="RDL11" s="27"/>
      <c r="RDR11" s="27"/>
      <c r="RDS11" s="27"/>
      <c r="RDT11" s="27"/>
      <c r="RDZ11" s="27"/>
      <c r="REA11" s="27"/>
      <c r="REB11" s="27"/>
      <c r="REH11" s="27"/>
      <c r="REI11" s="27"/>
      <c r="REJ11" s="27"/>
      <c r="REP11" s="27"/>
      <c r="REQ11" s="27"/>
      <c r="RER11" s="27"/>
      <c r="REX11" s="27"/>
      <c r="REY11" s="27"/>
      <c r="REZ11" s="27"/>
      <c r="RFF11" s="27"/>
      <c r="RFG11" s="27"/>
      <c r="RFH11" s="27"/>
      <c r="RFN11" s="27"/>
      <c r="RFO11" s="27"/>
      <c r="RFP11" s="27"/>
      <c r="RFV11" s="27"/>
      <c r="RFW11" s="27"/>
      <c r="RFX11" s="27"/>
      <c r="RGD11" s="27"/>
      <c r="RGE11" s="27"/>
      <c r="RGF11" s="27"/>
      <c r="RGL11" s="27"/>
      <c r="RGM11" s="27"/>
      <c r="RGN11" s="27"/>
      <c r="RGT11" s="27"/>
      <c r="RGU11" s="27"/>
      <c r="RGV11" s="27"/>
      <c r="RHB11" s="27"/>
      <c r="RHC11" s="27"/>
      <c r="RHD11" s="27"/>
      <c r="RHJ11" s="27"/>
      <c r="RHK11" s="27"/>
      <c r="RHL11" s="27"/>
      <c r="RHR11" s="27"/>
      <c r="RHS11" s="27"/>
      <c r="RHT11" s="27"/>
      <c r="RHZ11" s="27"/>
      <c r="RIA11" s="27"/>
      <c r="RIB11" s="27"/>
      <c r="RIH11" s="27"/>
      <c r="RII11" s="27"/>
      <c r="RIJ11" s="27"/>
      <c r="RIP11" s="27"/>
      <c r="RIQ11" s="27"/>
      <c r="RIR11" s="27"/>
      <c r="RIX11" s="27"/>
      <c r="RIY11" s="27"/>
      <c r="RIZ11" s="27"/>
      <c r="RJF11" s="27"/>
      <c r="RJG11" s="27"/>
      <c r="RJH11" s="27"/>
      <c r="RJN11" s="27"/>
      <c r="RJO11" s="27"/>
      <c r="RJP11" s="27"/>
      <c r="RJV11" s="27"/>
      <c r="RJW11" s="27"/>
      <c r="RJX11" s="27"/>
      <c r="RKD11" s="27"/>
      <c r="RKE11" s="27"/>
      <c r="RKF11" s="27"/>
      <c r="RKL11" s="27"/>
      <c r="RKM11" s="27"/>
      <c r="RKN11" s="27"/>
      <c r="RKT11" s="27"/>
      <c r="RKU11" s="27"/>
      <c r="RKV11" s="27"/>
      <c r="RLB11" s="27"/>
      <c r="RLC11" s="27"/>
      <c r="RLD11" s="27"/>
      <c r="RLJ11" s="27"/>
      <c r="RLK11" s="27"/>
      <c r="RLL11" s="27"/>
      <c r="RLR11" s="27"/>
      <c r="RLS11" s="27"/>
      <c r="RLT11" s="27"/>
      <c r="RLZ11" s="27"/>
      <c r="RMA11" s="27"/>
      <c r="RMB11" s="27"/>
      <c r="RMH11" s="27"/>
      <c r="RMI11" s="27"/>
      <c r="RMJ11" s="27"/>
      <c r="RMP11" s="27"/>
      <c r="RMQ11" s="27"/>
      <c r="RMR11" s="27"/>
      <c r="RMX11" s="27"/>
      <c r="RMY11" s="27"/>
      <c r="RMZ11" s="27"/>
      <c r="RNF11" s="27"/>
      <c r="RNG11" s="27"/>
      <c r="RNH11" s="27"/>
      <c r="RNN11" s="27"/>
      <c r="RNO11" s="27"/>
      <c r="RNP11" s="27"/>
      <c r="RNV11" s="27"/>
      <c r="RNW11" s="27"/>
      <c r="RNX11" s="27"/>
      <c r="ROD11" s="27"/>
      <c r="ROE11" s="27"/>
      <c r="ROF11" s="27"/>
      <c r="ROL11" s="27"/>
      <c r="ROM11" s="27"/>
      <c r="RON11" s="27"/>
      <c r="ROT11" s="27"/>
      <c r="ROU11" s="27"/>
      <c r="ROV11" s="27"/>
      <c r="RPB11" s="27"/>
      <c r="RPC11" s="27"/>
      <c r="RPD11" s="27"/>
      <c r="RPJ11" s="27"/>
      <c r="RPK11" s="27"/>
      <c r="RPL11" s="27"/>
      <c r="RPR11" s="27"/>
      <c r="RPS11" s="27"/>
      <c r="RPT11" s="27"/>
      <c r="RPZ11" s="27"/>
      <c r="RQA11" s="27"/>
      <c r="RQB11" s="27"/>
      <c r="RQH11" s="27"/>
      <c r="RQI11" s="27"/>
      <c r="RQJ11" s="27"/>
      <c r="RQP11" s="27"/>
      <c r="RQQ11" s="27"/>
      <c r="RQR11" s="27"/>
      <c r="RQX11" s="27"/>
      <c r="RQY11" s="27"/>
      <c r="RQZ11" s="27"/>
      <c r="RRF11" s="27"/>
      <c r="RRG11" s="27"/>
      <c r="RRH11" s="27"/>
      <c r="RRN11" s="27"/>
      <c r="RRO11" s="27"/>
      <c r="RRP11" s="27"/>
      <c r="RRV11" s="27"/>
      <c r="RRW11" s="27"/>
      <c r="RRX11" s="27"/>
      <c r="RSD11" s="27"/>
      <c r="RSE11" s="27"/>
      <c r="RSF11" s="27"/>
      <c r="RSL11" s="27"/>
      <c r="RSM11" s="27"/>
      <c r="RSN11" s="27"/>
      <c r="RST11" s="27"/>
      <c r="RSU11" s="27"/>
      <c r="RSV11" s="27"/>
      <c r="RTB11" s="27"/>
      <c r="RTC11" s="27"/>
      <c r="RTD11" s="27"/>
      <c r="RTJ11" s="27"/>
      <c r="RTK11" s="27"/>
      <c r="RTL11" s="27"/>
      <c r="RTR11" s="27"/>
      <c r="RTS11" s="27"/>
      <c r="RTT11" s="27"/>
      <c r="RTZ11" s="27"/>
      <c r="RUA11" s="27"/>
      <c r="RUB11" s="27"/>
      <c r="RUH11" s="27"/>
      <c r="RUI11" s="27"/>
      <c r="RUJ11" s="27"/>
      <c r="RUP11" s="27"/>
      <c r="RUQ11" s="27"/>
      <c r="RUR11" s="27"/>
      <c r="RUX11" s="27"/>
      <c r="RUY11" s="27"/>
      <c r="RUZ11" s="27"/>
      <c r="RVF11" s="27"/>
      <c r="RVG11" s="27"/>
      <c r="RVH11" s="27"/>
      <c r="RVN11" s="27"/>
      <c r="RVO11" s="27"/>
      <c r="RVP11" s="27"/>
      <c r="RVV11" s="27"/>
      <c r="RVW11" s="27"/>
      <c r="RVX11" s="27"/>
      <c r="RWD11" s="27"/>
      <c r="RWE11" s="27"/>
      <c r="RWF11" s="27"/>
      <c r="RWL11" s="27"/>
      <c r="RWM11" s="27"/>
      <c r="RWN11" s="27"/>
      <c r="RWT11" s="27"/>
      <c r="RWU11" s="27"/>
      <c r="RWV11" s="27"/>
      <c r="RXB11" s="27"/>
      <c r="RXC11" s="27"/>
      <c r="RXD11" s="27"/>
      <c r="RXJ11" s="27"/>
      <c r="RXK11" s="27"/>
      <c r="RXL11" s="27"/>
      <c r="RXR11" s="27"/>
      <c r="RXS11" s="27"/>
      <c r="RXT11" s="27"/>
      <c r="RXZ11" s="27"/>
      <c r="RYA11" s="27"/>
      <c r="RYB11" s="27"/>
      <c r="RYH11" s="27"/>
      <c r="RYI11" s="27"/>
      <c r="RYJ11" s="27"/>
      <c r="RYP11" s="27"/>
      <c r="RYQ11" s="27"/>
      <c r="RYR11" s="27"/>
      <c r="RYX11" s="27"/>
      <c r="RYY11" s="27"/>
      <c r="RYZ11" s="27"/>
      <c r="RZF11" s="27"/>
      <c r="RZG11" s="27"/>
      <c r="RZH11" s="27"/>
      <c r="RZN11" s="27"/>
      <c r="RZO11" s="27"/>
      <c r="RZP11" s="27"/>
      <c r="RZV11" s="27"/>
      <c r="RZW11" s="27"/>
      <c r="RZX11" s="27"/>
      <c r="SAD11" s="27"/>
      <c r="SAE11" s="27"/>
      <c r="SAF11" s="27"/>
      <c r="SAL11" s="27"/>
      <c r="SAM11" s="27"/>
      <c r="SAN11" s="27"/>
      <c r="SAT11" s="27"/>
      <c r="SAU11" s="27"/>
      <c r="SAV11" s="27"/>
      <c r="SBB11" s="27"/>
      <c r="SBC11" s="27"/>
      <c r="SBD11" s="27"/>
      <c r="SBJ11" s="27"/>
      <c r="SBK11" s="27"/>
      <c r="SBL11" s="27"/>
      <c r="SBR11" s="27"/>
      <c r="SBS11" s="27"/>
      <c r="SBT11" s="27"/>
      <c r="SBZ11" s="27"/>
      <c r="SCA11" s="27"/>
      <c r="SCB11" s="27"/>
      <c r="SCH11" s="27"/>
      <c r="SCI11" s="27"/>
      <c r="SCJ11" s="27"/>
      <c r="SCP11" s="27"/>
      <c r="SCQ11" s="27"/>
      <c r="SCR11" s="27"/>
      <c r="SCX11" s="27"/>
      <c r="SCY11" s="27"/>
      <c r="SCZ11" s="27"/>
      <c r="SDF11" s="27"/>
      <c r="SDG11" s="27"/>
      <c r="SDH11" s="27"/>
      <c r="SDN11" s="27"/>
      <c r="SDO11" s="27"/>
      <c r="SDP11" s="27"/>
      <c r="SDV11" s="27"/>
      <c r="SDW11" s="27"/>
      <c r="SDX11" s="27"/>
      <c r="SED11" s="27"/>
      <c r="SEE11" s="27"/>
      <c r="SEF11" s="27"/>
      <c r="SEL11" s="27"/>
      <c r="SEM11" s="27"/>
      <c r="SEN11" s="27"/>
      <c r="SET11" s="27"/>
      <c r="SEU11" s="27"/>
      <c r="SEV11" s="27"/>
      <c r="SFB11" s="27"/>
      <c r="SFC11" s="27"/>
      <c r="SFD11" s="27"/>
      <c r="SFJ11" s="27"/>
      <c r="SFK11" s="27"/>
      <c r="SFL11" s="27"/>
      <c r="SFR11" s="27"/>
      <c r="SFS11" s="27"/>
      <c r="SFT11" s="27"/>
      <c r="SFZ11" s="27"/>
      <c r="SGA11" s="27"/>
      <c r="SGB11" s="27"/>
      <c r="SGH11" s="27"/>
      <c r="SGI11" s="27"/>
      <c r="SGJ11" s="27"/>
      <c r="SGP11" s="27"/>
      <c r="SGQ11" s="27"/>
      <c r="SGR11" s="27"/>
      <c r="SGX11" s="27"/>
      <c r="SGY11" s="27"/>
      <c r="SGZ11" s="27"/>
      <c r="SHF11" s="27"/>
      <c r="SHG11" s="27"/>
      <c r="SHH11" s="27"/>
      <c r="SHN11" s="27"/>
      <c r="SHO11" s="27"/>
      <c r="SHP11" s="27"/>
      <c r="SHV11" s="27"/>
      <c r="SHW11" s="27"/>
      <c r="SHX11" s="27"/>
      <c r="SID11" s="27"/>
      <c r="SIE11" s="27"/>
      <c r="SIF11" s="27"/>
      <c r="SIL11" s="27"/>
      <c r="SIM11" s="27"/>
      <c r="SIN11" s="27"/>
      <c r="SIT11" s="27"/>
      <c r="SIU11" s="27"/>
      <c r="SIV11" s="27"/>
      <c r="SJB11" s="27"/>
      <c r="SJC11" s="27"/>
      <c r="SJD11" s="27"/>
      <c r="SJJ11" s="27"/>
      <c r="SJK11" s="27"/>
      <c r="SJL11" s="27"/>
      <c r="SJR11" s="27"/>
      <c r="SJS11" s="27"/>
      <c r="SJT11" s="27"/>
      <c r="SJZ11" s="27"/>
      <c r="SKA11" s="27"/>
      <c r="SKB11" s="27"/>
      <c r="SKH11" s="27"/>
      <c r="SKI11" s="27"/>
      <c r="SKJ11" s="27"/>
      <c r="SKP11" s="27"/>
      <c r="SKQ11" s="27"/>
      <c r="SKR11" s="27"/>
      <c r="SKX11" s="27"/>
      <c r="SKY11" s="27"/>
      <c r="SKZ11" s="27"/>
      <c r="SLF11" s="27"/>
      <c r="SLG11" s="27"/>
      <c r="SLH11" s="27"/>
      <c r="SLN11" s="27"/>
      <c r="SLO11" s="27"/>
      <c r="SLP11" s="27"/>
      <c r="SLV11" s="27"/>
      <c r="SLW11" s="27"/>
      <c r="SLX11" s="27"/>
      <c r="SMD11" s="27"/>
      <c r="SME11" s="27"/>
      <c r="SMF11" s="27"/>
      <c r="SML11" s="27"/>
      <c r="SMM11" s="27"/>
      <c r="SMN11" s="27"/>
      <c r="SMT11" s="27"/>
      <c r="SMU11" s="27"/>
      <c r="SMV11" s="27"/>
      <c r="SNB11" s="27"/>
      <c r="SNC11" s="27"/>
      <c r="SND11" s="27"/>
      <c r="SNJ11" s="27"/>
      <c r="SNK11" s="27"/>
      <c r="SNL11" s="27"/>
      <c r="SNR11" s="27"/>
      <c r="SNS11" s="27"/>
      <c r="SNT11" s="27"/>
      <c r="SNZ11" s="27"/>
      <c r="SOA11" s="27"/>
      <c r="SOB11" s="27"/>
      <c r="SOH11" s="27"/>
      <c r="SOI11" s="27"/>
      <c r="SOJ11" s="27"/>
      <c r="SOP11" s="27"/>
      <c r="SOQ11" s="27"/>
      <c r="SOR11" s="27"/>
      <c r="SOX11" s="27"/>
      <c r="SOY11" s="27"/>
      <c r="SOZ11" s="27"/>
      <c r="SPF11" s="27"/>
      <c r="SPG11" s="27"/>
      <c r="SPH11" s="27"/>
      <c r="SPN11" s="27"/>
      <c r="SPO11" s="27"/>
      <c r="SPP11" s="27"/>
      <c r="SPV11" s="27"/>
      <c r="SPW11" s="27"/>
      <c r="SPX11" s="27"/>
      <c r="SQD11" s="27"/>
      <c r="SQE11" s="27"/>
      <c r="SQF11" s="27"/>
      <c r="SQL11" s="27"/>
      <c r="SQM11" s="27"/>
      <c r="SQN11" s="27"/>
      <c r="SQT11" s="27"/>
      <c r="SQU11" s="27"/>
      <c r="SQV11" s="27"/>
      <c r="SRB11" s="27"/>
      <c r="SRC11" s="27"/>
      <c r="SRD11" s="27"/>
      <c r="SRJ11" s="27"/>
      <c r="SRK11" s="27"/>
      <c r="SRL11" s="27"/>
      <c r="SRR11" s="27"/>
      <c r="SRS11" s="27"/>
      <c r="SRT11" s="27"/>
      <c r="SRZ11" s="27"/>
      <c r="SSA11" s="27"/>
      <c r="SSB11" s="27"/>
      <c r="SSH11" s="27"/>
      <c r="SSI11" s="27"/>
      <c r="SSJ11" s="27"/>
      <c r="SSP11" s="27"/>
      <c r="SSQ11" s="27"/>
      <c r="SSR11" s="27"/>
      <c r="SSX11" s="27"/>
      <c r="SSY11" s="27"/>
      <c r="SSZ11" s="27"/>
      <c r="STF11" s="27"/>
      <c r="STG11" s="27"/>
      <c r="STH11" s="27"/>
      <c r="STN11" s="27"/>
      <c r="STO11" s="27"/>
      <c r="STP11" s="27"/>
      <c r="STV11" s="27"/>
      <c r="STW11" s="27"/>
      <c r="STX11" s="27"/>
      <c r="SUD11" s="27"/>
      <c r="SUE11" s="27"/>
      <c r="SUF11" s="27"/>
      <c r="SUL11" s="27"/>
      <c r="SUM11" s="27"/>
      <c r="SUN11" s="27"/>
      <c r="SUT11" s="27"/>
      <c r="SUU11" s="27"/>
      <c r="SUV11" s="27"/>
      <c r="SVB11" s="27"/>
      <c r="SVC11" s="27"/>
      <c r="SVD11" s="27"/>
      <c r="SVJ11" s="27"/>
      <c r="SVK11" s="27"/>
      <c r="SVL11" s="27"/>
      <c r="SVR11" s="27"/>
      <c r="SVS11" s="27"/>
      <c r="SVT11" s="27"/>
      <c r="SVZ11" s="27"/>
      <c r="SWA11" s="27"/>
      <c r="SWB11" s="27"/>
      <c r="SWH11" s="27"/>
      <c r="SWI11" s="27"/>
      <c r="SWJ11" s="27"/>
      <c r="SWP11" s="27"/>
      <c r="SWQ11" s="27"/>
      <c r="SWR11" s="27"/>
      <c r="SWX11" s="27"/>
      <c r="SWY11" s="27"/>
      <c r="SWZ11" s="27"/>
      <c r="SXF11" s="27"/>
      <c r="SXG11" s="27"/>
      <c r="SXH11" s="27"/>
      <c r="SXN11" s="27"/>
      <c r="SXO11" s="27"/>
      <c r="SXP11" s="27"/>
      <c r="SXV11" s="27"/>
      <c r="SXW11" s="27"/>
      <c r="SXX11" s="27"/>
      <c r="SYD11" s="27"/>
      <c r="SYE11" s="27"/>
      <c r="SYF11" s="27"/>
      <c r="SYL11" s="27"/>
      <c r="SYM11" s="27"/>
      <c r="SYN11" s="27"/>
      <c r="SYT11" s="27"/>
      <c r="SYU11" s="27"/>
      <c r="SYV11" s="27"/>
      <c r="SZB11" s="27"/>
      <c r="SZC11" s="27"/>
      <c r="SZD11" s="27"/>
      <c r="SZJ11" s="27"/>
      <c r="SZK11" s="27"/>
      <c r="SZL11" s="27"/>
      <c r="SZR11" s="27"/>
      <c r="SZS11" s="27"/>
      <c r="SZT11" s="27"/>
      <c r="SZZ11" s="27"/>
      <c r="TAA11" s="27"/>
      <c r="TAB11" s="27"/>
      <c r="TAH11" s="27"/>
      <c r="TAI11" s="27"/>
      <c r="TAJ11" s="27"/>
      <c r="TAP11" s="27"/>
      <c r="TAQ11" s="27"/>
      <c r="TAR11" s="27"/>
      <c r="TAX11" s="27"/>
      <c r="TAY11" s="27"/>
      <c r="TAZ11" s="27"/>
      <c r="TBF11" s="27"/>
      <c r="TBG11" s="27"/>
      <c r="TBH11" s="27"/>
      <c r="TBN11" s="27"/>
      <c r="TBO11" s="27"/>
      <c r="TBP11" s="27"/>
      <c r="TBV11" s="27"/>
      <c r="TBW11" s="27"/>
      <c r="TBX11" s="27"/>
      <c r="TCD11" s="27"/>
      <c r="TCE11" s="27"/>
      <c r="TCF11" s="27"/>
      <c r="TCL11" s="27"/>
      <c r="TCM11" s="27"/>
      <c r="TCN11" s="27"/>
      <c r="TCT11" s="27"/>
      <c r="TCU11" s="27"/>
      <c r="TCV11" s="27"/>
      <c r="TDB11" s="27"/>
      <c r="TDC11" s="27"/>
      <c r="TDD11" s="27"/>
      <c r="TDJ11" s="27"/>
      <c r="TDK11" s="27"/>
      <c r="TDL11" s="27"/>
      <c r="TDR11" s="27"/>
      <c r="TDS11" s="27"/>
      <c r="TDT11" s="27"/>
      <c r="TDZ11" s="27"/>
      <c r="TEA11" s="27"/>
      <c r="TEB11" s="27"/>
      <c r="TEH11" s="27"/>
      <c r="TEI11" s="27"/>
      <c r="TEJ11" s="27"/>
      <c r="TEP11" s="27"/>
      <c r="TEQ11" s="27"/>
      <c r="TER11" s="27"/>
      <c r="TEX11" s="27"/>
      <c r="TEY11" s="27"/>
      <c r="TEZ11" s="27"/>
      <c r="TFF11" s="27"/>
      <c r="TFG11" s="27"/>
      <c r="TFH11" s="27"/>
      <c r="TFN11" s="27"/>
      <c r="TFO11" s="27"/>
      <c r="TFP11" s="27"/>
      <c r="TFV11" s="27"/>
      <c r="TFW11" s="27"/>
      <c r="TFX11" s="27"/>
      <c r="TGD11" s="27"/>
      <c r="TGE11" s="27"/>
      <c r="TGF11" s="27"/>
      <c r="TGL11" s="27"/>
      <c r="TGM11" s="27"/>
      <c r="TGN11" s="27"/>
      <c r="TGT11" s="27"/>
      <c r="TGU11" s="27"/>
      <c r="TGV11" s="27"/>
      <c r="THB11" s="27"/>
      <c r="THC11" s="27"/>
      <c r="THD11" s="27"/>
      <c r="THJ11" s="27"/>
      <c r="THK11" s="27"/>
      <c r="THL11" s="27"/>
      <c r="THR11" s="27"/>
      <c r="THS11" s="27"/>
      <c r="THT11" s="27"/>
      <c r="THZ11" s="27"/>
      <c r="TIA11" s="27"/>
      <c r="TIB11" s="27"/>
      <c r="TIH11" s="27"/>
      <c r="TII11" s="27"/>
      <c r="TIJ11" s="27"/>
      <c r="TIP11" s="27"/>
      <c r="TIQ11" s="27"/>
      <c r="TIR11" s="27"/>
      <c r="TIX11" s="27"/>
      <c r="TIY11" s="27"/>
      <c r="TIZ11" s="27"/>
      <c r="TJF11" s="27"/>
      <c r="TJG11" s="27"/>
      <c r="TJH11" s="27"/>
      <c r="TJN11" s="27"/>
      <c r="TJO11" s="27"/>
      <c r="TJP11" s="27"/>
      <c r="TJV11" s="27"/>
      <c r="TJW11" s="27"/>
      <c r="TJX11" s="27"/>
      <c r="TKD11" s="27"/>
      <c r="TKE11" s="27"/>
      <c r="TKF11" s="27"/>
      <c r="TKL11" s="27"/>
      <c r="TKM11" s="27"/>
      <c r="TKN11" s="27"/>
      <c r="TKT11" s="27"/>
      <c r="TKU11" s="27"/>
      <c r="TKV11" s="27"/>
      <c r="TLB11" s="27"/>
      <c r="TLC11" s="27"/>
      <c r="TLD11" s="27"/>
      <c r="TLJ11" s="27"/>
      <c r="TLK11" s="27"/>
      <c r="TLL11" s="27"/>
      <c r="TLR11" s="27"/>
      <c r="TLS11" s="27"/>
      <c r="TLT11" s="27"/>
      <c r="TLZ11" s="27"/>
      <c r="TMA11" s="27"/>
      <c r="TMB11" s="27"/>
      <c r="TMH11" s="27"/>
      <c r="TMI11" s="27"/>
      <c r="TMJ11" s="27"/>
      <c r="TMP11" s="27"/>
      <c r="TMQ11" s="27"/>
      <c r="TMR11" s="27"/>
      <c r="TMX11" s="27"/>
      <c r="TMY11" s="27"/>
      <c r="TMZ11" s="27"/>
      <c r="TNF11" s="27"/>
      <c r="TNG11" s="27"/>
      <c r="TNH11" s="27"/>
      <c r="TNN11" s="27"/>
      <c r="TNO11" s="27"/>
      <c r="TNP11" s="27"/>
      <c r="TNV11" s="27"/>
      <c r="TNW11" s="27"/>
      <c r="TNX11" s="27"/>
      <c r="TOD11" s="27"/>
      <c r="TOE11" s="27"/>
      <c r="TOF11" s="27"/>
      <c r="TOL11" s="27"/>
      <c r="TOM11" s="27"/>
      <c r="TON11" s="27"/>
      <c r="TOT11" s="27"/>
      <c r="TOU11" s="27"/>
      <c r="TOV11" s="27"/>
      <c r="TPB11" s="27"/>
      <c r="TPC11" s="27"/>
      <c r="TPD11" s="27"/>
      <c r="TPJ11" s="27"/>
      <c r="TPK11" s="27"/>
      <c r="TPL11" s="27"/>
      <c r="TPR11" s="27"/>
      <c r="TPS11" s="27"/>
      <c r="TPT11" s="27"/>
      <c r="TPZ11" s="27"/>
      <c r="TQA11" s="27"/>
      <c r="TQB11" s="27"/>
      <c r="TQH11" s="27"/>
      <c r="TQI11" s="27"/>
      <c r="TQJ11" s="27"/>
      <c r="TQP11" s="27"/>
      <c r="TQQ11" s="27"/>
      <c r="TQR11" s="27"/>
      <c r="TQX11" s="27"/>
      <c r="TQY11" s="27"/>
      <c r="TQZ11" s="27"/>
      <c r="TRF11" s="27"/>
      <c r="TRG11" s="27"/>
      <c r="TRH11" s="27"/>
      <c r="TRN11" s="27"/>
      <c r="TRO11" s="27"/>
      <c r="TRP11" s="27"/>
      <c r="TRV11" s="27"/>
      <c r="TRW11" s="27"/>
      <c r="TRX11" s="27"/>
      <c r="TSD11" s="27"/>
      <c r="TSE11" s="27"/>
      <c r="TSF11" s="27"/>
      <c r="TSL11" s="27"/>
      <c r="TSM11" s="27"/>
      <c r="TSN11" s="27"/>
      <c r="TST11" s="27"/>
      <c r="TSU11" s="27"/>
      <c r="TSV11" s="27"/>
      <c r="TTB11" s="27"/>
      <c r="TTC11" s="27"/>
      <c r="TTD11" s="27"/>
      <c r="TTJ11" s="27"/>
      <c r="TTK11" s="27"/>
      <c r="TTL11" s="27"/>
      <c r="TTR11" s="27"/>
      <c r="TTS11" s="27"/>
      <c r="TTT11" s="27"/>
      <c r="TTZ11" s="27"/>
      <c r="TUA11" s="27"/>
      <c r="TUB11" s="27"/>
      <c r="TUH11" s="27"/>
      <c r="TUI11" s="27"/>
      <c r="TUJ11" s="27"/>
      <c r="TUP11" s="27"/>
      <c r="TUQ11" s="27"/>
      <c r="TUR11" s="27"/>
      <c r="TUX11" s="27"/>
      <c r="TUY11" s="27"/>
      <c r="TUZ11" s="27"/>
      <c r="TVF11" s="27"/>
      <c r="TVG11" s="27"/>
      <c r="TVH11" s="27"/>
      <c r="TVN11" s="27"/>
      <c r="TVO11" s="27"/>
      <c r="TVP11" s="27"/>
      <c r="TVV11" s="27"/>
      <c r="TVW11" s="27"/>
      <c r="TVX11" s="27"/>
      <c r="TWD11" s="27"/>
      <c r="TWE11" s="27"/>
      <c r="TWF11" s="27"/>
      <c r="TWL11" s="27"/>
      <c r="TWM11" s="27"/>
      <c r="TWN11" s="27"/>
      <c r="TWT11" s="27"/>
      <c r="TWU11" s="27"/>
      <c r="TWV11" s="27"/>
      <c r="TXB11" s="27"/>
      <c r="TXC11" s="27"/>
      <c r="TXD11" s="27"/>
      <c r="TXJ11" s="27"/>
      <c r="TXK11" s="27"/>
      <c r="TXL11" s="27"/>
      <c r="TXR11" s="27"/>
      <c r="TXS11" s="27"/>
      <c r="TXT11" s="27"/>
      <c r="TXZ11" s="27"/>
      <c r="TYA11" s="27"/>
      <c r="TYB11" s="27"/>
      <c r="TYH11" s="27"/>
      <c r="TYI11" s="27"/>
      <c r="TYJ11" s="27"/>
      <c r="TYP11" s="27"/>
      <c r="TYQ11" s="27"/>
      <c r="TYR11" s="27"/>
      <c r="TYX11" s="27"/>
      <c r="TYY11" s="27"/>
      <c r="TYZ11" s="27"/>
      <c r="TZF11" s="27"/>
      <c r="TZG11" s="27"/>
      <c r="TZH11" s="27"/>
      <c r="TZN11" s="27"/>
      <c r="TZO11" s="27"/>
      <c r="TZP11" s="27"/>
      <c r="TZV11" s="27"/>
      <c r="TZW11" s="27"/>
      <c r="TZX11" s="27"/>
      <c r="UAD11" s="27"/>
      <c r="UAE11" s="27"/>
      <c r="UAF11" s="27"/>
      <c r="UAL11" s="27"/>
      <c r="UAM11" s="27"/>
      <c r="UAN11" s="27"/>
      <c r="UAT11" s="27"/>
      <c r="UAU11" s="27"/>
      <c r="UAV11" s="27"/>
      <c r="UBB11" s="27"/>
      <c r="UBC11" s="27"/>
      <c r="UBD11" s="27"/>
      <c r="UBJ11" s="27"/>
      <c r="UBK11" s="27"/>
      <c r="UBL11" s="27"/>
      <c r="UBR11" s="27"/>
      <c r="UBS11" s="27"/>
      <c r="UBT11" s="27"/>
      <c r="UBZ11" s="27"/>
      <c r="UCA11" s="27"/>
      <c r="UCB11" s="27"/>
      <c r="UCH11" s="27"/>
      <c r="UCI11" s="27"/>
      <c r="UCJ11" s="27"/>
      <c r="UCP11" s="27"/>
      <c r="UCQ11" s="27"/>
      <c r="UCR11" s="27"/>
      <c r="UCX11" s="27"/>
      <c r="UCY11" s="27"/>
      <c r="UCZ11" s="27"/>
      <c r="UDF11" s="27"/>
      <c r="UDG11" s="27"/>
      <c r="UDH11" s="27"/>
      <c r="UDN11" s="27"/>
      <c r="UDO11" s="27"/>
      <c r="UDP11" s="27"/>
      <c r="UDV11" s="27"/>
      <c r="UDW11" s="27"/>
      <c r="UDX11" s="27"/>
      <c r="UED11" s="27"/>
      <c r="UEE11" s="27"/>
      <c r="UEF11" s="27"/>
      <c r="UEL11" s="27"/>
      <c r="UEM11" s="27"/>
      <c r="UEN11" s="27"/>
      <c r="UET11" s="27"/>
      <c r="UEU11" s="27"/>
      <c r="UEV11" s="27"/>
      <c r="UFB11" s="27"/>
      <c r="UFC11" s="27"/>
      <c r="UFD11" s="27"/>
      <c r="UFJ11" s="27"/>
      <c r="UFK11" s="27"/>
      <c r="UFL11" s="27"/>
      <c r="UFR11" s="27"/>
      <c r="UFS11" s="27"/>
      <c r="UFT11" s="27"/>
      <c r="UFZ11" s="27"/>
      <c r="UGA11" s="27"/>
      <c r="UGB11" s="27"/>
      <c r="UGH11" s="27"/>
      <c r="UGI11" s="27"/>
      <c r="UGJ11" s="27"/>
      <c r="UGP11" s="27"/>
      <c r="UGQ11" s="27"/>
      <c r="UGR11" s="27"/>
      <c r="UGX11" s="27"/>
      <c r="UGY11" s="27"/>
      <c r="UGZ11" s="27"/>
      <c r="UHF11" s="27"/>
      <c r="UHG11" s="27"/>
      <c r="UHH11" s="27"/>
      <c r="UHN11" s="27"/>
      <c r="UHO11" s="27"/>
      <c r="UHP11" s="27"/>
      <c r="UHV11" s="27"/>
      <c r="UHW11" s="27"/>
      <c r="UHX11" s="27"/>
      <c r="UID11" s="27"/>
      <c r="UIE11" s="27"/>
      <c r="UIF11" s="27"/>
      <c r="UIL11" s="27"/>
      <c r="UIM11" s="27"/>
      <c r="UIN11" s="27"/>
      <c r="UIT11" s="27"/>
      <c r="UIU11" s="27"/>
      <c r="UIV11" s="27"/>
      <c r="UJB11" s="27"/>
      <c r="UJC11" s="27"/>
      <c r="UJD11" s="27"/>
      <c r="UJJ11" s="27"/>
      <c r="UJK11" s="27"/>
      <c r="UJL11" s="27"/>
      <c r="UJR11" s="27"/>
      <c r="UJS11" s="27"/>
      <c r="UJT11" s="27"/>
      <c r="UJZ11" s="27"/>
      <c r="UKA11" s="27"/>
      <c r="UKB11" s="27"/>
      <c r="UKH11" s="27"/>
      <c r="UKI11" s="27"/>
      <c r="UKJ11" s="27"/>
      <c r="UKP11" s="27"/>
      <c r="UKQ11" s="27"/>
      <c r="UKR11" s="27"/>
      <c r="UKX11" s="27"/>
      <c r="UKY11" s="27"/>
      <c r="UKZ11" s="27"/>
      <c r="ULF11" s="27"/>
      <c r="ULG11" s="27"/>
      <c r="ULH11" s="27"/>
      <c r="ULN11" s="27"/>
      <c r="ULO11" s="27"/>
      <c r="ULP11" s="27"/>
      <c r="ULV11" s="27"/>
      <c r="ULW11" s="27"/>
      <c r="ULX11" s="27"/>
      <c r="UMD11" s="27"/>
      <c r="UME11" s="27"/>
      <c r="UMF11" s="27"/>
      <c r="UML11" s="27"/>
      <c r="UMM11" s="27"/>
      <c r="UMN11" s="27"/>
      <c r="UMT11" s="27"/>
      <c r="UMU11" s="27"/>
      <c r="UMV11" s="27"/>
      <c r="UNB11" s="27"/>
      <c r="UNC11" s="27"/>
      <c r="UND11" s="27"/>
      <c r="UNJ11" s="27"/>
      <c r="UNK11" s="27"/>
      <c r="UNL11" s="27"/>
      <c r="UNR11" s="27"/>
      <c r="UNS11" s="27"/>
      <c r="UNT11" s="27"/>
      <c r="UNZ11" s="27"/>
      <c r="UOA11" s="27"/>
      <c r="UOB11" s="27"/>
      <c r="UOH11" s="27"/>
      <c r="UOI11" s="27"/>
      <c r="UOJ11" s="27"/>
      <c r="UOP11" s="27"/>
      <c r="UOQ11" s="27"/>
      <c r="UOR11" s="27"/>
      <c r="UOX11" s="27"/>
      <c r="UOY11" s="27"/>
      <c r="UOZ11" s="27"/>
      <c r="UPF11" s="27"/>
      <c r="UPG11" s="27"/>
      <c r="UPH11" s="27"/>
      <c r="UPN11" s="27"/>
      <c r="UPO11" s="27"/>
      <c r="UPP11" s="27"/>
      <c r="UPV11" s="27"/>
      <c r="UPW11" s="27"/>
      <c r="UPX11" s="27"/>
      <c r="UQD11" s="27"/>
      <c r="UQE11" s="27"/>
      <c r="UQF11" s="27"/>
      <c r="UQL11" s="27"/>
      <c r="UQM11" s="27"/>
      <c r="UQN11" s="27"/>
      <c r="UQT11" s="27"/>
      <c r="UQU11" s="27"/>
      <c r="UQV11" s="27"/>
      <c r="URB11" s="27"/>
      <c r="URC11" s="27"/>
      <c r="URD11" s="27"/>
      <c r="URJ11" s="27"/>
      <c r="URK11" s="27"/>
      <c r="URL11" s="27"/>
      <c r="URR11" s="27"/>
      <c r="URS11" s="27"/>
      <c r="URT11" s="27"/>
      <c r="URZ11" s="27"/>
      <c r="USA11" s="27"/>
      <c r="USB11" s="27"/>
      <c r="USH11" s="27"/>
      <c r="USI11" s="27"/>
      <c r="USJ11" s="27"/>
      <c r="USP11" s="27"/>
      <c r="USQ11" s="27"/>
      <c r="USR11" s="27"/>
      <c r="USX11" s="27"/>
      <c r="USY11" s="27"/>
      <c r="USZ11" s="27"/>
      <c r="UTF11" s="27"/>
      <c r="UTG11" s="27"/>
      <c r="UTH11" s="27"/>
      <c r="UTN11" s="27"/>
      <c r="UTO11" s="27"/>
      <c r="UTP11" s="27"/>
      <c r="UTV11" s="27"/>
      <c r="UTW11" s="27"/>
      <c r="UTX11" s="27"/>
      <c r="UUD11" s="27"/>
      <c r="UUE11" s="27"/>
      <c r="UUF11" s="27"/>
      <c r="UUL11" s="27"/>
      <c r="UUM11" s="27"/>
      <c r="UUN11" s="27"/>
      <c r="UUT11" s="27"/>
      <c r="UUU11" s="27"/>
      <c r="UUV11" s="27"/>
      <c r="UVB11" s="27"/>
      <c r="UVC11" s="27"/>
      <c r="UVD11" s="27"/>
      <c r="UVJ11" s="27"/>
      <c r="UVK11" s="27"/>
      <c r="UVL11" s="27"/>
      <c r="UVR11" s="27"/>
      <c r="UVS11" s="27"/>
      <c r="UVT11" s="27"/>
      <c r="UVZ11" s="27"/>
      <c r="UWA11" s="27"/>
      <c r="UWB11" s="27"/>
      <c r="UWH11" s="27"/>
      <c r="UWI11" s="27"/>
      <c r="UWJ11" s="27"/>
      <c r="UWP11" s="27"/>
      <c r="UWQ11" s="27"/>
      <c r="UWR11" s="27"/>
      <c r="UWX11" s="27"/>
      <c r="UWY11" s="27"/>
      <c r="UWZ11" s="27"/>
      <c r="UXF11" s="27"/>
      <c r="UXG11" s="27"/>
      <c r="UXH11" s="27"/>
      <c r="UXN11" s="27"/>
      <c r="UXO11" s="27"/>
      <c r="UXP11" s="27"/>
      <c r="UXV11" s="27"/>
      <c r="UXW11" s="27"/>
      <c r="UXX11" s="27"/>
      <c r="UYD11" s="27"/>
      <c r="UYE11" s="27"/>
      <c r="UYF11" s="27"/>
      <c r="UYL11" s="27"/>
      <c r="UYM11" s="27"/>
      <c r="UYN11" s="27"/>
      <c r="UYT11" s="27"/>
      <c r="UYU11" s="27"/>
      <c r="UYV11" s="27"/>
      <c r="UZB11" s="27"/>
      <c r="UZC11" s="27"/>
      <c r="UZD11" s="27"/>
      <c r="UZJ11" s="27"/>
      <c r="UZK11" s="27"/>
      <c r="UZL11" s="27"/>
      <c r="UZR11" s="27"/>
      <c r="UZS11" s="27"/>
      <c r="UZT11" s="27"/>
      <c r="UZZ11" s="27"/>
      <c r="VAA11" s="27"/>
      <c r="VAB11" s="27"/>
      <c r="VAH11" s="27"/>
      <c r="VAI11" s="27"/>
      <c r="VAJ11" s="27"/>
      <c r="VAP11" s="27"/>
      <c r="VAQ11" s="27"/>
      <c r="VAR11" s="27"/>
      <c r="VAX11" s="27"/>
      <c r="VAY11" s="27"/>
      <c r="VAZ11" s="27"/>
      <c r="VBF11" s="27"/>
      <c r="VBG11" s="27"/>
      <c r="VBH11" s="27"/>
      <c r="VBN11" s="27"/>
      <c r="VBO11" s="27"/>
      <c r="VBP11" s="27"/>
      <c r="VBV11" s="27"/>
      <c r="VBW11" s="27"/>
      <c r="VBX11" s="27"/>
      <c r="VCD11" s="27"/>
      <c r="VCE11" s="27"/>
      <c r="VCF11" s="27"/>
      <c r="VCL11" s="27"/>
      <c r="VCM11" s="27"/>
      <c r="VCN11" s="27"/>
      <c r="VCT11" s="27"/>
      <c r="VCU11" s="27"/>
      <c r="VCV11" s="27"/>
      <c r="VDB11" s="27"/>
      <c r="VDC11" s="27"/>
      <c r="VDD11" s="27"/>
      <c r="VDJ11" s="27"/>
      <c r="VDK11" s="27"/>
      <c r="VDL11" s="27"/>
      <c r="VDR11" s="27"/>
      <c r="VDS11" s="27"/>
      <c r="VDT11" s="27"/>
      <c r="VDZ11" s="27"/>
      <c r="VEA11" s="27"/>
      <c r="VEB11" s="27"/>
      <c r="VEH11" s="27"/>
      <c r="VEI11" s="27"/>
      <c r="VEJ11" s="27"/>
      <c r="VEP11" s="27"/>
      <c r="VEQ11" s="27"/>
      <c r="VER11" s="27"/>
      <c r="VEX11" s="27"/>
      <c r="VEY11" s="27"/>
      <c r="VEZ11" s="27"/>
      <c r="VFF11" s="27"/>
      <c r="VFG11" s="27"/>
      <c r="VFH11" s="27"/>
      <c r="VFN11" s="27"/>
      <c r="VFO11" s="27"/>
      <c r="VFP11" s="27"/>
      <c r="VFV11" s="27"/>
      <c r="VFW11" s="27"/>
      <c r="VFX11" s="27"/>
      <c r="VGD11" s="27"/>
      <c r="VGE11" s="27"/>
      <c r="VGF11" s="27"/>
      <c r="VGL11" s="27"/>
      <c r="VGM11" s="27"/>
      <c r="VGN11" s="27"/>
      <c r="VGT11" s="27"/>
      <c r="VGU11" s="27"/>
      <c r="VGV11" s="27"/>
      <c r="VHB11" s="27"/>
      <c r="VHC11" s="27"/>
      <c r="VHD11" s="27"/>
      <c r="VHJ11" s="27"/>
      <c r="VHK11" s="27"/>
      <c r="VHL11" s="27"/>
      <c r="VHR11" s="27"/>
      <c r="VHS11" s="27"/>
      <c r="VHT11" s="27"/>
      <c r="VHZ11" s="27"/>
      <c r="VIA11" s="27"/>
      <c r="VIB11" s="27"/>
      <c r="VIH11" s="27"/>
      <c r="VII11" s="27"/>
      <c r="VIJ11" s="27"/>
      <c r="VIP11" s="27"/>
      <c r="VIQ11" s="27"/>
      <c r="VIR11" s="27"/>
      <c r="VIX11" s="27"/>
      <c r="VIY11" s="27"/>
      <c r="VIZ11" s="27"/>
      <c r="VJF11" s="27"/>
      <c r="VJG11" s="27"/>
      <c r="VJH11" s="27"/>
      <c r="VJN11" s="27"/>
      <c r="VJO11" s="27"/>
      <c r="VJP11" s="27"/>
      <c r="VJV11" s="27"/>
      <c r="VJW11" s="27"/>
      <c r="VJX11" s="27"/>
      <c r="VKD11" s="27"/>
      <c r="VKE11" s="27"/>
      <c r="VKF11" s="27"/>
      <c r="VKL11" s="27"/>
      <c r="VKM11" s="27"/>
      <c r="VKN11" s="27"/>
      <c r="VKT11" s="27"/>
      <c r="VKU11" s="27"/>
      <c r="VKV11" s="27"/>
      <c r="VLB11" s="27"/>
      <c r="VLC11" s="27"/>
      <c r="VLD11" s="27"/>
      <c r="VLJ11" s="27"/>
      <c r="VLK11" s="27"/>
      <c r="VLL11" s="27"/>
      <c r="VLR11" s="27"/>
      <c r="VLS11" s="27"/>
      <c r="VLT11" s="27"/>
      <c r="VLZ11" s="27"/>
      <c r="VMA11" s="27"/>
      <c r="VMB11" s="27"/>
      <c r="VMH11" s="27"/>
      <c r="VMI11" s="27"/>
      <c r="VMJ11" s="27"/>
      <c r="VMP11" s="27"/>
      <c r="VMQ11" s="27"/>
      <c r="VMR11" s="27"/>
      <c r="VMX11" s="27"/>
      <c r="VMY11" s="27"/>
      <c r="VMZ11" s="27"/>
      <c r="VNF11" s="27"/>
      <c r="VNG11" s="27"/>
      <c r="VNH11" s="27"/>
      <c r="VNN11" s="27"/>
      <c r="VNO11" s="27"/>
      <c r="VNP11" s="27"/>
      <c r="VNV11" s="27"/>
      <c r="VNW11" s="27"/>
      <c r="VNX11" s="27"/>
      <c r="VOD11" s="27"/>
      <c r="VOE11" s="27"/>
      <c r="VOF11" s="27"/>
      <c r="VOL11" s="27"/>
      <c r="VOM11" s="27"/>
      <c r="VON11" s="27"/>
      <c r="VOT11" s="27"/>
      <c r="VOU11" s="27"/>
      <c r="VOV11" s="27"/>
      <c r="VPB11" s="27"/>
      <c r="VPC11" s="27"/>
      <c r="VPD11" s="27"/>
      <c r="VPJ11" s="27"/>
      <c r="VPK11" s="27"/>
      <c r="VPL11" s="27"/>
      <c r="VPR11" s="27"/>
      <c r="VPS11" s="27"/>
      <c r="VPT11" s="27"/>
      <c r="VPZ11" s="27"/>
      <c r="VQA11" s="27"/>
      <c r="VQB11" s="27"/>
      <c r="VQH11" s="27"/>
      <c r="VQI11" s="27"/>
      <c r="VQJ11" s="27"/>
      <c r="VQP11" s="27"/>
      <c r="VQQ11" s="27"/>
      <c r="VQR11" s="27"/>
      <c r="VQX11" s="27"/>
      <c r="VQY11" s="27"/>
      <c r="VQZ11" s="27"/>
      <c r="VRF11" s="27"/>
      <c r="VRG11" s="27"/>
      <c r="VRH11" s="27"/>
      <c r="VRN11" s="27"/>
      <c r="VRO11" s="27"/>
      <c r="VRP11" s="27"/>
      <c r="VRV11" s="27"/>
      <c r="VRW11" s="27"/>
      <c r="VRX11" s="27"/>
      <c r="VSD11" s="27"/>
      <c r="VSE11" s="27"/>
      <c r="VSF11" s="27"/>
      <c r="VSL11" s="27"/>
      <c r="VSM11" s="27"/>
      <c r="VSN11" s="27"/>
      <c r="VST11" s="27"/>
      <c r="VSU11" s="27"/>
      <c r="VSV11" s="27"/>
      <c r="VTB11" s="27"/>
      <c r="VTC11" s="27"/>
      <c r="VTD11" s="27"/>
      <c r="VTJ11" s="27"/>
      <c r="VTK11" s="27"/>
      <c r="VTL11" s="27"/>
      <c r="VTR11" s="27"/>
      <c r="VTS11" s="27"/>
      <c r="VTT11" s="27"/>
      <c r="VTZ11" s="27"/>
      <c r="VUA11" s="27"/>
      <c r="VUB11" s="27"/>
      <c r="VUH11" s="27"/>
      <c r="VUI11" s="27"/>
      <c r="VUJ11" s="27"/>
      <c r="VUP11" s="27"/>
      <c r="VUQ11" s="27"/>
      <c r="VUR11" s="27"/>
      <c r="VUX11" s="27"/>
      <c r="VUY11" s="27"/>
      <c r="VUZ11" s="27"/>
      <c r="VVF11" s="27"/>
      <c r="VVG11" s="27"/>
      <c r="VVH11" s="27"/>
      <c r="VVN11" s="27"/>
      <c r="VVO11" s="27"/>
      <c r="VVP11" s="27"/>
      <c r="VVV11" s="27"/>
      <c r="VVW11" s="27"/>
      <c r="VVX11" s="27"/>
      <c r="VWD11" s="27"/>
      <c r="VWE11" s="27"/>
      <c r="VWF11" s="27"/>
      <c r="VWL11" s="27"/>
      <c r="VWM11" s="27"/>
      <c r="VWN11" s="27"/>
      <c r="VWT11" s="27"/>
      <c r="VWU11" s="27"/>
      <c r="VWV11" s="27"/>
      <c r="VXB11" s="27"/>
      <c r="VXC11" s="27"/>
      <c r="VXD11" s="27"/>
      <c r="VXJ11" s="27"/>
      <c r="VXK11" s="27"/>
      <c r="VXL11" s="27"/>
      <c r="VXR11" s="27"/>
      <c r="VXS11" s="27"/>
      <c r="VXT11" s="27"/>
      <c r="VXZ11" s="27"/>
      <c r="VYA11" s="27"/>
      <c r="VYB11" s="27"/>
      <c r="VYH11" s="27"/>
      <c r="VYI11" s="27"/>
      <c r="VYJ11" s="27"/>
      <c r="VYP11" s="27"/>
      <c r="VYQ11" s="27"/>
      <c r="VYR11" s="27"/>
      <c r="VYX11" s="27"/>
      <c r="VYY11" s="27"/>
      <c r="VYZ11" s="27"/>
      <c r="VZF11" s="27"/>
      <c r="VZG11" s="27"/>
      <c r="VZH11" s="27"/>
      <c r="VZN11" s="27"/>
      <c r="VZO11" s="27"/>
      <c r="VZP11" s="27"/>
      <c r="VZV11" s="27"/>
      <c r="VZW11" s="27"/>
      <c r="VZX11" s="27"/>
      <c r="WAD11" s="27"/>
      <c r="WAE11" s="27"/>
      <c r="WAF11" s="27"/>
      <c r="WAL11" s="27"/>
      <c r="WAM11" s="27"/>
      <c r="WAN11" s="27"/>
      <c r="WAT11" s="27"/>
      <c r="WAU11" s="27"/>
      <c r="WAV11" s="27"/>
      <c r="WBB11" s="27"/>
      <c r="WBC11" s="27"/>
      <c r="WBD11" s="27"/>
      <c r="WBJ11" s="27"/>
      <c r="WBK11" s="27"/>
      <c r="WBL11" s="27"/>
      <c r="WBR11" s="27"/>
      <c r="WBS11" s="27"/>
      <c r="WBT11" s="27"/>
      <c r="WBZ11" s="27"/>
      <c r="WCA11" s="27"/>
      <c r="WCB11" s="27"/>
      <c r="WCH11" s="27"/>
      <c r="WCI11" s="27"/>
      <c r="WCJ11" s="27"/>
      <c r="WCP11" s="27"/>
      <c r="WCQ11" s="27"/>
      <c r="WCR11" s="27"/>
      <c r="WCX11" s="27"/>
      <c r="WCY11" s="27"/>
      <c r="WCZ11" s="27"/>
      <c r="WDF11" s="27"/>
      <c r="WDG11" s="27"/>
      <c r="WDH11" s="27"/>
      <c r="WDN11" s="27"/>
      <c r="WDO11" s="27"/>
      <c r="WDP11" s="27"/>
      <c r="WDV11" s="27"/>
      <c r="WDW11" s="27"/>
      <c r="WDX11" s="27"/>
      <c r="WED11" s="27"/>
      <c r="WEE11" s="27"/>
      <c r="WEF11" s="27"/>
      <c r="WEL11" s="27"/>
      <c r="WEM11" s="27"/>
      <c r="WEN11" s="27"/>
      <c r="WET11" s="27"/>
      <c r="WEU11" s="27"/>
      <c r="WEV11" s="27"/>
      <c r="WFB11" s="27"/>
      <c r="WFC11" s="27"/>
      <c r="WFD11" s="27"/>
      <c r="WFJ11" s="27"/>
      <c r="WFK11" s="27"/>
      <c r="WFL11" s="27"/>
      <c r="WFR11" s="27"/>
      <c r="WFS11" s="27"/>
      <c r="WFT11" s="27"/>
      <c r="WFZ11" s="27"/>
      <c r="WGA11" s="27"/>
      <c r="WGB11" s="27"/>
      <c r="WGH11" s="27"/>
      <c r="WGI11" s="27"/>
      <c r="WGJ11" s="27"/>
      <c r="WGP11" s="27"/>
      <c r="WGQ11" s="27"/>
      <c r="WGR11" s="27"/>
      <c r="WGX11" s="27"/>
      <c r="WGY11" s="27"/>
      <c r="WGZ11" s="27"/>
      <c r="WHF11" s="27"/>
      <c r="WHG11" s="27"/>
      <c r="WHH11" s="27"/>
      <c r="WHN11" s="27"/>
      <c r="WHO11" s="27"/>
      <c r="WHP11" s="27"/>
      <c r="WHV11" s="27"/>
      <c r="WHW11" s="27"/>
      <c r="WHX11" s="27"/>
      <c r="WID11" s="27"/>
      <c r="WIE11" s="27"/>
      <c r="WIF11" s="27"/>
      <c r="WIL11" s="27"/>
      <c r="WIM11" s="27"/>
      <c r="WIN11" s="27"/>
      <c r="WIT11" s="27"/>
      <c r="WIU11" s="27"/>
      <c r="WIV11" s="27"/>
      <c r="WJB11" s="27"/>
      <c r="WJC11" s="27"/>
      <c r="WJD11" s="27"/>
      <c r="WJJ11" s="27"/>
      <c r="WJK11" s="27"/>
      <c r="WJL11" s="27"/>
      <c r="WJR11" s="27"/>
      <c r="WJS11" s="27"/>
      <c r="WJT11" s="27"/>
      <c r="WJZ11" s="27"/>
      <c r="WKA11" s="27"/>
      <c r="WKB11" s="27"/>
      <c r="WKH11" s="27"/>
      <c r="WKI11" s="27"/>
      <c r="WKJ11" s="27"/>
      <c r="WKP11" s="27"/>
      <c r="WKQ11" s="27"/>
      <c r="WKR11" s="27"/>
      <c r="WKX11" s="27"/>
      <c r="WKY11" s="27"/>
      <c r="WKZ11" s="27"/>
      <c r="WLF11" s="27"/>
      <c r="WLG11" s="27"/>
      <c r="WLH11" s="27"/>
      <c r="WLN11" s="27"/>
      <c r="WLO11" s="27"/>
      <c r="WLP11" s="27"/>
      <c r="WLV11" s="27"/>
      <c r="WLW11" s="27"/>
      <c r="WLX11" s="27"/>
      <c r="WMD11" s="27"/>
      <c r="WME11" s="27"/>
      <c r="WMF11" s="27"/>
      <c r="WML11" s="27"/>
      <c r="WMM11" s="27"/>
      <c r="WMN11" s="27"/>
      <c r="WMT11" s="27"/>
      <c r="WMU11" s="27"/>
      <c r="WMV11" s="27"/>
      <c r="WNB11" s="27"/>
      <c r="WNC11" s="27"/>
      <c r="WND11" s="27"/>
      <c r="WNJ11" s="27"/>
      <c r="WNK11" s="27"/>
      <c r="WNL11" s="27"/>
      <c r="WNR11" s="27"/>
      <c r="WNS11" s="27"/>
      <c r="WNT11" s="27"/>
      <c r="WNZ11" s="27"/>
      <c r="WOA11" s="27"/>
      <c r="WOB11" s="27"/>
      <c r="WOH11" s="27"/>
      <c r="WOI11" s="27"/>
      <c r="WOJ11" s="27"/>
      <c r="WOP11" s="27"/>
      <c r="WOQ11" s="27"/>
      <c r="WOR11" s="27"/>
      <c r="WOX11" s="27"/>
      <c r="WOY11" s="27"/>
      <c r="WOZ11" s="27"/>
      <c r="WPF11" s="27"/>
      <c r="WPG11" s="27"/>
      <c r="WPH11" s="27"/>
      <c r="WPN11" s="27"/>
      <c r="WPO11" s="27"/>
      <c r="WPP11" s="27"/>
      <c r="WPV11" s="27"/>
      <c r="WPW11" s="27"/>
      <c r="WPX11" s="27"/>
      <c r="WQD11" s="27"/>
      <c r="WQE11" s="27"/>
      <c r="WQF11" s="27"/>
      <c r="WQL11" s="27"/>
      <c r="WQM11" s="27"/>
      <c r="WQN11" s="27"/>
      <c r="WQT11" s="27"/>
      <c r="WQU11" s="27"/>
      <c r="WQV11" s="27"/>
      <c r="WRB11" s="27"/>
      <c r="WRC11" s="27"/>
      <c r="WRD11" s="27"/>
      <c r="WRJ11" s="27"/>
      <c r="WRK11" s="27"/>
      <c r="WRL11" s="27"/>
      <c r="WRR11" s="27"/>
      <c r="WRS11" s="27"/>
      <c r="WRT11" s="27"/>
      <c r="WRZ11" s="27"/>
      <c r="WSA11" s="27"/>
      <c r="WSB11" s="27"/>
      <c r="WSH11" s="27"/>
      <c r="WSI11" s="27"/>
      <c r="WSJ11" s="27"/>
      <c r="WSP11" s="27"/>
      <c r="WSQ11" s="27"/>
      <c r="WSR11" s="27"/>
      <c r="WSX11" s="27"/>
      <c r="WSY11" s="27"/>
      <c r="WSZ11" s="27"/>
      <c r="WTF11" s="27"/>
      <c r="WTG11" s="27"/>
      <c r="WTH11" s="27"/>
      <c r="WTN11" s="27"/>
      <c r="WTO11" s="27"/>
      <c r="WTP11" s="27"/>
      <c r="WTV11" s="27"/>
      <c r="WTW11" s="27"/>
      <c r="WTX11" s="27"/>
      <c r="WUD11" s="27"/>
      <c r="WUE11" s="27"/>
      <c r="WUF11" s="27"/>
      <c r="WUL11" s="27"/>
      <c r="WUM11" s="27"/>
      <c r="WUN11" s="27"/>
      <c r="WUT11" s="27"/>
      <c r="WUU11" s="27"/>
      <c r="WUV11" s="27"/>
      <c r="WVB11" s="27"/>
      <c r="WVC11" s="27"/>
      <c r="WVD11" s="27"/>
      <c r="WVJ11" s="27"/>
      <c r="WVK11" s="27"/>
      <c r="WVL11" s="27"/>
      <c r="WVR11" s="27"/>
      <c r="WVS11" s="27"/>
      <c r="WVT11" s="27"/>
      <c r="WVZ11" s="27"/>
      <c r="WWA11" s="27"/>
      <c r="WWB11" s="27"/>
      <c r="WWH11" s="27"/>
      <c r="WWI11" s="27"/>
      <c r="WWJ11" s="27"/>
      <c r="WWP11" s="27"/>
      <c r="WWQ11" s="27"/>
      <c r="WWR11" s="27"/>
      <c r="WWX11" s="27"/>
      <c r="WWY11" s="27"/>
      <c r="WWZ11" s="27"/>
      <c r="WXF11" s="27"/>
      <c r="WXG11" s="27"/>
      <c r="WXH11" s="27"/>
      <c r="WXN11" s="27"/>
      <c r="WXO11" s="27"/>
      <c r="WXP11" s="27"/>
      <c r="WXV11" s="27"/>
      <c r="WXW11" s="27"/>
      <c r="WXX11" s="27"/>
      <c r="WYD11" s="27"/>
      <c r="WYE11" s="27"/>
      <c r="WYF11" s="27"/>
      <c r="WYL11" s="27"/>
      <c r="WYM11" s="27"/>
      <c r="WYN11" s="27"/>
      <c r="WYT11" s="27"/>
      <c r="WYU11" s="27"/>
      <c r="WYV11" s="27"/>
      <c r="WZB11" s="27"/>
      <c r="WZC11" s="27"/>
      <c r="WZD11" s="27"/>
      <c r="WZJ11" s="27"/>
      <c r="WZK11" s="27"/>
      <c r="WZL11" s="27"/>
      <c r="WZR11" s="27"/>
      <c r="WZS11" s="27"/>
      <c r="WZT11" s="27"/>
      <c r="WZZ11" s="27"/>
      <c r="XAA11" s="27"/>
      <c r="XAB11" s="27"/>
      <c r="XAH11" s="27"/>
      <c r="XAI11" s="27"/>
      <c r="XAJ11" s="27"/>
      <c r="XAP11" s="27"/>
      <c r="XAQ11" s="27"/>
      <c r="XAR11" s="27"/>
      <c r="XAX11" s="27"/>
      <c r="XAY11" s="27"/>
      <c r="XAZ11" s="27"/>
      <c r="XBF11" s="27"/>
      <c r="XBG11" s="27"/>
      <c r="XBH11" s="27"/>
      <c r="XBN11" s="27"/>
      <c r="XBO11" s="27"/>
      <c r="XBP11" s="27"/>
      <c r="XBV11" s="27"/>
      <c r="XBW11" s="27"/>
      <c r="XBX11" s="27"/>
      <c r="XCD11" s="27"/>
      <c r="XCE11" s="27"/>
      <c r="XCF11" s="27"/>
      <c r="XCL11" s="27"/>
      <c r="XCM11" s="27"/>
      <c r="XCN11" s="27"/>
      <c r="XCT11" s="27"/>
      <c r="XCU11" s="27"/>
      <c r="XCV11" s="27"/>
      <c r="XDB11" s="27"/>
      <c r="XDC11" s="27"/>
      <c r="XDD11" s="27"/>
      <c r="XDJ11" s="27"/>
      <c r="XDK11" s="27"/>
      <c r="XDL11" s="27"/>
      <c r="XDR11" s="27"/>
      <c r="XDS11" s="27"/>
      <c r="XDT11" s="27"/>
      <c r="XDZ11" s="27"/>
      <c r="XEA11" s="27"/>
      <c r="XEB11" s="27"/>
      <c r="XEH11" s="27"/>
      <c r="XEI11" s="27"/>
      <c r="XEJ11" s="27"/>
      <c r="XEP11" s="27"/>
      <c r="XEQ11" s="27"/>
      <c r="XER11" s="27"/>
      <c r="XEX11" s="27"/>
      <c r="XEY11" s="27"/>
      <c r="XEZ11" s="27"/>
    </row>
    <row r="12" s="1" customFormat="true" ht="15" hidden="false" customHeight="false" outlineLevel="0" collapsed="false">
      <c r="A12" s="1" t="n">
        <v>1023</v>
      </c>
      <c r="B12" s="27" t="s">
        <v>115</v>
      </c>
      <c r="C12" s="27" t="s">
        <v>116</v>
      </c>
      <c r="D12" s="27" t="s">
        <v>117</v>
      </c>
      <c r="E12" s="1" t="n">
        <v>50</v>
      </c>
      <c r="F12" s="1" t="n">
        <v>30</v>
      </c>
      <c r="G12" s="1" t="n">
        <v>31</v>
      </c>
      <c r="H12" s="1" t="n">
        <v>33</v>
      </c>
      <c r="I12" s="1" t="n">
        <v>35</v>
      </c>
      <c r="J12" s="27"/>
      <c r="K12" s="27"/>
      <c r="L12" s="27"/>
      <c r="R12" s="27"/>
      <c r="S12" s="27"/>
      <c r="T12" s="27"/>
      <c r="Z12" s="27"/>
      <c r="AA12" s="27"/>
      <c r="AB12" s="27"/>
      <c r="AH12" s="27"/>
      <c r="AI12" s="27"/>
      <c r="AJ12" s="27"/>
      <c r="AP12" s="27"/>
      <c r="AQ12" s="27"/>
      <c r="AR12" s="27"/>
      <c r="AX12" s="27"/>
      <c r="AY12" s="27"/>
      <c r="AZ12" s="27"/>
      <c r="BF12" s="27"/>
      <c r="BG12" s="27"/>
      <c r="BH12" s="27"/>
      <c r="BN12" s="27"/>
      <c r="BO12" s="27"/>
      <c r="BP12" s="27"/>
      <c r="BV12" s="27"/>
      <c r="BW12" s="27"/>
      <c r="BX12" s="27"/>
      <c r="CD12" s="27"/>
      <c r="CE12" s="27"/>
      <c r="CF12" s="27"/>
      <c r="CL12" s="27"/>
      <c r="CM12" s="27"/>
      <c r="CN12" s="27"/>
      <c r="CT12" s="27"/>
      <c r="CU12" s="27"/>
      <c r="CV12" s="27"/>
      <c r="DB12" s="27"/>
      <c r="DC12" s="27"/>
      <c r="DD12" s="27"/>
      <c r="DJ12" s="27"/>
      <c r="DK12" s="27"/>
      <c r="DL12" s="27"/>
      <c r="DR12" s="27"/>
      <c r="DS12" s="27"/>
      <c r="DT12" s="27"/>
      <c r="DZ12" s="27"/>
      <c r="EA12" s="27"/>
      <c r="EB12" s="27"/>
      <c r="EH12" s="27"/>
      <c r="EI12" s="27"/>
      <c r="EJ12" s="27"/>
      <c r="EP12" s="27"/>
      <c r="EQ12" s="27"/>
      <c r="ER12" s="27"/>
      <c r="EX12" s="27"/>
      <c r="EY12" s="27"/>
      <c r="EZ12" s="27"/>
      <c r="FF12" s="27"/>
      <c r="FG12" s="27"/>
      <c r="FH12" s="27"/>
      <c r="FN12" s="27"/>
      <c r="FO12" s="27"/>
      <c r="FP12" s="27"/>
      <c r="FV12" s="27"/>
      <c r="FW12" s="27"/>
      <c r="FX12" s="27"/>
      <c r="GD12" s="27"/>
      <c r="GE12" s="27"/>
      <c r="GF12" s="27"/>
      <c r="GL12" s="27"/>
      <c r="GM12" s="27"/>
      <c r="GN12" s="27"/>
      <c r="GT12" s="27"/>
      <c r="GU12" s="27"/>
      <c r="GV12" s="27"/>
      <c r="HB12" s="27"/>
      <c r="HC12" s="27"/>
      <c r="HD12" s="27"/>
      <c r="HJ12" s="27"/>
      <c r="HK12" s="27"/>
      <c r="HL12" s="27"/>
      <c r="HR12" s="27"/>
      <c r="HS12" s="27"/>
      <c r="HT12" s="27"/>
      <c r="HZ12" s="27"/>
      <c r="IA12" s="27"/>
      <c r="IB12" s="27"/>
      <c r="IH12" s="27"/>
      <c r="II12" s="27"/>
      <c r="IJ12" s="27"/>
      <c r="IP12" s="27"/>
      <c r="IQ12" s="27"/>
      <c r="IR12" s="27"/>
      <c r="IX12" s="27"/>
      <c r="IY12" s="27"/>
      <c r="IZ12" s="27"/>
      <c r="JF12" s="27"/>
      <c r="JG12" s="27"/>
      <c r="JH12" s="27"/>
      <c r="JN12" s="27"/>
      <c r="JO12" s="27"/>
      <c r="JP12" s="27"/>
      <c r="JV12" s="27"/>
      <c r="JW12" s="27"/>
      <c r="JX12" s="27"/>
      <c r="KD12" s="27"/>
      <c r="KE12" s="27"/>
      <c r="KF12" s="27"/>
      <c r="KL12" s="27"/>
      <c r="KM12" s="27"/>
      <c r="KN12" s="27"/>
      <c r="KT12" s="27"/>
      <c r="KU12" s="27"/>
      <c r="KV12" s="27"/>
      <c r="LB12" s="27"/>
      <c r="LC12" s="27"/>
      <c r="LD12" s="27"/>
      <c r="LJ12" s="27"/>
      <c r="LK12" s="27"/>
      <c r="LL12" s="27"/>
      <c r="LR12" s="27"/>
      <c r="LS12" s="27"/>
      <c r="LT12" s="27"/>
      <c r="LZ12" s="27"/>
      <c r="MA12" s="27"/>
      <c r="MB12" s="27"/>
      <c r="MH12" s="27"/>
      <c r="MI12" s="27"/>
      <c r="MJ12" s="27"/>
      <c r="MP12" s="27"/>
      <c r="MQ12" s="27"/>
      <c r="MR12" s="27"/>
      <c r="MX12" s="27"/>
      <c r="MY12" s="27"/>
      <c r="MZ12" s="27"/>
      <c r="NF12" s="27"/>
      <c r="NG12" s="27"/>
      <c r="NH12" s="27"/>
      <c r="NN12" s="27"/>
      <c r="NO12" s="27"/>
      <c r="NP12" s="27"/>
      <c r="NV12" s="27"/>
      <c r="NW12" s="27"/>
      <c r="NX12" s="27"/>
      <c r="OD12" s="27"/>
      <c r="OE12" s="27"/>
      <c r="OF12" s="27"/>
      <c r="OL12" s="27"/>
      <c r="OM12" s="27"/>
      <c r="ON12" s="27"/>
      <c r="OT12" s="27"/>
      <c r="OU12" s="27"/>
      <c r="OV12" s="27"/>
      <c r="PB12" s="27"/>
      <c r="PC12" s="27"/>
      <c r="PD12" s="27"/>
      <c r="PJ12" s="27"/>
      <c r="PK12" s="27"/>
      <c r="PL12" s="27"/>
      <c r="PR12" s="27"/>
      <c r="PS12" s="27"/>
      <c r="PT12" s="27"/>
      <c r="PZ12" s="27"/>
      <c r="QA12" s="27"/>
      <c r="QB12" s="27"/>
      <c r="QH12" s="27"/>
      <c r="QI12" s="27"/>
      <c r="QJ12" s="27"/>
      <c r="QP12" s="27"/>
      <c r="QQ12" s="27"/>
      <c r="QR12" s="27"/>
      <c r="QX12" s="27"/>
      <c r="QY12" s="27"/>
      <c r="QZ12" s="27"/>
      <c r="RF12" s="27"/>
      <c r="RG12" s="27"/>
      <c r="RH12" s="27"/>
      <c r="RN12" s="27"/>
      <c r="RO12" s="27"/>
      <c r="RP12" s="27"/>
      <c r="RV12" s="27"/>
      <c r="RW12" s="27"/>
      <c r="RX12" s="27"/>
      <c r="SD12" s="27"/>
      <c r="SE12" s="27"/>
      <c r="SF12" s="27"/>
      <c r="SL12" s="27"/>
      <c r="SM12" s="27"/>
      <c r="SN12" s="27"/>
      <c r="ST12" s="27"/>
      <c r="SU12" s="27"/>
      <c r="SV12" s="27"/>
      <c r="TB12" s="27"/>
      <c r="TC12" s="27"/>
      <c r="TD12" s="27"/>
      <c r="TJ12" s="27"/>
      <c r="TK12" s="27"/>
      <c r="TL12" s="27"/>
      <c r="TR12" s="27"/>
      <c r="TS12" s="27"/>
      <c r="TT12" s="27"/>
      <c r="TZ12" s="27"/>
      <c r="UA12" s="27"/>
      <c r="UB12" s="27"/>
      <c r="UH12" s="27"/>
      <c r="UI12" s="27"/>
      <c r="UJ12" s="27"/>
      <c r="UP12" s="27"/>
      <c r="UQ12" s="27"/>
      <c r="UR12" s="27"/>
      <c r="UX12" s="27"/>
      <c r="UY12" s="27"/>
      <c r="UZ12" s="27"/>
      <c r="VF12" s="27"/>
      <c r="VG12" s="27"/>
      <c r="VH12" s="27"/>
      <c r="VN12" s="27"/>
      <c r="VO12" s="27"/>
      <c r="VP12" s="27"/>
      <c r="VV12" s="27"/>
      <c r="VW12" s="27"/>
      <c r="VX12" s="27"/>
      <c r="WD12" s="27"/>
      <c r="WE12" s="27"/>
      <c r="WF12" s="27"/>
      <c r="WL12" s="27"/>
      <c r="WM12" s="27"/>
      <c r="WN12" s="27"/>
      <c r="WT12" s="27"/>
      <c r="WU12" s="27"/>
      <c r="WV12" s="27"/>
      <c r="XB12" s="27"/>
      <c r="XC12" s="27"/>
      <c r="XD12" s="27"/>
      <c r="XJ12" s="27"/>
      <c r="XK12" s="27"/>
      <c r="XL12" s="27"/>
      <c r="XR12" s="27"/>
      <c r="XS12" s="27"/>
      <c r="XT12" s="27"/>
      <c r="XZ12" s="27"/>
      <c r="YA12" s="27"/>
      <c r="YB12" s="27"/>
      <c r="YH12" s="27"/>
      <c r="YI12" s="27"/>
      <c r="YJ12" s="27"/>
      <c r="YP12" s="27"/>
      <c r="YQ12" s="27"/>
      <c r="YR12" s="27"/>
      <c r="YX12" s="27"/>
      <c r="YY12" s="27"/>
      <c r="YZ12" s="27"/>
      <c r="ZF12" s="27"/>
      <c r="ZG12" s="27"/>
      <c r="ZH12" s="27"/>
      <c r="ZN12" s="27"/>
      <c r="ZO12" s="27"/>
      <c r="ZP12" s="27"/>
      <c r="ZV12" s="27"/>
      <c r="ZW12" s="27"/>
      <c r="ZX12" s="27"/>
      <c r="AAD12" s="27"/>
      <c r="AAE12" s="27"/>
      <c r="AAF12" s="27"/>
      <c r="AAL12" s="27"/>
      <c r="AAM12" s="27"/>
      <c r="AAN12" s="27"/>
      <c r="AAT12" s="27"/>
      <c r="AAU12" s="27"/>
      <c r="AAV12" s="27"/>
      <c r="ABB12" s="27"/>
      <c r="ABC12" s="27"/>
      <c r="ABD12" s="27"/>
      <c r="ABJ12" s="27"/>
      <c r="ABK12" s="27"/>
      <c r="ABL12" s="27"/>
      <c r="ABR12" s="27"/>
      <c r="ABS12" s="27"/>
      <c r="ABT12" s="27"/>
      <c r="ABZ12" s="27"/>
      <c r="ACA12" s="27"/>
      <c r="ACB12" s="27"/>
      <c r="ACH12" s="27"/>
      <c r="ACI12" s="27"/>
      <c r="ACJ12" s="27"/>
      <c r="ACP12" s="27"/>
      <c r="ACQ12" s="27"/>
      <c r="ACR12" s="27"/>
      <c r="ACX12" s="27"/>
      <c r="ACY12" s="27"/>
      <c r="ACZ12" s="27"/>
      <c r="ADF12" s="27"/>
      <c r="ADG12" s="27"/>
      <c r="ADH12" s="27"/>
      <c r="ADN12" s="27"/>
      <c r="ADO12" s="27"/>
      <c r="ADP12" s="27"/>
      <c r="ADV12" s="27"/>
      <c r="ADW12" s="27"/>
      <c r="ADX12" s="27"/>
      <c r="AED12" s="27"/>
      <c r="AEE12" s="27"/>
      <c r="AEF12" s="27"/>
      <c r="AEL12" s="27"/>
      <c r="AEM12" s="27"/>
      <c r="AEN12" s="27"/>
      <c r="AET12" s="27"/>
      <c r="AEU12" s="27"/>
      <c r="AEV12" s="27"/>
      <c r="AFB12" s="27"/>
      <c r="AFC12" s="27"/>
      <c r="AFD12" s="27"/>
      <c r="AFJ12" s="27"/>
      <c r="AFK12" s="27"/>
      <c r="AFL12" s="27"/>
      <c r="AFR12" s="27"/>
      <c r="AFS12" s="27"/>
      <c r="AFT12" s="27"/>
      <c r="AFZ12" s="27"/>
      <c r="AGA12" s="27"/>
      <c r="AGB12" s="27"/>
      <c r="AGH12" s="27"/>
      <c r="AGI12" s="27"/>
      <c r="AGJ12" s="27"/>
      <c r="AGP12" s="27"/>
      <c r="AGQ12" s="27"/>
      <c r="AGR12" s="27"/>
      <c r="AGX12" s="27"/>
      <c r="AGY12" s="27"/>
      <c r="AGZ12" s="27"/>
      <c r="AHF12" s="27"/>
      <c r="AHG12" s="27"/>
      <c r="AHH12" s="27"/>
      <c r="AHN12" s="27"/>
      <c r="AHO12" s="27"/>
      <c r="AHP12" s="27"/>
      <c r="AHV12" s="27"/>
      <c r="AHW12" s="27"/>
      <c r="AHX12" s="27"/>
      <c r="AID12" s="27"/>
      <c r="AIE12" s="27"/>
      <c r="AIF12" s="27"/>
      <c r="AIL12" s="27"/>
      <c r="AIM12" s="27"/>
      <c r="AIN12" s="27"/>
      <c r="AIT12" s="27"/>
      <c r="AIU12" s="27"/>
      <c r="AIV12" s="27"/>
      <c r="AJB12" s="27"/>
      <c r="AJC12" s="27"/>
      <c r="AJD12" s="27"/>
      <c r="AJJ12" s="27"/>
      <c r="AJK12" s="27"/>
      <c r="AJL12" s="27"/>
      <c r="AJR12" s="27"/>
      <c r="AJS12" s="27"/>
      <c r="AJT12" s="27"/>
      <c r="AJZ12" s="27"/>
      <c r="AKA12" s="27"/>
      <c r="AKB12" s="27"/>
      <c r="AKH12" s="27"/>
      <c r="AKI12" s="27"/>
      <c r="AKJ12" s="27"/>
      <c r="AKP12" s="27"/>
      <c r="AKQ12" s="27"/>
      <c r="AKR12" s="27"/>
      <c r="AKX12" s="27"/>
      <c r="AKY12" s="27"/>
      <c r="AKZ12" s="27"/>
      <c r="ALF12" s="27"/>
      <c r="ALG12" s="27"/>
      <c r="ALH12" s="27"/>
      <c r="ALN12" s="27"/>
      <c r="ALO12" s="27"/>
      <c r="ALP12" s="27"/>
      <c r="ALV12" s="27"/>
      <c r="ALW12" s="27"/>
      <c r="ALX12" s="27"/>
      <c r="AMD12" s="27"/>
      <c r="AME12" s="27"/>
      <c r="AMF12" s="27"/>
      <c r="AML12" s="27"/>
      <c r="AMM12" s="27"/>
      <c r="AMN12" s="27"/>
      <c r="AMT12" s="27"/>
      <c r="AMU12" s="27"/>
      <c r="AMV12" s="27"/>
      <c r="ANB12" s="27"/>
      <c r="ANC12" s="27"/>
      <c r="AND12" s="27"/>
      <c r="ANJ12" s="27"/>
      <c r="ANK12" s="27"/>
      <c r="ANL12" s="27"/>
      <c r="ANR12" s="27"/>
      <c r="ANS12" s="27"/>
      <c r="ANT12" s="27"/>
      <c r="ANZ12" s="27"/>
      <c r="AOA12" s="27"/>
      <c r="AOB12" s="27"/>
      <c r="AOH12" s="27"/>
      <c r="AOI12" s="27"/>
      <c r="AOJ12" s="27"/>
      <c r="AOP12" s="27"/>
      <c r="AOQ12" s="27"/>
      <c r="AOR12" s="27"/>
      <c r="AOX12" s="27"/>
      <c r="AOY12" s="27"/>
      <c r="AOZ12" s="27"/>
      <c r="APF12" s="27"/>
      <c r="APG12" s="27"/>
      <c r="APH12" s="27"/>
      <c r="APN12" s="27"/>
      <c r="APO12" s="27"/>
      <c r="APP12" s="27"/>
      <c r="APV12" s="27"/>
      <c r="APW12" s="27"/>
      <c r="APX12" s="27"/>
      <c r="AQD12" s="27"/>
      <c r="AQE12" s="27"/>
      <c r="AQF12" s="27"/>
      <c r="AQL12" s="27"/>
      <c r="AQM12" s="27"/>
      <c r="AQN12" s="27"/>
      <c r="AQT12" s="27"/>
      <c r="AQU12" s="27"/>
      <c r="AQV12" s="27"/>
      <c r="ARB12" s="27"/>
      <c r="ARC12" s="27"/>
      <c r="ARD12" s="27"/>
      <c r="ARJ12" s="27"/>
      <c r="ARK12" s="27"/>
      <c r="ARL12" s="27"/>
      <c r="ARR12" s="27"/>
      <c r="ARS12" s="27"/>
      <c r="ART12" s="27"/>
      <c r="ARZ12" s="27"/>
      <c r="ASA12" s="27"/>
      <c r="ASB12" s="27"/>
      <c r="ASH12" s="27"/>
      <c r="ASI12" s="27"/>
      <c r="ASJ12" s="27"/>
      <c r="ASP12" s="27"/>
      <c r="ASQ12" s="27"/>
      <c r="ASR12" s="27"/>
      <c r="ASX12" s="27"/>
      <c r="ASY12" s="27"/>
      <c r="ASZ12" s="27"/>
      <c r="ATF12" s="27"/>
      <c r="ATG12" s="27"/>
      <c r="ATH12" s="27"/>
      <c r="ATN12" s="27"/>
      <c r="ATO12" s="27"/>
      <c r="ATP12" s="27"/>
      <c r="ATV12" s="27"/>
      <c r="ATW12" s="27"/>
      <c r="ATX12" s="27"/>
      <c r="AUD12" s="27"/>
      <c r="AUE12" s="27"/>
      <c r="AUF12" s="27"/>
      <c r="AUL12" s="27"/>
      <c r="AUM12" s="27"/>
      <c r="AUN12" s="27"/>
      <c r="AUT12" s="27"/>
      <c r="AUU12" s="27"/>
      <c r="AUV12" s="27"/>
      <c r="AVB12" s="27"/>
      <c r="AVC12" s="27"/>
      <c r="AVD12" s="27"/>
      <c r="AVJ12" s="27"/>
      <c r="AVK12" s="27"/>
      <c r="AVL12" s="27"/>
      <c r="AVR12" s="27"/>
      <c r="AVS12" s="27"/>
      <c r="AVT12" s="27"/>
      <c r="AVZ12" s="27"/>
      <c r="AWA12" s="27"/>
      <c r="AWB12" s="27"/>
      <c r="AWH12" s="27"/>
      <c r="AWI12" s="27"/>
      <c r="AWJ12" s="27"/>
      <c r="AWP12" s="27"/>
      <c r="AWQ12" s="27"/>
      <c r="AWR12" s="27"/>
      <c r="AWX12" s="27"/>
      <c r="AWY12" s="27"/>
      <c r="AWZ12" s="27"/>
      <c r="AXF12" s="27"/>
      <c r="AXG12" s="27"/>
      <c r="AXH12" s="27"/>
      <c r="AXN12" s="27"/>
      <c r="AXO12" s="27"/>
      <c r="AXP12" s="27"/>
      <c r="AXV12" s="27"/>
      <c r="AXW12" s="27"/>
      <c r="AXX12" s="27"/>
      <c r="AYD12" s="27"/>
      <c r="AYE12" s="27"/>
      <c r="AYF12" s="27"/>
      <c r="AYL12" s="27"/>
      <c r="AYM12" s="27"/>
      <c r="AYN12" s="27"/>
      <c r="AYT12" s="27"/>
      <c r="AYU12" s="27"/>
      <c r="AYV12" s="27"/>
      <c r="AZB12" s="27"/>
      <c r="AZC12" s="27"/>
      <c r="AZD12" s="27"/>
      <c r="AZJ12" s="27"/>
      <c r="AZK12" s="27"/>
      <c r="AZL12" s="27"/>
      <c r="AZR12" s="27"/>
      <c r="AZS12" s="27"/>
      <c r="AZT12" s="27"/>
      <c r="AZZ12" s="27"/>
      <c r="BAA12" s="27"/>
      <c r="BAB12" s="27"/>
      <c r="BAH12" s="27"/>
      <c r="BAI12" s="27"/>
      <c r="BAJ12" s="27"/>
      <c r="BAP12" s="27"/>
      <c r="BAQ12" s="27"/>
      <c r="BAR12" s="27"/>
      <c r="BAX12" s="27"/>
      <c r="BAY12" s="27"/>
      <c r="BAZ12" s="27"/>
      <c r="BBF12" s="27"/>
      <c r="BBG12" s="27"/>
      <c r="BBH12" s="27"/>
      <c r="BBN12" s="27"/>
      <c r="BBO12" s="27"/>
      <c r="BBP12" s="27"/>
      <c r="BBV12" s="27"/>
      <c r="BBW12" s="27"/>
      <c r="BBX12" s="27"/>
      <c r="BCD12" s="27"/>
      <c r="BCE12" s="27"/>
      <c r="BCF12" s="27"/>
      <c r="BCL12" s="27"/>
      <c r="BCM12" s="27"/>
      <c r="BCN12" s="27"/>
      <c r="BCT12" s="27"/>
      <c r="BCU12" s="27"/>
      <c r="BCV12" s="27"/>
      <c r="BDB12" s="27"/>
      <c r="BDC12" s="27"/>
      <c r="BDD12" s="27"/>
      <c r="BDJ12" s="27"/>
      <c r="BDK12" s="27"/>
      <c r="BDL12" s="27"/>
      <c r="BDR12" s="27"/>
      <c r="BDS12" s="27"/>
      <c r="BDT12" s="27"/>
      <c r="BDZ12" s="27"/>
      <c r="BEA12" s="27"/>
      <c r="BEB12" s="27"/>
      <c r="BEH12" s="27"/>
      <c r="BEI12" s="27"/>
      <c r="BEJ12" s="27"/>
      <c r="BEP12" s="27"/>
      <c r="BEQ12" s="27"/>
      <c r="BER12" s="27"/>
      <c r="BEX12" s="27"/>
      <c r="BEY12" s="27"/>
      <c r="BEZ12" s="27"/>
      <c r="BFF12" s="27"/>
      <c r="BFG12" s="27"/>
      <c r="BFH12" s="27"/>
      <c r="BFN12" s="27"/>
      <c r="BFO12" s="27"/>
      <c r="BFP12" s="27"/>
      <c r="BFV12" s="27"/>
      <c r="BFW12" s="27"/>
      <c r="BFX12" s="27"/>
      <c r="BGD12" s="27"/>
      <c r="BGE12" s="27"/>
      <c r="BGF12" s="27"/>
      <c r="BGL12" s="27"/>
      <c r="BGM12" s="27"/>
      <c r="BGN12" s="27"/>
      <c r="BGT12" s="27"/>
      <c r="BGU12" s="27"/>
      <c r="BGV12" s="27"/>
      <c r="BHB12" s="27"/>
      <c r="BHC12" s="27"/>
      <c r="BHD12" s="27"/>
      <c r="BHJ12" s="27"/>
      <c r="BHK12" s="27"/>
      <c r="BHL12" s="27"/>
      <c r="BHR12" s="27"/>
      <c r="BHS12" s="27"/>
      <c r="BHT12" s="27"/>
      <c r="BHZ12" s="27"/>
      <c r="BIA12" s="27"/>
      <c r="BIB12" s="27"/>
      <c r="BIH12" s="27"/>
      <c r="BII12" s="27"/>
      <c r="BIJ12" s="27"/>
      <c r="BIP12" s="27"/>
      <c r="BIQ12" s="27"/>
      <c r="BIR12" s="27"/>
      <c r="BIX12" s="27"/>
      <c r="BIY12" s="27"/>
      <c r="BIZ12" s="27"/>
      <c r="BJF12" s="27"/>
      <c r="BJG12" s="27"/>
      <c r="BJH12" s="27"/>
      <c r="BJN12" s="27"/>
      <c r="BJO12" s="27"/>
      <c r="BJP12" s="27"/>
      <c r="BJV12" s="27"/>
      <c r="BJW12" s="27"/>
      <c r="BJX12" s="27"/>
      <c r="BKD12" s="27"/>
      <c r="BKE12" s="27"/>
      <c r="BKF12" s="27"/>
      <c r="BKL12" s="27"/>
      <c r="BKM12" s="27"/>
      <c r="BKN12" s="27"/>
      <c r="BKT12" s="27"/>
      <c r="BKU12" s="27"/>
      <c r="BKV12" s="27"/>
      <c r="BLB12" s="27"/>
      <c r="BLC12" s="27"/>
      <c r="BLD12" s="27"/>
      <c r="BLJ12" s="27"/>
      <c r="BLK12" s="27"/>
      <c r="BLL12" s="27"/>
      <c r="BLR12" s="27"/>
      <c r="BLS12" s="27"/>
      <c r="BLT12" s="27"/>
      <c r="BLZ12" s="27"/>
      <c r="BMA12" s="27"/>
      <c r="BMB12" s="27"/>
      <c r="BMH12" s="27"/>
      <c r="BMI12" s="27"/>
      <c r="BMJ12" s="27"/>
      <c r="BMP12" s="27"/>
      <c r="BMQ12" s="27"/>
      <c r="BMR12" s="27"/>
      <c r="BMX12" s="27"/>
      <c r="BMY12" s="27"/>
      <c r="BMZ12" s="27"/>
      <c r="BNF12" s="27"/>
      <c r="BNG12" s="27"/>
      <c r="BNH12" s="27"/>
      <c r="BNN12" s="27"/>
      <c r="BNO12" s="27"/>
      <c r="BNP12" s="27"/>
      <c r="BNV12" s="27"/>
      <c r="BNW12" s="27"/>
      <c r="BNX12" s="27"/>
      <c r="BOD12" s="27"/>
      <c r="BOE12" s="27"/>
      <c r="BOF12" s="27"/>
      <c r="BOL12" s="27"/>
      <c r="BOM12" s="27"/>
      <c r="BON12" s="27"/>
      <c r="BOT12" s="27"/>
      <c r="BOU12" s="27"/>
      <c r="BOV12" s="27"/>
      <c r="BPB12" s="27"/>
      <c r="BPC12" s="27"/>
      <c r="BPD12" s="27"/>
      <c r="BPJ12" s="27"/>
      <c r="BPK12" s="27"/>
      <c r="BPL12" s="27"/>
      <c r="BPR12" s="27"/>
      <c r="BPS12" s="27"/>
      <c r="BPT12" s="27"/>
      <c r="BPZ12" s="27"/>
      <c r="BQA12" s="27"/>
      <c r="BQB12" s="27"/>
      <c r="BQH12" s="27"/>
      <c r="BQI12" s="27"/>
      <c r="BQJ12" s="27"/>
      <c r="BQP12" s="27"/>
      <c r="BQQ12" s="27"/>
      <c r="BQR12" s="27"/>
      <c r="BQX12" s="27"/>
      <c r="BQY12" s="27"/>
      <c r="BQZ12" s="27"/>
      <c r="BRF12" s="27"/>
      <c r="BRG12" s="27"/>
      <c r="BRH12" s="27"/>
      <c r="BRN12" s="27"/>
      <c r="BRO12" s="27"/>
      <c r="BRP12" s="27"/>
      <c r="BRV12" s="27"/>
      <c r="BRW12" s="27"/>
      <c r="BRX12" s="27"/>
      <c r="BSD12" s="27"/>
      <c r="BSE12" s="27"/>
      <c r="BSF12" s="27"/>
      <c r="BSL12" s="27"/>
      <c r="BSM12" s="27"/>
      <c r="BSN12" s="27"/>
      <c r="BST12" s="27"/>
      <c r="BSU12" s="27"/>
      <c r="BSV12" s="27"/>
      <c r="BTB12" s="27"/>
      <c r="BTC12" s="27"/>
      <c r="BTD12" s="27"/>
      <c r="BTJ12" s="27"/>
      <c r="BTK12" s="27"/>
      <c r="BTL12" s="27"/>
      <c r="BTR12" s="27"/>
      <c r="BTS12" s="27"/>
      <c r="BTT12" s="27"/>
      <c r="BTZ12" s="27"/>
      <c r="BUA12" s="27"/>
      <c r="BUB12" s="27"/>
      <c r="BUH12" s="27"/>
      <c r="BUI12" s="27"/>
      <c r="BUJ12" s="27"/>
      <c r="BUP12" s="27"/>
      <c r="BUQ12" s="27"/>
      <c r="BUR12" s="27"/>
      <c r="BUX12" s="27"/>
      <c r="BUY12" s="27"/>
      <c r="BUZ12" s="27"/>
      <c r="BVF12" s="27"/>
      <c r="BVG12" s="27"/>
      <c r="BVH12" s="27"/>
      <c r="BVN12" s="27"/>
      <c r="BVO12" s="27"/>
      <c r="BVP12" s="27"/>
      <c r="BVV12" s="27"/>
      <c r="BVW12" s="27"/>
      <c r="BVX12" s="27"/>
      <c r="BWD12" s="27"/>
      <c r="BWE12" s="27"/>
      <c r="BWF12" s="27"/>
      <c r="BWL12" s="27"/>
      <c r="BWM12" s="27"/>
      <c r="BWN12" s="27"/>
      <c r="BWT12" s="27"/>
      <c r="BWU12" s="27"/>
      <c r="BWV12" s="27"/>
      <c r="BXB12" s="27"/>
      <c r="BXC12" s="27"/>
      <c r="BXD12" s="27"/>
      <c r="BXJ12" s="27"/>
      <c r="BXK12" s="27"/>
      <c r="BXL12" s="27"/>
      <c r="BXR12" s="27"/>
      <c r="BXS12" s="27"/>
      <c r="BXT12" s="27"/>
      <c r="BXZ12" s="27"/>
      <c r="BYA12" s="27"/>
      <c r="BYB12" s="27"/>
      <c r="BYH12" s="27"/>
      <c r="BYI12" s="27"/>
      <c r="BYJ12" s="27"/>
      <c r="BYP12" s="27"/>
      <c r="BYQ12" s="27"/>
      <c r="BYR12" s="27"/>
      <c r="BYX12" s="27"/>
      <c r="BYY12" s="27"/>
      <c r="BYZ12" s="27"/>
      <c r="BZF12" s="27"/>
      <c r="BZG12" s="27"/>
      <c r="BZH12" s="27"/>
      <c r="BZN12" s="27"/>
      <c r="BZO12" s="27"/>
      <c r="BZP12" s="27"/>
      <c r="BZV12" s="27"/>
      <c r="BZW12" s="27"/>
      <c r="BZX12" s="27"/>
      <c r="CAD12" s="27"/>
      <c r="CAE12" s="27"/>
      <c r="CAF12" s="27"/>
      <c r="CAL12" s="27"/>
      <c r="CAM12" s="27"/>
      <c r="CAN12" s="27"/>
      <c r="CAT12" s="27"/>
      <c r="CAU12" s="27"/>
      <c r="CAV12" s="27"/>
      <c r="CBB12" s="27"/>
      <c r="CBC12" s="27"/>
      <c r="CBD12" s="27"/>
      <c r="CBJ12" s="27"/>
      <c r="CBK12" s="27"/>
      <c r="CBL12" s="27"/>
      <c r="CBR12" s="27"/>
      <c r="CBS12" s="27"/>
      <c r="CBT12" s="27"/>
      <c r="CBZ12" s="27"/>
      <c r="CCA12" s="27"/>
      <c r="CCB12" s="27"/>
      <c r="CCH12" s="27"/>
      <c r="CCI12" s="27"/>
      <c r="CCJ12" s="27"/>
      <c r="CCP12" s="27"/>
      <c r="CCQ12" s="27"/>
      <c r="CCR12" s="27"/>
      <c r="CCX12" s="27"/>
      <c r="CCY12" s="27"/>
      <c r="CCZ12" s="27"/>
      <c r="CDF12" s="27"/>
      <c r="CDG12" s="27"/>
      <c r="CDH12" s="27"/>
      <c r="CDN12" s="27"/>
      <c r="CDO12" s="27"/>
      <c r="CDP12" s="27"/>
      <c r="CDV12" s="27"/>
      <c r="CDW12" s="27"/>
      <c r="CDX12" s="27"/>
      <c r="CED12" s="27"/>
      <c r="CEE12" s="27"/>
      <c r="CEF12" s="27"/>
      <c r="CEL12" s="27"/>
      <c r="CEM12" s="27"/>
      <c r="CEN12" s="27"/>
      <c r="CET12" s="27"/>
      <c r="CEU12" s="27"/>
      <c r="CEV12" s="27"/>
      <c r="CFB12" s="27"/>
      <c r="CFC12" s="27"/>
      <c r="CFD12" s="27"/>
      <c r="CFJ12" s="27"/>
      <c r="CFK12" s="27"/>
      <c r="CFL12" s="27"/>
      <c r="CFR12" s="27"/>
      <c r="CFS12" s="27"/>
      <c r="CFT12" s="27"/>
      <c r="CFZ12" s="27"/>
      <c r="CGA12" s="27"/>
      <c r="CGB12" s="27"/>
      <c r="CGH12" s="27"/>
      <c r="CGI12" s="27"/>
      <c r="CGJ12" s="27"/>
      <c r="CGP12" s="27"/>
      <c r="CGQ12" s="27"/>
      <c r="CGR12" s="27"/>
      <c r="CGX12" s="27"/>
      <c r="CGY12" s="27"/>
      <c r="CGZ12" s="27"/>
      <c r="CHF12" s="27"/>
      <c r="CHG12" s="27"/>
      <c r="CHH12" s="27"/>
      <c r="CHN12" s="27"/>
      <c r="CHO12" s="27"/>
      <c r="CHP12" s="27"/>
      <c r="CHV12" s="27"/>
      <c r="CHW12" s="27"/>
      <c r="CHX12" s="27"/>
      <c r="CID12" s="27"/>
      <c r="CIE12" s="27"/>
      <c r="CIF12" s="27"/>
      <c r="CIL12" s="27"/>
      <c r="CIM12" s="27"/>
      <c r="CIN12" s="27"/>
      <c r="CIT12" s="27"/>
      <c r="CIU12" s="27"/>
      <c r="CIV12" s="27"/>
      <c r="CJB12" s="27"/>
      <c r="CJC12" s="27"/>
      <c r="CJD12" s="27"/>
      <c r="CJJ12" s="27"/>
      <c r="CJK12" s="27"/>
      <c r="CJL12" s="27"/>
      <c r="CJR12" s="27"/>
      <c r="CJS12" s="27"/>
      <c r="CJT12" s="27"/>
      <c r="CJZ12" s="27"/>
      <c r="CKA12" s="27"/>
      <c r="CKB12" s="27"/>
      <c r="CKH12" s="27"/>
      <c r="CKI12" s="27"/>
      <c r="CKJ12" s="27"/>
      <c r="CKP12" s="27"/>
      <c r="CKQ12" s="27"/>
      <c r="CKR12" s="27"/>
      <c r="CKX12" s="27"/>
      <c r="CKY12" s="27"/>
      <c r="CKZ12" s="27"/>
      <c r="CLF12" s="27"/>
      <c r="CLG12" s="27"/>
      <c r="CLH12" s="27"/>
      <c r="CLN12" s="27"/>
      <c r="CLO12" s="27"/>
      <c r="CLP12" s="27"/>
      <c r="CLV12" s="27"/>
      <c r="CLW12" s="27"/>
      <c r="CLX12" s="27"/>
      <c r="CMD12" s="27"/>
      <c r="CME12" s="27"/>
      <c r="CMF12" s="27"/>
      <c r="CML12" s="27"/>
      <c r="CMM12" s="27"/>
      <c r="CMN12" s="27"/>
      <c r="CMT12" s="27"/>
      <c r="CMU12" s="27"/>
      <c r="CMV12" s="27"/>
      <c r="CNB12" s="27"/>
      <c r="CNC12" s="27"/>
      <c r="CND12" s="27"/>
      <c r="CNJ12" s="27"/>
      <c r="CNK12" s="27"/>
      <c r="CNL12" s="27"/>
      <c r="CNR12" s="27"/>
      <c r="CNS12" s="27"/>
      <c r="CNT12" s="27"/>
      <c r="CNZ12" s="27"/>
      <c r="COA12" s="27"/>
      <c r="COB12" s="27"/>
      <c r="COH12" s="27"/>
      <c r="COI12" s="27"/>
      <c r="COJ12" s="27"/>
      <c r="COP12" s="27"/>
      <c r="COQ12" s="27"/>
      <c r="COR12" s="27"/>
      <c r="COX12" s="27"/>
      <c r="COY12" s="27"/>
      <c r="COZ12" s="27"/>
      <c r="CPF12" s="27"/>
      <c r="CPG12" s="27"/>
      <c r="CPH12" s="27"/>
      <c r="CPN12" s="27"/>
      <c r="CPO12" s="27"/>
      <c r="CPP12" s="27"/>
      <c r="CPV12" s="27"/>
      <c r="CPW12" s="27"/>
      <c r="CPX12" s="27"/>
      <c r="CQD12" s="27"/>
      <c r="CQE12" s="27"/>
      <c r="CQF12" s="27"/>
      <c r="CQL12" s="27"/>
      <c r="CQM12" s="27"/>
      <c r="CQN12" s="27"/>
      <c r="CQT12" s="27"/>
      <c r="CQU12" s="27"/>
      <c r="CQV12" s="27"/>
      <c r="CRB12" s="27"/>
      <c r="CRC12" s="27"/>
      <c r="CRD12" s="27"/>
      <c r="CRJ12" s="27"/>
      <c r="CRK12" s="27"/>
      <c r="CRL12" s="27"/>
      <c r="CRR12" s="27"/>
      <c r="CRS12" s="27"/>
      <c r="CRT12" s="27"/>
      <c r="CRZ12" s="27"/>
      <c r="CSA12" s="27"/>
      <c r="CSB12" s="27"/>
      <c r="CSH12" s="27"/>
      <c r="CSI12" s="27"/>
      <c r="CSJ12" s="27"/>
      <c r="CSP12" s="27"/>
      <c r="CSQ12" s="27"/>
      <c r="CSR12" s="27"/>
      <c r="CSX12" s="27"/>
      <c r="CSY12" s="27"/>
      <c r="CSZ12" s="27"/>
      <c r="CTF12" s="27"/>
      <c r="CTG12" s="27"/>
      <c r="CTH12" s="27"/>
      <c r="CTN12" s="27"/>
      <c r="CTO12" s="27"/>
      <c r="CTP12" s="27"/>
      <c r="CTV12" s="27"/>
      <c r="CTW12" s="27"/>
      <c r="CTX12" s="27"/>
      <c r="CUD12" s="27"/>
      <c r="CUE12" s="27"/>
      <c r="CUF12" s="27"/>
      <c r="CUL12" s="27"/>
      <c r="CUM12" s="27"/>
      <c r="CUN12" s="27"/>
      <c r="CUT12" s="27"/>
      <c r="CUU12" s="27"/>
      <c r="CUV12" s="27"/>
      <c r="CVB12" s="27"/>
      <c r="CVC12" s="27"/>
      <c r="CVD12" s="27"/>
      <c r="CVJ12" s="27"/>
      <c r="CVK12" s="27"/>
      <c r="CVL12" s="27"/>
      <c r="CVR12" s="27"/>
      <c r="CVS12" s="27"/>
      <c r="CVT12" s="27"/>
      <c r="CVZ12" s="27"/>
      <c r="CWA12" s="27"/>
      <c r="CWB12" s="27"/>
      <c r="CWH12" s="27"/>
      <c r="CWI12" s="27"/>
      <c r="CWJ12" s="27"/>
      <c r="CWP12" s="27"/>
      <c r="CWQ12" s="27"/>
      <c r="CWR12" s="27"/>
      <c r="CWX12" s="27"/>
      <c r="CWY12" s="27"/>
      <c r="CWZ12" s="27"/>
      <c r="CXF12" s="27"/>
      <c r="CXG12" s="27"/>
      <c r="CXH12" s="27"/>
      <c r="CXN12" s="27"/>
      <c r="CXO12" s="27"/>
      <c r="CXP12" s="27"/>
      <c r="CXV12" s="27"/>
      <c r="CXW12" s="27"/>
      <c r="CXX12" s="27"/>
      <c r="CYD12" s="27"/>
      <c r="CYE12" s="27"/>
      <c r="CYF12" s="27"/>
      <c r="CYL12" s="27"/>
      <c r="CYM12" s="27"/>
      <c r="CYN12" s="27"/>
      <c r="CYT12" s="27"/>
      <c r="CYU12" s="27"/>
      <c r="CYV12" s="27"/>
      <c r="CZB12" s="27"/>
      <c r="CZC12" s="27"/>
      <c r="CZD12" s="27"/>
      <c r="CZJ12" s="27"/>
      <c r="CZK12" s="27"/>
      <c r="CZL12" s="27"/>
      <c r="CZR12" s="27"/>
      <c r="CZS12" s="27"/>
      <c r="CZT12" s="27"/>
      <c r="CZZ12" s="27"/>
      <c r="DAA12" s="27"/>
      <c r="DAB12" s="27"/>
      <c r="DAH12" s="27"/>
      <c r="DAI12" s="27"/>
      <c r="DAJ12" s="27"/>
      <c r="DAP12" s="27"/>
      <c r="DAQ12" s="27"/>
      <c r="DAR12" s="27"/>
      <c r="DAX12" s="27"/>
      <c r="DAY12" s="27"/>
      <c r="DAZ12" s="27"/>
      <c r="DBF12" s="27"/>
      <c r="DBG12" s="27"/>
      <c r="DBH12" s="27"/>
      <c r="DBN12" s="27"/>
      <c r="DBO12" s="27"/>
      <c r="DBP12" s="27"/>
      <c r="DBV12" s="27"/>
      <c r="DBW12" s="27"/>
      <c r="DBX12" s="27"/>
      <c r="DCD12" s="27"/>
      <c r="DCE12" s="27"/>
      <c r="DCF12" s="27"/>
      <c r="DCL12" s="27"/>
      <c r="DCM12" s="27"/>
      <c r="DCN12" s="27"/>
      <c r="DCT12" s="27"/>
      <c r="DCU12" s="27"/>
      <c r="DCV12" s="27"/>
      <c r="DDB12" s="27"/>
      <c r="DDC12" s="27"/>
      <c r="DDD12" s="27"/>
      <c r="DDJ12" s="27"/>
      <c r="DDK12" s="27"/>
      <c r="DDL12" s="27"/>
      <c r="DDR12" s="27"/>
      <c r="DDS12" s="27"/>
      <c r="DDT12" s="27"/>
      <c r="DDZ12" s="27"/>
      <c r="DEA12" s="27"/>
      <c r="DEB12" s="27"/>
      <c r="DEH12" s="27"/>
      <c r="DEI12" s="27"/>
      <c r="DEJ12" s="27"/>
      <c r="DEP12" s="27"/>
      <c r="DEQ12" s="27"/>
      <c r="DER12" s="27"/>
      <c r="DEX12" s="27"/>
      <c r="DEY12" s="27"/>
      <c r="DEZ12" s="27"/>
      <c r="DFF12" s="27"/>
      <c r="DFG12" s="27"/>
      <c r="DFH12" s="27"/>
      <c r="DFN12" s="27"/>
      <c r="DFO12" s="27"/>
      <c r="DFP12" s="27"/>
      <c r="DFV12" s="27"/>
      <c r="DFW12" s="27"/>
      <c r="DFX12" s="27"/>
      <c r="DGD12" s="27"/>
      <c r="DGE12" s="27"/>
      <c r="DGF12" s="27"/>
      <c r="DGL12" s="27"/>
      <c r="DGM12" s="27"/>
      <c r="DGN12" s="27"/>
      <c r="DGT12" s="27"/>
      <c r="DGU12" s="27"/>
      <c r="DGV12" s="27"/>
      <c r="DHB12" s="27"/>
      <c r="DHC12" s="27"/>
      <c r="DHD12" s="27"/>
      <c r="DHJ12" s="27"/>
      <c r="DHK12" s="27"/>
      <c r="DHL12" s="27"/>
      <c r="DHR12" s="27"/>
      <c r="DHS12" s="27"/>
      <c r="DHT12" s="27"/>
      <c r="DHZ12" s="27"/>
      <c r="DIA12" s="27"/>
      <c r="DIB12" s="27"/>
      <c r="DIH12" s="27"/>
      <c r="DII12" s="27"/>
      <c r="DIJ12" s="27"/>
      <c r="DIP12" s="27"/>
      <c r="DIQ12" s="27"/>
      <c r="DIR12" s="27"/>
      <c r="DIX12" s="27"/>
      <c r="DIY12" s="27"/>
      <c r="DIZ12" s="27"/>
      <c r="DJF12" s="27"/>
      <c r="DJG12" s="27"/>
      <c r="DJH12" s="27"/>
      <c r="DJN12" s="27"/>
      <c r="DJO12" s="27"/>
      <c r="DJP12" s="27"/>
      <c r="DJV12" s="27"/>
      <c r="DJW12" s="27"/>
      <c r="DJX12" s="27"/>
      <c r="DKD12" s="27"/>
      <c r="DKE12" s="27"/>
      <c r="DKF12" s="27"/>
      <c r="DKL12" s="27"/>
      <c r="DKM12" s="27"/>
      <c r="DKN12" s="27"/>
      <c r="DKT12" s="27"/>
      <c r="DKU12" s="27"/>
      <c r="DKV12" s="27"/>
      <c r="DLB12" s="27"/>
      <c r="DLC12" s="27"/>
      <c r="DLD12" s="27"/>
      <c r="DLJ12" s="27"/>
      <c r="DLK12" s="27"/>
      <c r="DLL12" s="27"/>
      <c r="DLR12" s="27"/>
      <c r="DLS12" s="27"/>
      <c r="DLT12" s="27"/>
      <c r="DLZ12" s="27"/>
      <c r="DMA12" s="27"/>
      <c r="DMB12" s="27"/>
      <c r="DMH12" s="27"/>
      <c r="DMI12" s="27"/>
      <c r="DMJ12" s="27"/>
      <c r="DMP12" s="27"/>
      <c r="DMQ12" s="27"/>
      <c r="DMR12" s="27"/>
      <c r="DMX12" s="27"/>
      <c r="DMY12" s="27"/>
      <c r="DMZ12" s="27"/>
      <c r="DNF12" s="27"/>
      <c r="DNG12" s="27"/>
      <c r="DNH12" s="27"/>
      <c r="DNN12" s="27"/>
      <c r="DNO12" s="27"/>
      <c r="DNP12" s="27"/>
      <c r="DNV12" s="27"/>
      <c r="DNW12" s="27"/>
      <c r="DNX12" s="27"/>
      <c r="DOD12" s="27"/>
      <c r="DOE12" s="27"/>
      <c r="DOF12" s="27"/>
      <c r="DOL12" s="27"/>
      <c r="DOM12" s="27"/>
      <c r="DON12" s="27"/>
      <c r="DOT12" s="27"/>
      <c r="DOU12" s="27"/>
      <c r="DOV12" s="27"/>
      <c r="DPB12" s="27"/>
      <c r="DPC12" s="27"/>
      <c r="DPD12" s="27"/>
      <c r="DPJ12" s="27"/>
      <c r="DPK12" s="27"/>
      <c r="DPL12" s="27"/>
      <c r="DPR12" s="27"/>
      <c r="DPS12" s="27"/>
      <c r="DPT12" s="27"/>
      <c r="DPZ12" s="27"/>
      <c r="DQA12" s="27"/>
      <c r="DQB12" s="27"/>
      <c r="DQH12" s="27"/>
      <c r="DQI12" s="27"/>
      <c r="DQJ12" s="27"/>
      <c r="DQP12" s="27"/>
      <c r="DQQ12" s="27"/>
      <c r="DQR12" s="27"/>
      <c r="DQX12" s="27"/>
      <c r="DQY12" s="27"/>
      <c r="DQZ12" s="27"/>
      <c r="DRF12" s="27"/>
      <c r="DRG12" s="27"/>
      <c r="DRH12" s="27"/>
      <c r="DRN12" s="27"/>
      <c r="DRO12" s="27"/>
      <c r="DRP12" s="27"/>
      <c r="DRV12" s="27"/>
      <c r="DRW12" s="27"/>
      <c r="DRX12" s="27"/>
      <c r="DSD12" s="27"/>
      <c r="DSE12" s="27"/>
      <c r="DSF12" s="27"/>
      <c r="DSL12" s="27"/>
      <c r="DSM12" s="27"/>
      <c r="DSN12" s="27"/>
      <c r="DST12" s="27"/>
      <c r="DSU12" s="27"/>
      <c r="DSV12" s="27"/>
      <c r="DTB12" s="27"/>
      <c r="DTC12" s="27"/>
      <c r="DTD12" s="27"/>
      <c r="DTJ12" s="27"/>
      <c r="DTK12" s="27"/>
      <c r="DTL12" s="27"/>
      <c r="DTR12" s="27"/>
      <c r="DTS12" s="27"/>
      <c r="DTT12" s="27"/>
      <c r="DTZ12" s="27"/>
      <c r="DUA12" s="27"/>
      <c r="DUB12" s="27"/>
      <c r="DUH12" s="27"/>
      <c r="DUI12" s="27"/>
      <c r="DUJ12" s="27"/>
      <c r="DUP12" s="27"/>
      <c r="DUQ12" s="27"/>
      <c r="DUR12" s="27"/>
      <c r="DUX12" s="27"/>
      <c r="DUY12" s="27"/>
      <c r="DUZ12" s="27"/>
      <c r="DVF12" s="27"/>
      <c r="DVG12" s="27"/>
      <c r="DVH12" s="27"/>
      <c r="DVN12" s="27"/>
      <c r="DVO12" s="27"/>
      <c r="DVP12" s="27"/>
      <c r="DVV12" s="27"/>
      <c r="DVW12" s="27"/>
      <c r="DVX12" s="27"/>
      <c r="DWD12" s="27"/>
      <c r="DWE12" s="27"/>
      <c r="DWF12" s="27"/>
      <c r="DWL12" s="27"/>
      <c r="DWM12" s="27"/>
      <c r="DWN12" s="27"/>
      <c r="DWT12" s="27"/>
      <c r="DWU12" s="27"/>
      <c r="DWV12" s="27"/>
      <c r="DXB12" s="27"/>
      <c r="DXC12" s="27"/>
      <c r="DXD12" s="27"/>
      <c r="DXJ12" s="27"/>
      <c r="DXK12" s="27"/>
      <c r="DXL12" s="27"/>
      <c r="DXR12" s="27"/>
      <c r="DXS12" s="27"/>
      <c r="DXT12" s="27"/>
      <c r="DXZ12" s="27"/>
      <c r="DYA12" s="27"/>
      <c r="DYB12" s="27"/>
      <c r="DYH12" s="27"/>
      <c r="DYI12" s="27"/>
      <c r="DYJ12" s="27"/>
      <c r="DYP12" s="27"/>
      <c r="DYQ12" s="27"/>
      <c r="DYR12" s="27"/>
      <c r="DYX12" s="27"/>
      <c r="DYY12" s="27"/>
      <c r="DYZ12" s="27"/>
      <c r="DZF12" s="27"/>
      <c r="DZG12" s="27"/>
      <c r="DZH12" s="27"/>
      <c r="DZN12" s="27"/>
      <c r="DZO12" s="27"/>
      <c r="DZP12" s="27"/>
      <c r="DZV12" s="27"/>
      <c r="DZW12" s="27"/>
      <c r="DZX12" s="27"/>
      <c r="EAD12" s="27"/>
      <c r="EAE12" s="27"/>
      <c r="EAF12" s="27"/>
      <c r="EAL12" s="27"/>
      <c r="EAM12" s="27"/>
      <c r="EAN12" s="27"/>
      <c r="EAT12" s="27"/>
      <c r="EAU12" s="27"/>
      <c r="EAV12" s="27"/>
      <c r="EBB12" s="27"/>
      <c r="EBC12" s="27"/>
      <c r="EBD12" s="27"/>
      <c r="EBJ12" s="27"/>
      <c r="EBK12" s="27"/>
      <c r="EBL12" s="27"/>
      <c r="EBR12" s="27"/>
      <c r="EBS12" s="27"/>
      <c r="EBT12" s="27"/>
      <c r="EBZ12" s="27"/>
      <c r="ECA12" s="27"/>
      <c r="ECB12" s="27"/>
      <c r="ECH12" s="27"/>
      <c r="ECI12" s="27"/>
      <c r="ECJ12" s="27"/>
      <c r="ECP12" s="27"/>
      <c r="ECQ12" s="27"/>
      <c r="ECR12" s="27"/>
      <c r="ECX12" s="27"/>
      <c r="ECY12" s="27"/>
      <c r="ECZ12" s="27"/>
      <c r="EDF12" s="27"/>
      <c r="EDG12" s="27"/>
      <c r="EDH12" s="27"/>
      <c r="EDN12" s="27"/>
      <c r="EDO12" s="27"/>
      <c r="EDP12" s="27"/>
      <c r="EDV12" s="27"/>
      <c r="EDW12" s="27"/>
      <c r="EDX12" s="27"/>
      <c r="EED12" s="27"/>
      <c r="EEE12" s="27"/>
      <c r="EEF12" s="27"/>
      <c r="EEL12" s="27"/>
      <c r="EEM12" s="27"/>
      <c r="EEN12" s="27"/>
      <c r="EET12" s="27"/>
      <c r="EEU12" s="27"/>
      <c r="EEV12" s="27"/>
      <c r="EFB12" s="27"/>
      <c r="EFC12" s="27"/>
      <c r="EFD12" s="27"/>
      <c r="EFJ12" s="27"/>
      <c r="EFK12" s="27"/>
      <c r="EFL12" s="27"/>
      <c r="EFR12" s="27"/>
      <c r="EFS12" s="27"/>
      <c r="EFT12" s="27"/>
      <c r="EFZ12" s="27"/>
      <c r="EGA12" s="27"/>
      <c r="EGB12" s="27"/>
      <c r="EGH12" s="27"/>
      <c r="EGI12" s="27"/>
      <c r="EGJ12" s="27"/>
      <c r="EGP12" s="27"/>
      <c r="EGQ12" s="27"/>
      <c r="EGR12" s="27"/>
      <c r="EGX12" s="27"/>
      <c r="EGY12" s="27"/>
      <c r="EGZ12" s="27"/>
      <c r="EHF12" s="27"/>
      <c r="EHG12" s="27"/>
      <c r="EHH12" s="27"/>
      <c r="EHN12" s="27"/>
      <c r="EHO12" s="27"/>
      <c r="EHP12" s="27"/>
      <c r="EHV12" s="27"/>
      <c r="EHW12" s="27"/>
      <c r="EHX12" s="27"/>
      <c r="EID12" s="27"/>
      <c r="EIE12" s="27"/>
      <c r="EIF12" s="27"/>
      <c r="EIL12" s="27"/>
      <c r="EIM12" s="27"/>
      <c r="EIN12" s="27"/>
      <c r="EIT12" s="27"/>
      <c r="EIU12" s="27"/>
      <c r="EIV12" s="27"/>
      <c r="EJB12" s="27"/>
      <c r="EJC12" s="27"/>
      <c r="EJD12" s="27"/>
      <c r="EJJ12" s="27"/>
      <c r="EJK12" s="27"/>
      <c r="EJL12" s="27"/>
      <c r="EJR12" s="27"/>
      <c r="EJS12" s="27"/>
      <c r="EJT12" s="27"/>
      <c r="EJZ12" s="27"/>
      <c r="EKA12" s="27"/>
      <c r="EKB12" s="27"/>
      <c r="EKH12" s="27"/>
      <c r="EKI12" s="27"/>
      <c r="EKJ12" s="27"/>
      <c r="EKP12" s="27"/>
      <c r="EKQ12" s="27"/>
      <c r="EKR12" s="27"/>
      <c r="EKX12" s="27"/>
      <c r="EKY12" s="27"/>
      <c r="EKZ12" s="27"/>
      <c r="ELF12" s="27"/>
      <c r="ELG12" s="27"/>
      <c r="ELH12" s="27"/>
      <c r="ELN12" s="27"/>
      <c r="ELO12" s="27"/>
      <c r="ELP12" s="27"/>
      <c r="ELV12" s="27"/>
      <c r="ELW12" s="27"/>
      <c r="ELX12" s="27"/>
      <c r="EMD12" s="27"/>
      <c r="EME12" s="27"/>
      <c r="EMF12" s="27"/>
      <c r="EML12" s="27"/>
      <c r="EMM12" s="27"/>
      <c r="EMN12" s="27"/>
      <c r="EMT12" s="27"/>
      <c r="EMU12" s="27"/>
      <c r="EMV12" s="27"/>
      <c r="ENB12" s="27"/>
      <c r="ENC12" s="27"/>
      <c r="END12" s="27"/>
      <c r="ENJ12" s="27"/>
      <c r="ENK12" s="27"/>
      <c r="ENL12" s="27"/>
      <c r="ENR12" s="27"/>
      <c r="ENS12" s="27"/>
      <c r="ENT12" s="27"/>
      <c r="ENZ12" s="27"/>
      <c r="EOA12" s="27"/>
      <c r="EOB12" s="27"/>
      <c r="EOH12" s="27"/>
      <c r="EOI12" s="27"/>
      <c r="EOJ12" s="27"/>
      <c r="EOP12" s="27"/>
      <c r="EOQ12" s="27"/>
      <c r="EOR12" s="27"/>
      <c r="EOX12" s="27"/>
      <c r="EOY12" s="27"/>
      <c r="EOZ12" s="27"/>
      <c r="EPF12" s="27"/>
      <c r="EPG12" s="27"/>
      <c r="EPH12" s="27"/>
      <c r="EPN12" s="27"/>
      <c r="EPO12" s="27"/>
      <c r="EPP12" s="27"/>
      <c r="EPV12" s="27"/>
      <c r="EPW12" s="27"/>
      <c r="EPX12" s="27"/>
      <c r="EQD12" s="27"/>
      <c r="EQE12" s="27"/>
      <c r="EQF12" s="27"/>
      <c r="EQL12" s="27"/>
      <c r="EQM12" s="27"/>
      <c r="EQN12" s="27"/>
      <c r="EQT12" s="27"/>
      <c r="EQU12" s="27"/>
      <c r="EQV12" s="27"/>
      <c r="ERB12" s="27"/>
      <c r="ERC12" s="27"/>
      <c r="ERD12" s="27"/>
      <c r="ERJ12" s="27"/>
      <c r="ERK12" s="27"/>
      <c r="ERL12" s="27"/>
      <c r="ERR12" s="27"/>
      <c r="ERS12" s="27"/>
      <c r="ERT12" s="27"/>
      <c r="ERZ12" s="27"/>
      <c r="ESA12" s="27"/>
      <c r="ESB12" s="27"/>
      <c r="ESH12" s="27"/>
      <c r="ESI12" s="27"/>
      <c r="ESJ12" s="27"/>
      <c r="ESP12" s="27"/>
      <c r="ESQ12" s="27"/>
      <c r="ESR12" s="27"/>
      <c r="ESX12" s="27"/>
      <c r="ESY12" s="27"/>
      <c r="ESZ12" s="27"/>
      <c r="ETF12" s="27"/>
      <c r="ETG12" s="27"/>
      <c r="ETH12" s="27"/>
      <c r="ETN12" s="27"/>
      <c r="ETO12" s="27"/>
      <c r="ETP12" s="27"/>
      <c r="ETV12" s="27"/>
      <c r="ETW12" s="27"/>
      <c r="ETX12" s="27"/>
      <c r="EUD12" s="27"/>
      <c r="EUE12" s="27"/>
      <c r="EUF12" s="27"/>
      <c r="EUL12" s="27"/>
      <c r="EUM12" s="27"/>
      <c r="EUN12" s="27"/>
      <c r="EUT12" s="27"/>
      <c r="EUU12" s="27"/>
      <c r="EUV12" s="27"/>
      <c r="EVB12" s="27"/>
      <c r="EVC12" s="27"/>
      <c r="EVD12" s="27"/>
      <c r="EVJ12" s="27"/>
      <c r="EVK12" s="27"/>
      <c r="EVL12" s="27"/>
      <c r="EVR12" s="27"/>
      <c r="EVS12" s="27"/>
      <c r="EVT12" s="27"/>
      <c r="EVZ12" s="27"/>
      <c r="EWA12" s="27"/>
      <c r="EWB12" s="27"/>
      <c r="EWH12" s="27"/>
      <c r="EWI12" s="27"/>
      <c r="EWJ12" s="27"/>
      <c r="EWP12" s="27"/>
      <c r="EWQ12" s="27"/>
      <c r="EWR12" s="27"/>
      <c r="EWX12" s="27"/>
      <c r="EWY12" s="27"/>
      <c r="EWZ12" s="27"/>
      <c r="EXF12" s="27"/>
      <c r="EXG12" s="27"/>
      <c r="EXH12" s="27"/>
      <c r="EXN12" s="27"/>
      <c r="EXO12" s="27"/>
      <c r="EXP12" s="27"/>
      <c r="EXV12" s="27"/>
      <c r="EXW12" s="27"/>
      <c r="EXX12" s="27"/>
      <c r="EYD12" s="27"/>
      <c r="EYE12" s="27"/>
      <c r="EYF12" s="27"/>
      <c r="EYL12" s="27"/>
      <c r="EYM12" s="27"/>
      <c r="EYN12" s="27"/>
      <c r="EYT12" s="27"/>
      <c r="EYU12" s="27"/>
      <c r="EYV12" s="27"/>
      <c r="EZB12" s="27"/>
      <c r="EZC12" s="27"/>
      <c r="EZD12" s="27"/>
      <c r="EZJ12" s="27"/>
      <c r="EZK12" s="27"/>
      <c r="EZL12" s="27"/>
      <c r="EZR12" s="27"/>
      <c r="EZS12" s="27"/>
      <c r="EZT12" s="27"/>
      <c r="EZZ12" s="27"/>
      <c r="FAA12" s="27"/>
      <c r="FAB12" s="27"/>
      <c r="FAH12" s="27"/>
      <c r="FAI12" s="27"/>
      <c r="FAJ12" s="27"/>
      <c r="FAP12" s="27"/>
      <c r="FAQ12" s="27"/>
      <c r="FAR12" s="27"/>
      <c r="FAX12" s="27"/>
      <c r="FAY12" s="27"/>
      <c r="FAZ12" s="27"/>
      <c r="FBF12" s="27"/>
      <c r="FBG12" s="27"/>
      <c r="FBH12" s="27"/>
      <c r="FBN12" s="27"/>
      <c r="FBO12" s="27"/>
      <c r="FBP12" s="27"/>
      <c r="FBV12" s="27"/>
      <c r="FBW12" s="27"/>
      <c r="FBX12" s="27"/>
      <c r="FCD12" s="27"/>
      <c r="FCE12" s="27"/>
      <c r="FCF12" s="27"/>
      <c r="FCL12" s="27"/>
      <c r="FCM12" s="27"/>
      <c r="FCN12" s="27"/>
      <c r="FCT12" s="27"/>
      <c r="FCU12" s="27"/>
      <c r="FCV12" s="27"/>
      <c r="FDB12" s="27"/>
      <c r="FDC12" s="27"/>
      <c r="FDD12" s="27"/>
      <c r="FDJ12" s="27"/>
      <c r="FDK12" s="27"/>
      <c r="FDL12" s="27"/>
      <c r="FDR12" s="27"/>
      <c r="FDS12" s="27"/>
      <c r="FDT12" s="27"/>
      <c r="FDZ12" s="27"/>
      <c r="FEA12" s="27"/>
      <c r="FEB12" s="27"/>
      <c r="FEH12" s="27"/>
      <c r="FEI12" s="27"/>
      <c r="FEJ12" s="27"/>
      <c r="FEP12" s="27"/>
      <c r="FEQ12" s="27"/>
      <c r="FER12" s="27"/>
      <c r="FEX12" s="27"/>
      <c r="FEY12" s="27"/>
      <c r="FEZ12" s="27"/>
      <c r="FFF12" s="27"/>
      <c r="FFG12" s="27"/>
      <c r="FFH12" s="27"/>
      <c r="FFN12" s="27"/>
      <c r="FFO12" s="27"/>
      <c r="FFP12" s="27"/>
      <c r="FFV12" s="27"/>
      <c r="FFW12" s="27"/>
      <c r="FFX12" s="27"/>
      <c r="FGD12" s="27"/>
      <c r="FGE12" s="27"/>
      <c r="FGF12" s="27"/>
      <c r="FGL12" s="27"/>
      <c r="FGM12" s="27"/>
      <c r="FGN12" s="27"/>
      <c r="FGT12" s="27"/>
      <c r="FGU12" s="27"/>
      <c r="FGV12" s="27"/>
      <c r="FHB12" s="27"/>
      <c r="FHC12" s="27"/>
      <c r="FHD12" s="27"/>
      <c r="FHJ12" s="27"/>
      <c r="FHK12" s="27"/>
      <c r="FHL12" s="27"/>
      <c r="FHR12" s="27"/>
      <c r="FHS12" s="27"/>
      <c r="FHT12" s="27"/>
      <c r="FHZ12" s="27"/>
      <c r="FIA12" s="27"/>
      <c r="FIB12" s="27"/>
      <c r="FIH12" s="27"/>
      <c r="FII12" s="27"/>
      <c r="FIJ12" s="27"/>
      <c r="FIP12" s="27"/>
      <c r="FIQ12" s="27"/>
      <c r="FIR12" s="27"/>
      <c r="FIX12" s="27"/>
      <c r="FIY12" s="27"/>
      <c r="FIZ12" s="27"/>
      <c r="FJF12" s="27"/>
      <c r="FJG12" s="27"/>
      <c r="FJH12" s="27"/>
      <c r="FJN12" s="27"/>
      <c r="FJO12" s="27"/>
      <c r="FJP12" s="27"/>
      <c r="FJV12" s="27"/>
      <c r="FJW12" s="27"/>
      <c r="FJX12" s="27"/>
      <c r="FKD12" s="27"/>
      <c r="FKE12" s="27"/>
      <c r="FKF12" s="27"/>
      <c r="FKL12" s="27"/>
      <c r="FKM12" s="27"/>
      <c r="FKN12" s="27"/>
      <c r="FKT12" s="27"/>
      <c r="FKU12" s="27"/>
      <c r="FKV12" s="27"/>
      <c r="FLB12" s="27"/>
      <c r="FLC12" s="27"/>
      <c r="FLD12" s="27"/>
      <c r="FLJ12" s="27"/>
      <c r="FLK12" s="27"/>
      <c r="FLL12" s="27"/>
      <c r="FLR12" s="27"/>
      <c r="FLS12" s="27"/>
      <c r="FLT12" s="27"/>
      <c r="FLZ12" s="27"/>
      <c r="FMA12" s="27"/>
      <c r="FMB12" s="27"/>
      <c r="FMH12" s="27"/>
      <c r="FMI12" s="27"/>
      <c r="FMJ12" s="27"/>
      <c r="FMP12" s="27"/>
      <c r="FMQ12" s="27"/>
      <c r="FMR12" s="27"/>
      <c r="FMX12" s="27"/>
      <c r="FMY12" s="27"/>
      <c r="FMZ12" s="27"/>
      <c r="FNF12" s="27"/>
      <c r="FNG12" s="27"/>
      <c r="FNH12" s="27"/>
      <c r="FNN12" s="27"/>
      <c r="FNO12" s="27"/>
      <c r="FNP12" s="27"/>
      <c r="FNV12" s="27"/>
      <c r="FNW12" s="27"/>
      <c r="FNX12" s="27"/>
      <c r="FOD12" s="27"/>
      <c r="FOE12" s="27"/>
      <c r="FOF12" s="27"/>
      <c r="FOL12" s="27"/>
      <c r="FOM12" s="27"/>
      <c r="FON12" s="27"/>
      <c r="FOT12" s="27"/>
      <c r="FOU12" s="27"/>
      <c r="FOV12" s="27"/>
      <c r="FPB12" s="27"/>
      <c r="FPC12" s="27"/>
      <c r="FPD12" s="27"/>
      <c r="FPJ12" s="27"/>
      <c r="FPK12" s="27"/>
      <c r="FPL12" s="27"/>
      <c r="FPR12" s="27"/>
      <c r="FPS12" s="27"/>
      <c r="FPT12" s="27"/>
      <c r="FPZ12" s="27"/>
      <c r="FQA12" s="27"/>
      <c r="FQB12" s="27"/>
      <c r="FQH12" s="27"/>
      <c r="FQI12" s="27"/>
      <c r="FQJ12" s="27"/>
      <c r="FQP12" s="27"/>
      <c r="FQQ12" s="27"/>
      <c r="FQR12" s="27"/>
      <c r="FQX12" s="27"/>
      <c r="FQY12" s="27"/>
      <c r="FQZ12" s="27"/>
      <c r="FRF12" s="27"/>
      <c r="FRG12" s="27"/>
      <c r="FRH12" s="27"/>
      <c r="FRN12" s="27"/>
      <c r="FRO12" s="27"/>
      <c r="FRP12" s="27"/>
      <c r="FRV12" s="27"/>
      <c r="FRW12" s="27"/>
      <c r="FRX12" s="27"/>
      <c r="FSD12" s="27"/>
      <c r="FSE12" s="27"/>
      <c r="FSF12" s="27"/>
      <c r="FSL12" s="27"/>
      <c r="FSM12" s="27"/>
      <c r="FSN12" s="27"/>
      <c r="FST12" s="27"/>
      <c r="FSU12" s="27"/>
      <c r="FSV12" s="27"/>
      <c r="FTB12" s="27"/>
      <c r="FTC12" s="27"/>
      <c r="FTD12" s="27"/>
      <c r="FTJ12" s="27"/>
      <c r="FTK12" s="27"/>
      <c r="FTL12" s="27"/>
      <c r="FTR12" s="27"/>
      <c r="FTS12" s="27"/>
      <c r="FTT12" s="27"/>
      <c r="FTZ12" s="27"/>
      <c r="FUA12" s="27"/>
      <c r="FUB12" s="27"/>
      <c r="FUH12" s="27"/>
      <c r="FUI12" s="27"/>
      <c r="FUJ12" s="27"/>
      <c r="FUP12" s="27"/>
      <c r="FUQ12" s="27"/>
      <c r="FUR12" s="27"/>
      <c r="FUX12" s="27"/>
      <c r="FUY12" s="27"/>
      <c r="FUZ12" s="27"/>
      <c r="FVF12" s="27"/>
      <c r="FVG12" s="27"/>
      <c r="FVH12" s="27"/>
      <c r="FVN12" s="27"/>
      <c r="FVO12" s="27"/>
      <c r="FVP12" s="27"/>
      <c r="FVV12" s="27"/>
      <c r="FVW12" s="27"/>
      <c r="FVX12" s="27"/>
      <c r="FWD12" s="27"/>
      <c r="FWE12" s="27"/>
      <c r="FWF12" s="27"/>
      <c r="FWL12" s="27"/>
      <c r="FWM12" s="27"/>
      <c r="FWN12" s="27"/>
      <c r="FWT12" s="27"/>
      <c r="FWU12" s="27"/>
      <c r="FWV12" s="27"/>
      <c r="FXB12" s="27"/>
      <c r="FXC12" s="27"/>
      <c r="FXD12" s="27"/>
      <c r="FXJ12" s="27"/>
      <c r="FXK12" s="27"/>
      <c r="FXL12" s="27"/>
      <c r="FXR12" s="27"/>
      <c r="FXS12" s="27"/>
      <c r="FXT12" s="27"/>
      <c r="FXZ12" s="27"/>
      <c r="FYA12" s="27"/>
      <c r="FYB12" s="27"/>
      <c r="FYH12" s="27"/>
      <c r="FYI12" s="27"/>
      <c r="FYJ12" s="27"/>
      <c r="FYP12" s="27"/>
      <c r="FYQ12" s="27"/>
      <c r="FYR12" s="27"/>
      <c r="FYX12" s="27"/>
      <c r="FYY12" s="27"/>
      <c r="FYZ12" s="27"/>
      <c r="FZF12" s="27"/>
      <c r="FZG12" s="27"/>
      <c r="FZH12" s="27"/>
      <c r="FZN12" s="27"/>
      <c r="FZO12" s="27"/>
      <c r="FZP12" s="27"/>
      <c r="FZV12" s="27"/>
      <c r="FZW12" s="27"/>
      <c r="FZX12" s="27"/>
      <c r="GAD12" s="27"/>
      <c r="GAE12" s="27"/>
      <c r="GAF12" s="27"/>
      <c r="GAL12" s="27"/>
      <c r="GAM12" s="27"/>
      <c r="GAN12" s="27"/>
      <c r="GAT12" s="27"/>
      <c r="GAU12" s="27"/>
      <c r="GAV12" s="27"/>
      <c r="GBB12" s="27"/>
      <c r="GBC12" s="27"/>
      <c r="GBD12" s="27"/>
      <c r="GBJ12" s="27"/>
      <c r="GBK12" s="27"/>
      <c r="GBL12" s="27"/>
      <c r="GBR12" s="27"/>
      <c r="GBS12" s="27"/>
      <c r="GBT12" s="27"/>
      <c r="GBZ12" s="27"/>
      <c r="GCA12" s="27"/>
      <c r="GCB12" s="27"/>
      <c r="GCH12" s="27"/>
      <c r="GCI12" s="27"/>
      <c r="GCJ12" s="27"/>
      <c r="GCP12" s="27"/>
      <c r="GCQ12" s="27"/>
      <c r="GCR12" s="27"/>
      <c r="GCX12" s="27"/>
      <c r="GCY12" s="27"/>
      <c r="GCZ12" s="27"/>
      <c r="GDF12" s="27"/>
      <c r="GDG12" s="27"/>
      <c r="GDH12" s="27"/>
      <c r="GDN12" s="27"/>
      <c r="GDO12" s="27"/>
      <c r="GDP12" s="27"/>
      <c r="GDV12" s="27"/>
      <c r="GDW12" s="27"/>
      <c r="GDX12" s="27"/>
      <c r="GED12" s="27"/>
      <c r="GEE12" s="27"/>
      <c r="GEF12" s="27"/>
      <c r="GEL12" s="27"/>
      <c r="GEM12" s="27"/>
      <c r="GEN12" s="27"/>
      <c r="GET12" s="27"/>
      <c r="GEU12" s="27"/>
      <c r="GEV12" s="27"/>
      <c r="GFB12" s="27"/>
      <c r="GFC12" s="27"/>
      <c r="GFD12" s="27"/>
      <c r="GFJ12" s="27"/>
      <c r="GFK12" s="27"/>
      <c r="GFL12" s="27"/>
      <c r="GFR12" s="27"/>
      <c r="GFS12" s="27"/>
      <c r="GFT12" s="27"/>
      <c r="GFZ12" s="27"/>
      <c r="GGA12" s="27"/>
      <c r="GGB12" s="27"/>
      <c r="GGH12" s="27"/>
      <c r="GGI12" s="27"/>
      <c r="GGJ12" s="27"/>
      <c r="GGP12" s="27"/>
      <c r="GGQ12" s="27"/>
      <c r="GGR12" s="27"/>
      <c r="GGX12" s="27"/>
      <c r="GGY12" s="27"/>
      <c r="GGZ12" s="27"/>
      <c r="GHF12" s="27"/>
      <c r="GHG12" s="27"/>
      <c r="GHH12" s="27"/>
      <c r="GHN12" s="27"/>
      <c r="GHO12" s="27"/>
      <c r="GHP12" s="27"/>
      <c r="GHV12" s="27"/>
      <c r="GHW12" s="27"/>
      <c r="GHX12" s="27"/>
      <c r="GID12" s="27"/>
      <c r="GIE12" s="27"/>
      <c r="GIF12" s="27"/>
      <c r="GIL12" s="27"/>
      <c r="GIM12" s="27"/>
      <c r="GIN12" s="27"/>
      <c r="GIT12" s="27"/>
      <c r="GIU12" s="27"/>
      <c r="GIV12" s="27"/>
      <c r="GJB12" s="27"/>
      <c r="GJC12" s="27"/>
      <c r="GJD12" s="27"/>
      <c r="GJJ12" s="27"/>
      <c r="GJK12" s="27"/>
      <c r="GJL12" s="27"/>
      <c r="GJR12" s="27"/>
      <c r="GJS12" s="27"/>
      <c r="GJT12" s="27"/>
      <c r="GJZ12" s="27"/>
      <c r="GKA12" s="27"/>
      <c r="GKB12" s="27"/>
      <c r="GKH12" s="27"/>
      <c r="GKI12" s="27"/>
      <c r="GKJ12" s="27"/>
      <c r="GKP12" s="27"/>
      <c r="GKQ12" s="27"/>
      <c r="GKR12" s="27"/>
      <c r="GKX12" s="27"/>
      <c r="GKY12" s="27"/>
      <c r="GKZ12" s="27"/>
      <c r="GLF12" s="27"/>
      <c r="GLG12" s="27"/>
      <c r="GLH12" s="27"/>
      <c r="GLN12" s="27"/>
      <c r="GLO12" s="27"/>
      <c r="GLP12" s="27"/>
      <c r="GLV12" s="27"/>
      <c r="GLW12" s="27"/>
      <c r="GLX12" s="27"/>
      <c r="GMD12" s="27"/>
      <c r="GME12" s="27"/>
      <c r="GMF12" s="27"/>
      <c r="GML12" s="27"/>
      <c r="GMM12" s="27"/>
      <c r="GMN12" s="27"/>
      <c r="GMT12" s="27"/>
      <c r="GMU12" s="27"/>
      <c r="GMV12" s="27"/>
      <c r="GNB12" s="27"/>
      <c r="GNC12" s="27"/>
      <c r="GND12" s="27"/>
      <c r="GNJ12" s="27"/>
      <c r="GNK12" s="27"/>
      <c r="GNL12" s="27"/>
      <c r="GNR12" s="27"/>
      <c r="GNS12" s="27"/>
      <c r="GNT12" s="27"/>
      <c r="GNZ12" s="27"/>
      <c r="GOA12" s="27"/>
      <c r="GOB12" s="27"/>
      <c r="GOH12" s="27"/>
      <c r="GOI12" s="27"/>
      <c r="GOJ12" s="27"/>
      <c r="GOP12" s="27"/>
      <c r="GOQ12" s="27"/>
      <c r="GOR12" s="27"/>
      <c r="GOX12" s="27"/>
      <c r="GOY12" s="27"/>
      <c r="GOZ12" s="27"/>
      <c r="GPF12" s="27"/>
      <c r="GPG12" s="27"/>
      <c r="GPH12" s="27"/>
      <c r="GPN12" s="27"/>
      <c r="GPO12" s="27"/>
      <c r="GPP12" s="27"/>
      <c r="GPV12" s="27"/>
      <c r="GPW12" s="27"/>
      <c r="GPX12" s="27"/>
      <c r="GQD12" s="27"/>
      <c r="GQE12" s="27"/>
      <c r="GQF12" s="27"/>
      <c r="GQL12" s="27"/>
      <c r="GQM12" s="27"/>
      <c r="GQN12" s="27"/>
      <c r="GQT12" s="27"/>
      <c r="GQU12" s="27"/>
      <c r="GQV12" s="27"/>
      <c r="GRB12" s="27"/>
      <c r="GRC12" s="27"/>
      <c r="GRD12" s="27"/>
      <c r="GRJ12" s="27"/>
      <c r="GRK12" s="27"/>
      <c r="GRL12" s="27"/>
      <c r="GRR12" s="27"/>
      <c r="GRS12" s="27"/>
      <c r="GRT12" s="27"/>
      <c r="GRZ12" s="27"/>
      <c r="GSA12" s="27"/>
      <c r="GSB12" s="27"/>
      <c r="GSH12" s="27"/>
      <c r="GSI12" s="27"/>
      <c r="GSJ12" s="27"/>
      <c r="GSP12" s="27"/>
      <c r="GSQ12" s="27"/>
      <c r="GSR12" s="27"/>
      <c r="GSX12" s="27"/>
      <c r="GSY12" s="27"/>
      <c r="GSZ12" s="27"/>
      <c r="GTF12" s="27"/>
      <c r="GTG12" s="27"/>
      <c r="GTH12" s="27"/>
      <c r="GTN12" s="27"/>
      <c r="GTO12" s="27"/>
      <c r="GTP12" s="27"/>
      <c r="GTV12" s="27"/>
      <c r="GTW12" s="27"/>
      <c r="GTX12" s="27"/>
      <c r="GUD12" s="27"/>
      <c r="GUE12" s="27"/>
      <c r="GUF12" s="27"/>
      <c r="GUL12" s="27"/>
      <c r="GUM12" s="27"/>
      <c r="GUN12" s="27"/>
      <c r="GUT12" s="27"/>
      <c r="GUU12" s="27"/>
      <c r="GUV12" s="27"/>
      <c r="GVB12" s="27"/>
      <c r="GVC12" s="27"/>
      <c r="GVD12" s="27"/>
      <c r="GVJ12" s="27"/>
      <c r="GVK12" s="27"/>
      <c r="GVL12" s="27"/>
      <c r="GVR12" s="27"/>
      <c r="GVS12" s="27"/>
      <c r="GVT12" s="27"/>
      <c r="GVZ12" s="27"/>
      <c r="GWA12" s="27"/>
      <c r="GWB12" s="27"/>
      <c r="GWH12" s="27"/>
      <c r="GWI12" s="27"/>
      <c r="GWJ12" s="27"/>
      <c r="GWP12" s="27"/>
      <c r="GWQ12" s="27"/>
      <c r="GWR12" s="27"/>
      <c r="GWX12" s="27"/>
      <c r="GWY12" s="27"/>
      <c r="GWZ12" s="27"/>
      <c r="GXF12" s="27"/>
      <c r="GXG12" s="27"/>
      <c r="GXH12" s="27"/>
      <c r="GXN12" s="27"/>
      <c r="GXO12" s="27"/>
      <c r="GXP12" s="27"/>
      <c r="GXV12" s="27"/>
      <c r="GXW12" s="27"/>
      <c r="GXX12" s="27"/>
      <c r="GYD12" s="27"/>
      <c r="GYE12" s="27"/>
      <c r="GYF12" s="27"/>
      <c r="GYL12" s="27"/>
      <c r="GYM12" s="27"/>
      <c r="GYN12" s="27"/>
      <c r="GYT12" s="27"/>
      <c r="GYU12" s="27"/>
      <c r="GYV12" s="27"/>
      <c r="GZB12" s="27"/>
      <c r="GZC12" s="27"/>
      <c r="GZD12" s="27"/>
      <c r="GZJ12" s="27"/>
      <c r="GZK12" s="27"/>
      <c r="GZL12" s="27"/>
      <c r="GZR12" s="27"/>
      <c r="GZS12" s="27"/>
      <c r="GZT12" s="27"/>
      <c r="GZZ12" s="27"/>
      <c r="HAA12" s="27"/>
      <c r="HAB12" s="27"/>
      <c r="HAH12" s="27"/>
      <c r="HAI12" s="27"/>
      <c r="HAJ12" s="27"/>
      <c r="HAP12" s="27"/>
      <c r="HAQ12" s="27"/>
      <c r="HAR12" s="27"/>
      <c r="HAX12" s="27"/>
      <c r="HAY12" s="27"/>
      <c r="HAZ12" s="27"/>
      <c r="HBF12" s="27"/>
      <c r="HBG12" s="27"/>
      <c r="HBH12" s="27"/>
      <c r="HBN12" s="27"/>
      <c r="HBO12" s="27"/>
      <c r="HBP12" s="27"/>
      <c r="HBV12" s="27"/>
      <c r="HBW12" s="27"/>
      <c r="HBX12" s="27"/>
      <c r="HCD12" s="27"/>
      <c r="HCE12" s="27"/>
      <c r="HCF12" s="27"/>
      <c r="HCL12" s="27"/>
      <c r="HCM12" s="27"/>
      <c r="HCN12" s="27"/>
      <c r="HCT12" s="27"/>
      <c r="HCU12" s="27"/>
      <c r="HCV12" s="27"/>
      <c r="HDB12" s="27"/>
      <c r="HDC12" s="27"/>
      <c r="HDD12" s="27"/>
      <c r="HDJ12" s="27"/>
      <c r="HDK12" s="27"/>
      <c r="HDL12" s="27"/>
      <c r="HDR12" s="27"/>
      <c r="HDS12" s="27"/>
      <c r="HDT12" s="27"/>
      <c r="HDZ12" s="27"/>
      <c r="HEA12" s="27"/>
      <c r="HEB12" s="27"/>
      <c r="HEH12" s="27"/>
      <c r="HEI12" s="27"/>
      <c r="HEJ12" s="27"/>
      <c r="HEP12" s="27"/>
      <c r="HEQ12" s="27"/>
      <c r="HER12" s="27"/>
      <c r="HEX12" s="27"/>
      <c r="HEY12" s="27"/>
      <c r="HEZ12" s="27"/>
      <c r="HFF12" s="27"/>
      <c r="HFG12" s="27"/>
      <c r="HFH12" s="27"/>
      <c r="HFN12" s="27"/>
      <c r="HFO12" s="27"/>
      <c r="HFP12" s="27"/>
      <c r="HFV12" s="27"/>
      <c r="HFW12" s="27"/>
      <c r="HFX12" s="27"/>
      <c r="HGD12" s="27"/>
      <c r="HGE12" s="27"/>
      <c r="HGF12" s="27"/>
      <c r="HGL12" s="27"/>
      <c r="HGM12" s="27"/>
      <c r="HGN12" s="27"/>
      <c r="HGT12" s="27"/>
      <c r="HGU12" s="27"/>
      <c r="HGV12" s="27"/>
      <c r="HHB12" s="27"/>
      <c r="HHC12" s="27"/>
      <c r="HHD12" s="27"/>
      <c r="HHJ12" s="27"/>
      <c r="HHK12" s="27"/>
      <c r="HHL12" s="27"/>
      <c r="HHR12" s="27"/>
      <c r="HHS12" s="27"/>
      <c r="HHT12" s="27"/>
      <c r="HHZ12" s="27"/>
      <c r="HIA12" s="27"/>
      <c r="HIB12" s="27"/>
      <c r="HIH12" s="27"/>
      <c r="HII12" s="27"/>
      <c r="HIJ12" s="27"/>
      <c r="HIP12" s="27"/>
      <c r="HIQ12" s="27"/>
      <c r="HIR12" s="27"/>
      <c r="HIX12" s="27"/>
      <c r="HIY12" s="27"/>
      <c r="HIZ12" s="27"/>
      <c r="HJF12" s="27"/>
      <c r="HJG12" s="27"/>
      <c r="HJH12" s="27"/>
      <c r="HJN12" s="27"/>
      <c r="HJO12" s="27"/>
      <c r="HJP12" s="27"/>
      <c r="HJV12" s="27"/>
      <c r="HJW12" s="27"/>
      <c r="HJX12" s="27"/>
      <c r="HKD12" s="27"/>
      <c r="HKE12" s="27"/>
      <c r="HKF12" s="27"/>
      <c r="HKL12" s="27"/>
      <c r="HKM12" s="27"/>
      <c r="HKN12" s="27"/>
      <c r="HKT12" s="27"/>
      <c r="HKU12" s="27"/>
      <c r="HKV12" s="27"/>
      <c r="HLB12" s="27"/>
      <c r="HLC12" s="27"/>
      <c r="HLD12" s="27"/>
      <c r="HLJ12" s="27"/>
      <c r="HLK12" s="27"/>
      <c r="HLL12" s="27"/>
      <c r="HLR12" s="27"/>
      <c r="HLS12" s="27"/>
      <c r="HLT12" s="27"/>
      <c r="HLZ12" s="27"/>
      <c r="HMA12" s="27"/>
      <c r="HMB12" s="27"/>
      <c r="HMH12" s="27"/>
      <c r="HMI12" s="27"/>
      <c r="HMJ12" s="27"/>
      <c r="HMP12" s="27"/>
      <c r="HMQ12" s="27"/>
      <c r="HMR12" s="27"/>
      <c r="HMX12" s="27"/>
      <c r="HMY12" s="27"/>
      <c r="HMZ12" s="27"/>
      <c r="HNF12" s="27"/>
      <c r="HNG12" s="27"/>
      <c r="HNH12" s="27"/>
      <c r="HNN12" s="27"/>
      <c r="HNO12" s="27"/>
      <c r="HNP12" s="27"/>
      <c r="HNV12" s="27"/>
      <c r="HNW12" s="27"/>
      <c r="HNX12" s="27"/>
      <c r="HOD12" s="27"/>
      <c r="HOE12" s="27"/>
      <c r="HOF12" s="27"/>
      <c r="HOL12" s="27"/>
      <c r="HOM12" s="27"/>
      <c r="HON12" s="27"/>
      <c r="HOT12" s="27"/>
      <c r="HOU12" s="27"/>
      <c r="HOV12" s="27"/>
      <c r="HPB12" s="27"/>
      <c r="HPC12" s="27"/>
      <c r="HPD12" s="27"/>
      <c r="HPJ12" s="27"/>
      <c r="HPK12" s="27"/>
      <c r="HPL12" s="27"/>
      <c r="HPR12" s="27"/>
      <c r="HPS12" s="27"/>
      <c r="HPT12" s="27"/>
      <c r="HPZ12" s="27"/>
      <c r="HQA12" s="27"/>
      <c r="HQB12" s="27"/>
      <c r="HQH12" s="27"/>
      <c r="HQI12" s="27"/>
      <c r="HQJ12" s="27"/>
      <c r="HQP12" s="27"/>
      <c r="HQQ12" s="27"/>
      <c r="HQR12" s="27"/>
      <c r="HQX12" s="27"/>
      <c r="HQY12" s="27"/>
      <c r="HQZ12" s="27"/>
      <c r="HRF12" s="27"/>
      <c r="HRG12" s="27"/>
      <c r="HRH12" s="27"/>
      <c r="HRN12" s="27"/>
      <c r="HRO12" s="27"/>
      <c r="HRP12" s="27"/>
      <c r="HRV12" s="27"/>
      <c r="HRW12" s="27"/>
      <c r="HRX12" s="27"/>
      <c r="HSD12" s="27"/>
      <c r="HSE12" s="27"/>
      <c r="HSF12" s="27"/>
      <c r="HSL12" s="27"/>
      <c r="HSM12" s="27"/>
      <c r="HSN12" s="27"/>
      <c r="HST12" s="27"/>
      <c r="HSU12" s="27"/>
      <c r="HSV12" s="27"/>
      <c r="HTB12" s="27"/>
      <c r="HTC12" s="27"/>
      <c r="HTD12" s="27"/>
      <c r="HTJ12" s="27"/>
      <c r="HTK12" s="27"/>
      <c r="HTL12" s="27"/>
      <c r="HTR12" s="27"/>
      <c r="HTS12" s="27"/>
      <c r="HTT12" s="27"/>
      <c r="HTZ12" s="27"/>
      <c r="HUA12" s="27"/>
      <c r="HUB12" s="27"/>
      <c r="HUH12" s="27"/>
      <c r="HUI12" s="27"/>
      <c r="HUJ12" s="27"/>
      <c r="HUP12" s="27"/>
      <c r="HUQ12" s="27"/>
      <c r="HUR12" s="27"/>
      <c r="HUX12" s="27"/>
      <c r="HUY12" s="27"/>
      <c r="HUZ12" s="27"/>
      <c r="HVF12" s="27"/>
      <c r="HVG12" s="27"/>
      <c r="HVH12" s="27"/>
      <c r="HVN12" s="27"/>
      <c r="HVO12" s="27"/>
      <c r="HVP12" s="27"/>
      <c r="HVV12" s="27"/>
      <c r="HVW12" s="27"/>
      <c r="HVX12" s="27"/>
      <c r="HWD12" s="27"/>
      <c r="HWE12" s="27"/>
      <c r="HWF12" s="27"/>
      <c r="HWL12" s="27"/>
      <c r="HWM12" s="27"/>
      <c r="HWN12" s="27"/>
      <c r="HWT12" s="27"/>
      <c r="HWU12" s="27"/>
      <c r="HWV12" s="27"/>
      <c r="HXB12" s="27"/>
      <c r="HXC12" s="27"/>
      <c r="HXD12" s="27"/>
      <c r="HXJ12" s="27"/>
      <c r="HXK12" s="27"/>
      <c r="HXL12" s="27"/>
      <c r="HXR12" s="27"/>
      <c r="HXS12" s="27"/>
      <c r="HXT12" s="27"/>
      <c r="HXZ12" s="27"/>
      <c r="HYA12" s="27"/>
      <c r="HYB12" s="27"/>
      <c r="HYH12" s="27"/>
      <c r="HYI12" s="27"/>
      <c r="HYJ12" s="27"/>
      <c r="HYP12" s="27"/>
      <c r="HYQ12" s="27"/>
      <c r="HYR12" s="27"/>
      <c r="HYX12" s="27"/>
      <c r="HYY12" s="27"/>
      <c r="HYZ12" s="27"/>
      <c r="HZF12" s="27"/>
      <c r="HZG12" s="27"/>
      <c r="HZH12" s="27"/>
      <c r="HZN12" s="27"/>
      <c r="HZO12" s="27"/>
      <c r="HZP12" s="27"/>
      <c r="HZV12" s="27"/>
      <c r="HZW12" s="27"/>
      <c r="HZX12" s="27"/>
      <c r="IAD12" s="27"/>
      <c r="IAE12" s="27"/>
      <c r="IAF12" s="27"/>
      <c r="IAL12" s="27"/>
      <c r="IAM12" s="27"/>
      <c r="IAN12" s="27"/>
      <c r="IAT12" s="27"/>
      <c r="IAU12" s="27"/>
      <c r="IAV12" s="27"/>
      <c r="IBB12" s="27"/>
      <c r="IBC12" s="27"/>
      <c r="IBD12" s="27"/>
      <c r="IBJ12" s="27"/>
      <c r="IBK12" s="27"/>
      <c r="IBL12" s="27"/>
      <c r="IBR12" s="27"/>
      <c r="IBS12" s="27"/>
      <c r="IBT12" s="27"/>
      <c r="IBZ12" s="27"/>
      <c r="ICA12" s="27"/>
      <c r="ICB12" s="27"/>
      <c r="ICH12" s="27"/>
      <c r="ICI12" s="27"/>
      <c r="ICJ12" s="27"/>
      <c r="ICP12" s="27"/>
      <c r="ICQ12" s="27"/>
      <c r="ICR12" s="27"/>
      <c r="ICX12" s="27"/>
      <c r="ICY12" s="27"/>
      <c r="ICZ12" s="27"/>
      <c r="IDF12" s="27"/>
      <c r="IDG12" s="27"/>
      <c r="IDH12" s="27"/>
      <c r="IDN12" s="27"/>
      <c r="IDO12" s="27"/>
      <c r="IDP12" s="27"/>
      <c r="IDV12" s="27"/>
      <c r="IDW12" s="27"/>
      <c r="IDX12" s="27"/>
      <c r="IED12" s="27"/>
      <c r="IEE12" s="27"/>
      <c r="IEF12" s="27"/>
      <c r="IEL12" s="27"/>
      <c r="IEM12" s="27"/>
      <c r="IEN12" s="27"/>
      <c r="IET12" s="27"/>
      <c r="IEU12" s="27"/>
      <c r="IEV12" s="27"/>
      <c r="IFB12" s="27"/>
      <c r="IFC12" s="27"/>
      <c r="IFD12" s="27"/>
      <c r="IFJ12" s="27"/>
      <c r="IFK12" s="27"/>
      <c r="IFL12" s="27"/>
      <c r="IFR12" s="27"/>
      <c r="IFS12" s="27"/>
      <c r="IFT12" s="27"/>
      <c r="IFZ12" s="27"/>
      <c r="IGA12" s="27"/>
      <c r="IGB12" s="27"/>
      <c r="IGH12" s="27"/>
      <c r="IGI12" s="27"/>
      <c r="IGJ12" s="27"/>
      <c r="IGP12" s="27"/>
      <c r="IGQ12" s="27"/>
      <c r="IGR12" s="27"/>
      <c r="IGX12" s="27"/>
      <c r="IGY12" s="27"/>
      <c r="IGZ12" s="27"/>
      <c r="IHF12" s="27"/>
      <c r="IHG12" s="27"/>
      <c r="IHH12" s="27"/>
      <c r="IHN12" s="27"/>
      <c r="IHO12" s="27"/>
      <c r="IHP12" s="27"/>
      <c r="IHV12" s="27"/>
      <c r="IHW12" s="27"/>
      <c r="IHX12" s="27"/>
      <c r="IID12" s="27"/>
      <c r="IIE12" s="27"/>
      <c r="IIF12" s="27"/>
      <c r="IIL12" s="27"/>
      <c r="IIM12" s="27"/>
      <c r="IIN12" s="27"/>
      <c r="IIT12" s="27"/>
      <c r="IIU12" s="27"/>
      <c r="IIV12" s="27"/>
      <c r="IJB12" s="27"/>
      <c r="IJC12" s="27"/>
      <c r="IJD12" s="27"/>
      <c r="IJJ12" s="27"/>
      <c r="IJK12" s="27"/>
      <c r="IJL12" s="27"/>
      <c r="IJR12" s="27"/>
      <c r="IJS12" s="27"/>
      <c r="IJT12" s="27"/>
      <c r="IJZ12" s="27"/>
      <c r="IKA12" s="27"/>
      <c r="IKB12" s="27"/>
      <c r="IKH12" s="27"/>
      <c r="IKI12" s="27"/>
      <c r="IKJ12" s="27"/>
      <c r="IKP12" s="27"/>
      <c r="IKQ12" s="27"/>
      <c r="IKR12" s="27"/>
      <c r="IKX12" s="27"/>
      <c r="IKY12" s="27"/>
      <c r="IKZ12" s="27"/>
      <c r="ILF12" s="27"/>
      <c r="ILG12" s="27"/>
      <c r="ILH12" s="27"/>
      <c r="ILN12" s="27"/>
      <c r="ILO12" s="27"/>
      <c r="ILP12" s="27"/>
      <c r="ILV12" s="27"/>
      <c r="ILW12" s="27"/>
      <c r="ILX12" s="27"/>
      <c r="IMD12" s="27"/>
      <c r="IME12" s="27"/>
      <c r="IMF12" s="27"/>
      <c r="IML12" s="27"/>
      <c r="IMM12" s="27"/>
      <c r="IMN12" s="27"/>
      <c r="IMT12" s="27"/>
      <c r="IMU12" s="27"/>
      <c r="IMV12" s="27"/>
      <c r="INB12" s="27"/>
      <c r="INC12" s="27"/>
      <c r="IND12" s="27"/>
      <c r="INJ12" s="27"/>
      <c r="INK12" s="27"/>
      <c r="INL12" s="27"/>
      <c r="INR12" s="27"/>
      <c r="INS12" s="27"/>
      <c r="INT12" s="27"/>
      <c r="INZ12" s="27"/>
      <c r="IOA12" s="27"/>
      <c r="IOB12" s="27"/>
      <c r="IOH12" s="27"/>
      <c r="IOI12" s="27"/>
      <c r="IOJ12" s="27"/>
      <c r="IOP12" s="27"/>
      <c r="IOQ12" s="27"/>
      <c r="IOR12" s="27"/>
      <c r="IOX12" s="27"/>
      <c r="IOY12" s="27"/>
      <c r="IOZ12" s="27"/>
      <c r="IPF12" s="27"/>
      <c r="IPG12" s="27"/>
      <c r="IPH12" s="27"/>
      <c r="IPN12" s="27"/>
      <c r="IPO12" s="27"/>
      <c r="IPP12" s="27"/>
      <c r="IPV12" s="27"/>
      <c r="IPW12" s="27"/>
      <c r="IPX12" s="27"/>
      <c r="IQD12" s="27"/>
      <c r="IQE12" s="27"/>
      <c r="IQF12" s="27"/>
      <c r="IQL12" s="27"/>
      <c r="IQM12" s="27"/>
      <c r="IQN12" s="27"/>
      <c r="IQT12" s="27"/>
      <c r="IQU12" s="27"/>
      <c r="IQV12" s="27"/>
      <c r="IRB12" s="27"/>
      <c r="IRC12" s="27"/>
      <c r="IRD12" s="27"/>
      <c r="IRJ12" s="27"/>
      <c r="IRK12" s="27"/>
      <c r="IRL12" s="27"/>
      <c r="IRR12" s="27"/>
      <c r="IRS12" s="27"/>
      <c r="IRT12" s="27"/>
      <c r="IRZ12" s="27"/>
      <c r="ISA12" s="27"/>
      <c r="ISB12" s="27"/>
      <c r="ISH12" s="27"/>
      <c r="ISI12" s="27"/>
      <c r="ISJ12" s="27"/>
      <c r="ISP12" s="27"/>
      <c r="ISQ12" s="27"/>
      <c r="ISR12" s="27"/>
      <c r="ISX12" s="27"/>
      <c r="ISY12" s="27"/>
      <c r="ISZ12" s="27"/>
      <c r="ITF12" s="27"/>
      <c r="ITG12" s="27"/>
      <c r="ITH12" s="27"/>
      <c r="ITN12" s="27"/>
      <c r="ITO12" s="27"/>
      <c r="ITP12" s="27"/>
      <c r="ITV12" s="27"/>
      <c r="ITW12" s="27"/>
      <c r="ITX12" s="27"/>
      <c r="IUD12" s="27"/>
      <c r="IUE12" s="27"/>
      <c r="IUF12" s="27"/>
      <c r="IUL12" s="27"/>
      <c r="IUM12" s="27"/>
      <c r="IUN12" s="27"/>
      <c r="IUT12" s="27"/>
      <c r="IUU12" s="27"/>
      <c r="IUV12" s="27"/>
      <c r="IVB12" s="27"/>
      <c r="IVC12" s="27"/>
      <c r="IVD12" s="27"/>
      <c r="IVJ12" s="27"/>
      <c r="IVK12" s="27"/>
      <c r="IVL12" s="27"/>
      <c r="IVR12" s="27"/>
      <c r="IVS12" s="27"/>
      <c r="IVT12" s="27"/>
      <c r="IVZ12" s="27"/>
      <c r="IWA12" s="27"/>
      <c r="IWB12" s="27"/>
      <c r="IWH12" s="27"/>
      <c r="IWI12" s="27"/>
      <c r="IWJ12" s="27"/>
      <c r="IWP12" s="27"/>
      <c r="IWQ12" s="27"/>
      <c r="IWR12" s="27"/>
      <c r="IWX12" s="27"/>
      <c r="IWY12" s="27"/>
      <c r="IWZ12" s="27"/>
      <c r="IXF12" s="27"/>
      <c r="IXG12" s="27"/>
      <c r="IXH12" s="27"/>
      <c r="IXN12" s="27"/>
      <c r="IXO12" s="27"/>
      <c r="IXP12" s="27"/>
      <c r="IXV12" s="27"/>
      <c r="IXW12" s="27"/>
      <c r="IXX12" s="27"/>
      <c r="IYD12" s="27"/>
      <c r="IYE12" s="27"/>
      <c r="IYF12" s="27"/>
      <c r="IYL12" s="27"/>
      <c r="IYM12" s="27"/>
      <c r="IYN12" s="27"/>
      <c r="IYT12" s="27"/>
      <c r="IYU12" s="27"/>
      <c r="IYV12" s="27"/>
      <c r="IZB12" s="27"/>
      <c r="IZC12" s="27"/>
      <c r="IZD12" s="27"/>
      <c r="IZJ12" s="27"/>
      <c r="IZK12" s="27"/>
      <c r="IZL12" s="27"/>
      <c r="IZR12" s="27"/>
      <c r="IZS12" s="27"/>
      <c r="IZT12" s="27"/>
      <c r="IZZ12" s="27"/>
      <c r="JAA12" s="27"/>
      <c r="JAB12" s="27"/>
      <c r="JAH12" s="27"/>
      <c r="JAI12" s="27"/>
      <c r="JAJ12" s="27"/>
      <c r="JAP12" s="27"/>
      <c r="JAQ12" s="27"/>
      <c r="JAR12" s="27"/>
      <c r="JAX12" s="27"/>
      <c r="JAY12" s="27"/>
      <c r="JAZ12" s="27"/>
      <c r="JBF12" s="27"/>
      <c r="JBG12" s="27"/>
      <c r="JBH12" s="27"/>
      <c r="JBN12" s="27"/>
      <c r="JBO12" s="27"/>
      <c r="JBP12" s="27"/>
      <c r="JBV12" s="27"/>
      <c r="JBW12" s="27"/>
      <c r="JBX12" s="27"/>
      <c r="JCD12" s="27"/>
      <c r="JCE12" s="27"/>
      <c r="JCF12" s="27"/>
      <c r="JCL12" s="27"/>
      <c r="JCM12" s="27"/>
      <c r="JCN12" s="27"/>
      <c r="JCT12" s="27"/>
      <c r="JCU12" s="27"/>
      <c r="JCV12" s="27"/>
      <c r="JDB12" s="27"/>
      <c r="JDC12" s="27"/>
      <c r="JDD12" s="27"/>
      <c r="JDJ12" s="27"/>
      <c r="JDK12" s="27"/>
      <c r="JDL12" s="27"/>
      <c r="JDR12" s="27"/>
      <c r="JDS12" s="27"/>
      <c r="JDT12" s="27"/>
      <c r="JDZ12" s="27"/>
      <c r="JEA12" s="27"/>
      <c r="JEB12" s="27"/>
      <c r="JEH12" s="27"/>
      <c r="JEI12" s="27"/>
      <c r="JEJ12" s="27"/>
      <c r="JEP12" s="27"/>
      <c r="JEQ12" s="27"/>
      <c r="JER12" s="27"/>
      <c r="JEX12" s="27"/>
      <c r="JEY12" s="27"/>
      <c r="JEZ12" s="27"/>
      <c r="JFF12" s="27"/>
      <c r="JFG12" s="27"/>
      <c r="JFH12" s="27"/>
      <c r="JFN12" s="27"/>
      <c r="JFO12" s="27"/>
      <c r="JFP12" s="27"/>
      <c r="JFV12" s="27"/>
      <c r="JFW12" s="27"/>
      <c r="JFX12" s="27"/>
      <c r="JGD12" s="27"/>
      <c r="JGE12" s="27"/>
      <c r="JGF12" s="27"/>
      <c r="JGL12" s="27"/>
      <c r="JGM12" s="27"/>
      <c r="JGN12" s="27"/>
      <c r="JGT12" s="27"/>
      <c r="JGU12" s="27"/>
      <c r="JGV12" s="27"/>
      <c r="JHB12" s="27"/>
      <c r="JHC12" s="27"/>
      <c r="JHD12" s="27"/>
      <c r="JHJ12" s="27"/>
      <c r="JHK12" s="27"/>
      <c r="JHL12" s="27"/>
      <c r="JHR12" s="27"/>
      <c r="JHS12" s="27"/>
      <c r="JHT12" s="27"/>
      <c r="JHZ12" s="27"/>
      <c r="JIA12" s="27"/>
      <c r="JIB12" s="27"/>
      <c r="JIH12" s="27"/>
      <c r="JII12" s="27"/>
      <c r="JIJ12" s="27"/>
      <c r="JIP12" s="27"/>
      <c r="JIQ12" s="27"/>
      <c r="JIR12" s="27"/>
      <c r="JIX12" s="27"/>
      <c r="JIY12" s="27"/>
      <c r="JIZ12" s="27"/>
      <c r="JJF12" s="27"/>
      <c r="JJG12" s="27"/>
      <c r="JJH12" s="27"/>
      <c r="JJN12" s="27"/>
      <c r="JJO12" s="27"/>
      <c r="JJP12" s="27"/>
      <c r="JJV12" s="27"/>
      <c r="JJW12" s="27"/>
      <c r="JJX12" s="27"/>
      <c r="JKD12" s="27"/>
      <c r="JKE12" s="27"/>
      <c r="JKF12" s="27"/>
      <c r="JKL12" s="27"/>
      <c r="JKM12" s="27"/>
      <c r="JKN12" s="27"/>
      <c r="JKT12" s="27"/>
      <c r="JKU12" s="27"/>
      <c r="JKV12" s="27"/>
      <c r="JLB12" s="27"/>
      <c r="JLC12" s="27"/>
      <c r="JLD12" s="27"/>
      <c r="JLJ12" s="27"/>
      <c r="JLK12" s="27"/>
      <c r="JLL12" s="27"/>
      <c r="JLR12" s="27"/>
      <c r="JLS12" s="27"/>
      <c r="JLT12" s="27"/>
      <c r="JLZ12" s="27"/>
      <c r="JMA12" s="27"/>
      <c r="JMB12" s="27"/>
      <c r="JMH12" s="27"/>
      <c r="JMI12" s="27"/>
      <c r="JMJ12" s="27"/>
      <c r="JMP12" s="27"/>
      <c r="JMQ12" s="27"/>
      <c r="JMR12" s="27"/>
      <c r="JMX12" s="27"/>
      <c r="JMY12" s="27"/>
      <c r="JMZ12" s="27"/>
      <c r="JNF12" s="27"/>
      <c r="JNG12" s="27"/>
      <c r="JNH12" s="27"/>
      <c r="JNN12" s="27"/>
      <c r="JNO12" s="27"/>
      <c r="JNP12" s="27"/>
      <c r="JNV12" s="27"/>
      <c r="JNW12" s="27"/>
      <c r="JNX12" s="27"/>
      <c r="JOD12" s="27"/>
      <c r="JOE12" s="27"/>
      <c r="JOF12" s="27"/>
      <c r="JOL12" s="27"/>
      <c r="JOM12" s="27"/>
      <c r="JON12" s="27"/>
      <c r="JOT12" s="27"/>
      <c r="JOU12" s="27"/>
      <c r="JOV12" s="27"/>
      <c r="JPB12" s="27"/>
      <c r="JPC12" s="27"/>
      <c r="JPD12" s="27"/>
      <c r="JPJ12" s="27"/>
      <c r="JPK12" s="27"/>
      <c r="JPL12" s="27"/>
      <c r="JPR12" s="27"/>
      <c r="JPS12" s="27"/>
      <c r="JPT12" s="27"/>
      <c r="JPZ12" s="27"/>
      <c r="JQA12" s="27"/>
      <c r="JQB12" s="27"/>
      <c r="JQH12" s="27"/>
      <c r="JQI12" s="27"/>
      <c r="JQJ12" s="27"/>
      <c r="JQP12" s="27"/>
      <c r="JQQ12" s="27"/>
      <c r="JQR12" s="27"/>
      <c r="JQX12" s="27"/>
      <c r="JQY12" s="27"/>
      <c r="JQZ12" s="27"/>
      <c r="JRF12" s="27"/>
      <c r="JRG12" s="27"/>
      <c r="JRH12" s="27"/>
      <c r="JRN12" s="27"/>
      <c r="JRO12" s="27"/>
      <c r="JRP12" s="27"/>
      <c r="JRV12" s="27"/>
      <c r="JRW12" s="27"/>
      <c r="JRX12" s="27"/>
      <c r="JSD12" s="27"/>
      <c r="JSE12" s="27"/>
      <c r="JSF12" s="27"/>
      <c r="JSL12" s="27"/>
      <c r="JSM12" s="27"/>
      <c r="JSN12" s="27"/>
      <c r="JST12" s="27"/>
      <c r="JSU12" s="27"/>
      <c r="JSV12" s="27"/>
      <c r="JTB12" s="27"/>
      <c r="JTC12" s="27"/>
      <c r="JTD12" s="27"/>
      <c r="JTJ12" s="27"/>
      <c r="JTK12" s="27"/>
      <c r="JTL12" s="27"/>
      <c r="JTR12" s="27"/>
      <c r="JTS12" s="27"/>
      <c r="JTT12" s="27"/>
      <c r="JTZ12" s="27"/>
      <c r="JUA12" s="27"/>
      <c r="JUB12" s="27"/>
      <c r="JUH12" s="27"/>
      <c r="JUI12" s="27"/>
      <c r="JUJ12" s="27"/>
      <c r="JUP12" s="27"/>
      <c r="JUQ12" s="27"/>
      <c r="JUR12" s="27"/>
      <c r="JUX12" s="27"/>
      <c r="JUY12" s="27"/>
      <c r="JUZ12" s="27"/>
      <c r="JVF12" s="27"/>
      <c r="JVG12" s="27"/>
      <c r="JVH12" s="27"/>
      <c r="JVN12" s="27"/>
      <c r="JVO12" s="27"/>
      <c r="JVP12" s="27"/>
      <c r="JVV12" s="27"/>
      <c r="JVW12" s="27"/>
      <c r="JVX12" s="27"/>
      <c r="JWD12" s="27"/>
      <c r="JWE12" s="27"/>
      <c r="JWF12" s="27"/>
      <c r="JWL12" s="27"/>
      <c r="JWM12" s="27"/>
      <c r="JWN12" s="27"/>
      <c r="JWT12" s="27"/>
      <c r="JWU12" s="27"/>
      <c r="JWV12" s="27"/>
      <c r="JXB12" s="27"/>
      <c r="JXC12" s="27"/>
      <c r="JXD12" s="27"/>
      <c r="JXJ12" s="27"/>
      <c r="JXK12" s="27"/>
      <c r="JXL12" s="27"/>
      <c r="JXR12" s="27"/>
      <c r="JXS12" s="27"/>
      <c r="JXT12" s="27"/>
      <c r="JXZ12" s="27"/>
      <c r="JYA12" s="27"/>
      <c r="JYB12" s="27"/>
      <c r="JYH12" s="27"/>
      <c r="JYI12" s="27"/>
      <c r="JYJ12" s="27"/>
      <c r="JYP12" s="27"/>
      <c r="JYQ12" s="27"/>
      <c r="JYR12" s="27"/>
      <c r="JYX12" s="27"/>
      <c r="JYY12" s="27"/>
      <c r="JYZ12" s="27"/>
      <c r="JZF12" s="27"/>
      <c r="JZG12" s="27"/>
      <c r="JZH12" s="27"/>
      <c r="JZN12" s="27"/>
      <c r="JZO12" s="27"/>
      <c r="JZP12" s="27"/>
      <c r="JZV12" s="27"/>
      <c r="JZW12" s="27"/>
      <c r="JZX12" s="27"/>
      <c r="KAD12" s="27"/>
      <c r="KAE12" s="27"/>
      <c r="KAF12" s="27"/>
      <c r="KAL12" s="27"/>
      <c r="KAM12" s="27"/>
      <c r="KAN12" s="27"/>
      <c r="KAT12" s="27"/>
      <c r="KAU12" s="27"/>
      <c r="KAV12" s="27"/>
      <c r="KBB12" s="27"/>
      <c r="KBC12" s="27"/>
      <c r="KBD12" s="27"/>
      <c r="KBJ12" s="27"/>
      <c r="KBK12" s="27"/>
      <c r="KBL12" s="27"/>
      <c r="KBR12" s="27"/>
      <c r="KBS12" s="27"/>
      <c r="KBT12" s="27"/>
      <c r="KBZ12" s="27"/>
      <c r="KCA12" s="27"/>
      <c r="KCB12" s="27"/>
      <c r="KCH12" s="27"/>
      <c r="KCI12" s="27"/>
      <c r="KCJ12" s="27"/>
      <c r="KCP12" s="27"/>
      <c r="KCQ12" s="27"/>
      <c r="KCR12" s="27"/>
      <c r="KCX12" s="27"/>
      <c r="KCY12" s="27"/>
      <c r="KCZ12" s="27"/>
      <c r="KDF12" s="27"/>
      <c r="KDG12" s="27"/>
      <c r="KDH12" s="27"/>
      <c r="KDN12" s="27"/>
      <c r="KDO12" s="27"/>
      <c r="KDP12" s="27"/>
      <c r="KDV12" s="27"/>
      <c r="KDW12" s="27"/>
      <c r="KDX12" s="27"/>
      <c r="KED12" s="27"/>
      <c r="KEE12" s="27"/>
      <c r="KEF12" s="27"/>
      <c r="KEL12" s="27"/>
      <c r="KEM12" s="27"/>
      <c r="KEN12" s="27"/>
      <c r="KET12" s="27"/>
      <c r="KEU12" s="27"/>
      <c r="KEV12" s="27"/>
      <c r="KFB12" s="27"/>
      <c r="KFC12" s="27"/>
      <c r="KFD12" s="27"/>
      <c r="KFJ12" s="27"/>
      <c r="KFK12" s="27"/>
      <c r="KFL12" s="27"/>
      <c r="KFR12" s="27"/>
      <c r="KFS12" s="27"/>
      <c r="KFT12" s="27"/>
      <c r="KFZ12" s="27"/>
      <c r="KGA12" s="27"/>
      <c r="KGB12" s="27"/>
      <c r="KGH12" s="27"/>
      <c r="KGI12" s="27"/>
      <c r="KGJ12" s="27"/>
      <c r="KGP12" s="27"/>
      <c r="KGQ12" s="27"/>
      <c r="KGR12" s="27"/>
      <c r="KGX12" s="27"/>
      <c r="KGY12" s="27"/>
      <c r="KGZ12" s="27"/>
      <c r="KHF12" s="27"/>
      <c r="KHG12" s="27"/>
      <c r="KHH12" s="27"/>
      <c r="KHN12" s="27"/>
      <c r="KHO12" s="27"/>
      <c r="KHP12" s="27"/>
      <c r="KHV12" s="27"/>
      <c r="KHW12" s="27"/>
      <c r="KHX12" s="27"/>
      <c r="KID12" s="27"/>
      <c r="KIE12" s="27"/>
      <c r="KIF12" s="27"/>
      <c r="KIL12" s="27"/>
      <c r="KIM12" s="27"/>
      <c r="KIN12" s="27"/>
      <c r="KIT12" s="27"/>
      <c r="KIU12" s="27"/>
      <c r="KIV12" s="27"/>
      <c r="KJB12" s="27"/>
      <c r="KJC12" s="27"/>
      <c r="KJD12" s="27"/>
      <c r="KJJ12" s="27"/>
      <c r="KJK12" s="27"/>
      <c r="KJL12" s="27"/>
      <c r="KJR12" s="27"/>
      <c r="KJS12" s="27"/>
      <c r="KJT12" s="27"/>
      <c r="KJZ12" s="27"/>
      <c r="KKA12" s="27"/>
      <c r="KKB12" s="27"/>
      <c r="KKH12" s="27"/>
      <c r="KKI12" s="27"/>
      <c r="KKJ12" s="27"/>
      <c r="KKP12" s="27"/>
      <c r="KKQ12" s="27"/>
      <c r="KKR12" s="27"/>
      <c r="KKX12" s="27"/>
      <c r="KKY12" s="27"/>
      <c r="KKZ12" s="27"/>
      <c r="KLF12" s="27"/>
      <c r="KLG12" s="27"/>
      <c r="KLH12" s="27"/>
      <c r="KLN12" s="27"/>
      <c r="KLO12" s="27"/>
      <c r="KLP12" s="27"/>
      <c r="KLV12" s="27"/>
      <c r="KLW12" s="27"/>
      <c r="KLX12" s="27"/>
      <c r="KMD12" s="27"/>
      <c r="KME12" s="27"/>
      <c r="KMF12" s="27"/>
      <c r="KML12" s="27"/>
      <c r="KMM12" s="27"/>
      <c r="KMN12" s="27"/>
      <c r="KMT12" s="27"/>
      <c r="KMU12" s="27"/>
      <c r="KMV12" s="27"/>
      <c r="KNB12" s="27"/>
      <c r="KNC12" s="27"/>
      <c r="KND12" s="27"/>
      <c r="KNJ12" s="27"/>
      <c r="KNK12" s="27"/>
      <c r="KNL12" s="27"/>
      <c r="KNR12" s="27"/>
      <c r="KNS12" s="27"/>
      <c r="KNT12" s="27"/>
      <c r="KNZ12" s="27"/>
      <c r="KOA12" s="27"/>
      <c r="KOB12" s="27"/>
      <c r="KOH12" s="27"/>
      <c r="KOI12" s="27"/>
      <c r="KOJ12" s="27"/>
      <c r="KOP12" s="27"/>
      <c r="KOQ12" s="27"/>
      <c r="KOR12" s="27"/>
      <c r="KOX12" s="27"/>
      <c r="KOY12" s="27"/>
      <c r="KOZ12" s="27"/>
      <c r="KPF12" s="27"/>
      <c r="KPG12" s="27"/>
      <c r="KPH12" s="27"/>
      <c r="KPN12" s="27"/>
      <c r="KPO12" s="27"/>
      <c r="KPP12" s="27"/>
      <c r="KPV12" s="27"/>
      <c r="KPW12" s="27"/>
      <c r="KPX12" s="27"/>
      <c r="KQD12" s="27"/>
      <c r="KQE12" s="27"/>
      <c r="KQF12" s="27"/>
      <c r="KQL12" s="27"/>
      <c r="KQM12" s="27"/>
      <c r="KQN12" s="27"/>
      <c r="KQT12" s="27"/>
      <c r="KQU12" s="27"/>
      <c r="KQV12" s="27"/>
      <c r="KRB12" s="27"/>
      <c r="KRC12" s="27"/>
      <c r="KRD12" s="27"/>
      <c r="KRJ12" s="27"/>
      <c r="KRK12" s="27"/>
      <c r="KRL12" s="27"/>
      <c r="KRR12" s="27"/>
      <c r="KRS12" s="27"/>
      <c r="KRT12" s="27"/>
      <c r="KRZ12" s="27"/>
      <c r="KSA12" s="27"/>
      <c r="KSB12" s="27"/>
      <c r="KSH12" s="27"/>
      <c r="KSI12" s="27"/>
      <c r="KSJ12" s="27"/>
      <c r="KSP12" s="27"/>
      <c r="KSQ12" s="27"/>
      <c r="KSR12" s="27"/>
      <c r="KSX12" s="27"/>
      <c r="KSY12" s="27"/>
      <c r="KSZ12" s="27"/>
      <c r="KTF12" s="27"/>
      <c r="KTG12" s="27"/>
      <c r="KTH12" s="27"/>
      <c r="KTN12" s="27"/>
      <c r="KTO12" s="27"/>
      <c r="KTP12" s="27"/>
      <c r="KTV12" s="27"/>
      <c r="KTW12" s="27"/>
      <c r="KTX12" s="27"/>
      <c r="KUD12" s="27"/>
      <c r="KUE12" s="27"/>
      <c r="KUF12" s="27"/>
      <c r="KUL12" s="27"/>
      <c r="KUM12" s="27"/>
      <c r="KUN12" s="27"/>
      <c r="KUT12" s="27"/>
      <c r="KUU12" s="27"/>
      <c r="KUV12" s="27"/>
      <c r="KVB12" s="27"/>
      <c r="KVC12" s="27"/>
      <c r="KVD12" s="27"/>
      <c r="KVJ12" s="27"/>
      <c r="KVK12" s="27"/>
      <c r="KVL12" s="27"/>
      <c r="KVR12" s="27"/>
      <c r="KVS12" s="27"/>
      <c r="KVT12" s="27"/>
      <c r="KVZ12" s="27"/>
      <c r="KWA12" s="27"/>
      <c r="KWB12" s="27"/>
      <c r="KWH12" s="27"/>
      <c r="KWI12" s="27"/>
      <c r="KWJ12" s="27"/>
      <c r="KWP12" s="27"/>
      <c r="KWQ12" s="27"/>
      <c r="KWR12" s="27"/>
      <c r="KWX12" s="27"/>
      <c r="KWY12" s="27"/>
      <c r="KWZ12" s="27"/>
      <c r="KXF12" s="27"/>
      <c r="KXG12" s="27"/>
      <c r="KXH12" s="27"/>
      <c r="KXN12" s="27"/>
      <c r="KXO12" s="27"/>
      <c r="KXP12" s="27"/>
      <c r="KXV12" s="27"/>
      <c r="KXW12" s="27"/>
      <c r="KXX12" s="27"/>
      <c r="KYD12" s="27"/>
      <c r="KYE12" s="27"/>
      <c r="KYF12" s="27"/>
      <c r="KYL12" s="27"/>
      <c r="KYM12" s="27"/>
      <c r="KYN12" s="27"/>
      <c r="KYT12" s="27"/>
      <c r="KYU12" s="27"/>
      <c r="KYV12" s="27"/>
      <c r="KZB12" s="27"/>
      <c r="KZC12" s="27"/>
      <c r="KZD12" s="27"/>
      <c r="KZJ12" s="27"/>
      <c r="KZK12" s="27"/>
      <c r="KZL12" s="27"/>
      <c r="KZR12" s="27"/>
      <c r="KZS12" s="27"/>
      <c r="KZT12" s="27"/>
      <c r="KZZ12" s="27"/>
      <c r="LAA12" s="27"/>
      <c r="LAB12" s="27"/>
      <c r="LAH12" s="27"/>
      <c r="LAI12" s="27"/>
      <c r="LAJ12" s="27"/>
      <c r="LAP12" s="27"/>
      <c r="LAQ12" s="27"/>
      <c r="LAR12" s="27"/>
      <c r="LAX12" s="27"/>
      <c r="LAY12" s="27"/>
      <c r="LAZ12" s="27"/>
      <c r="LBF12" s="27"/>
      <c r="LBG12" s="27"/>
      <c r="LBH12" s="27"/>
      <c r="LBN12" s="27"/>
      <c r="LBO12" s="27"/>
      <c r="LBP12" s="27"/>
      <c r="LBV12" s="27"/>
      <c r="LBW12" s="27"/>
      <c r="LBX12" s="27"/>
      <c r="LCD12" s="27"/>
      <c r="LCE12" s="27"/>
      <c r="LCF12" s="27"/>
      <c r="LCL12" s="27"/>
      <c r="LCM12" s="27"/>
      <c r="LCN12" s="27"/>
      <c r="LCT12" s="27"/>
      <c r="LCU12" s="27"/>
      <c r="LCV12" s="27"/>
      <c r="LDB12" s="27"/>
      <c r="LDC12" s="27"/>
      <c r="LDD12" s="27"/>
      <c r="LDJ12" s="27"/>
      <c r="LDK12" s="27"/>
      <c r="LDL12" s="27"/>
      <c r="LDR12" s="27"/>
      <c r="LDS12" s="27"/>
      <c r="LDT12" s="27"/>
      <c r="LDZ12" s="27"/>
      <c r="LEA12" s="27"/>
      <c r="LEB12" s="27"/>
      <c r="LEH12" s="27"/>
      <c r="LEI12" s="27"/>
      <c r="LEJ12" s="27"/>
      <c r="LEP12" s="27"/>
      <c r="LEQ12" s="27"/>
      <c r="LER12" s="27"/>
      <c r="LEX12" s="27"/>
      <c r="LEY12" s="27"/>
      <c r="LEZ12" s="27"/>
      <c r="LFF12" s="27"/>
      <c r="LFG12" s="27"/>
      <c r="LFH12" s="27"/>
      <c r="LFN12" s="27"/>
      <c r="LFO12" s="27"/>
      <c r="LFP12" s="27"/>
      <c r="LFV12" s="27"/>
      <c r="LFW12" s="27"/>
      <c r="LFX12" s="27"/>
      <c r="LGD12" s="27"/>
      <c r="LGE12" s="27"/>
      <c r="LGF12" s="27"/>
      <c r="LGL12" s="27"/>
      <c r="LGM12" s="27"/>
      <c r="LGN12" s="27"/>
      <c r="LGT12" s="27"/>
      <c r="LGU12" s="27"/>
      <c r="LGV12" s="27"/>
      <c r="LHB12" s="27"/>
      <c r="LHC12" s="27"/>
      <c r="LHD12" s="27"/>
      <c r="LHJ12" s="27"/>
      <c r="LHK12" s="27"/>
      <c r="LHL12" s="27"/>
      <c r="LHR12" s="27"/>
      <c r="LHS12" s="27"/>
      <c r="LHT12" s="27"/>
      <c r="LHZ12" s="27"/>
      <c r="LIA12" s="27"/>
      <c r="LIB12" s="27"/>
      <c r="LIH12" s="27"/>
      <c r="LII12" s="27"/>
      <c r="LIJ12" s="27"/>
      <c r="LIP12" s="27"/>
      <c r="LIQ12" s="27"/>
      <c r="LIR12" s="27"/>
      <c r="LIX12" s="27"/>
      <c r="LIY12" s="27"/>
      <c r="LIZ12" s="27"/>
      <c r="LJF12" s="27"/>
      <c r="LJG12" s="27"/>
      <c r="LJH12" s="27"/>
      <c r="LJN12" s="27"/>
      <c r="LJO12" s="27"/>
      <c r="LJP12" s="27"/>
      <c r="LJV12" s="27"/>
      <c r="LJW12" s="27"/>
      <c r="LJX12" s="27"/>
      <c r="LKD12" s="27"/>
      <c r="LKE12" s="27"/>
      <c r="LKF12" s="27"/>
      <c r="LKL12" s="27"/>
      <c r="LKM12" s="27"/>
      <c r="LKN12" s="27"/>
      <c r="LKT12" s="27"/>
      <c r="LKU12" s="27"/>
      <c r="LKV12" s="27"/>
      <c r="LLB12" s="27"/>
      <c r="LLC12" s="27"/>
      <c r="LLD12" s="27"/>
      <c r="LLJ12" s="27"/>
      <c r="LLK12" s="27"/>
      <c r="LLL12" s="27"/>
      <c r="LLR12" s="27"/>
      <c r="LLS12" s="27"/>
      <c r="LLT12" s="27"/>
      <c r="LLZ12" s="27"/>
      <c r="LMA12" s="27"/>
      <c r="LMB12" s="27"/>
      <c r="LMH12" s="27"/>
      <c r="LMI12" s="27"/>
      <c r="LMJ12" s="27"/>
      <c r="LMP12" s="27"/>
      <c r="LMQ12" s="27"/>
      <c r="LMR12" s="27"/>
      <c r="LMX12" s="27"/>
      <c r="LMY12" s="27"/>
      <c r="LMZ12" s="27"/>
      <c r="LNF12" s="27"/>
      <c r="LNG12" s="27"/>
      <c r="LNH12" s="27"/>
      <c r="LNN12" s="27"/>
      <c r="LNO12" s="27"/>
      <c r="LNP12" s="27"/>
      <c r="LNV12" s="27"/>
      <c r="LNW12" s="27"/>
      <c r="LNX12" s="27"/>
      <c r="LOD12" s="27"/>
      <c r="LOE12" s="27"/>
      <c r="LOF12" s="27"/>
      <c r="LOL12" s="27"/>
      <c r="LOM12" s="27"/>
      <c r="LON12" s="27"/>
      <c r="LOT12" s="27"/>
      <c r="LOU12" s="27"/>
      <c r="LOV12" s="27"/>
      <c r="LPB12" s="27"/>
      <c r="LPC12" s="27"/>
      <c r="LPD12" s="27"/>
      <c r="LPJ12" s="27"/>
      <c r="LPK12" s="27"/>
      <c r="LPL12" s="27"/>
      <c r="LPR12" s="27"/>
      <c r="LPS12" s="27"/>
      <c r="LPT12" s="27"/>
      <c r="LPZ12" s="27"/>
      <c r="LQA12" s="27"/>
      <c r="LQB12" s="27"/>
      <c r="LQH12" s="27"/>
      <c r="LQI12" s="27"/>
      <c r="LQJ12" s="27"/>
      <c r="LQP12" s="27"/>
      <c r="LQQ12" s="27"/>
      <c r="LQR12" s="27"/>
      <c r="LQX12" s="27"/>
      <c r="LQY12" s="27"/>
      <c r="LQZ12" s="27"/>
      <c r="LRF12" s="27"/>
      <c r="LRG12" s="27"/>
      <c r="LRH12" s="27"/>
      <c r="LRN12" s="27"/>
      <c r="LRO12" s="27"/>
      <c r="LRP12" s="27"/>
      <c r="LRV12" s="27"/>
      <c r="LRW12" s="27"/>
      <c r="LRX12" s="27"/>
      <c r="LSD12" s="27"/>
      <c r="LSE12" s="27"/>
      <c r="LSF12" s="27"/>
      <c r="LSL12" s="27"/>
      <c r="LSM12" s="27"/>
      <c r="LSN12" s="27"/>
      <c r="LST12" s="27"/>
      <c r="LSU12" s="27"/>
      <c r="LSV12" s="27"/>
      <c r="LTB12" s="27"/>
      <c r="LTC12" s="27"/>
      <c r="LTD12" s="27"/>
      <c r="LTJ12" s="27"/>
      <c r="LTK12" s="27"/>
      <c r="LTL12" s="27"/>
      <c r="LTR12" s="27"/>
      <c r="LTS12" s="27"/>
      <c r="LTT12" s="27"/>
      <c r="LTZ12" s="27"/>
      <c r="LUA12" s="27"/>
      <c r="LUB12" s="27"/>
      <c r="LUH12" s="27"/>
      <c r="LUI12" s="27"/>
      <c r="LUJ12" s="27"/>
      <c r="LUP12" s="27"/>
      <c r="LUQ12" s="27"/>
      <c r="LUR12" s="27"/>
      <c r="LUX12" s="27"/>
      <c r="LUY12" s="27"/>
      <c r="LUZ12" s="27"/>
      <c r="LVF12" s="27"/>
      <c r="LVG12" s="27"/>
      <c r="LVH12" s="27"/>
      <c r="LVN12" s="27"/>
      <c r="LVO12" s="27"/>
      <c r="LVP12" s="27"/>
      <c r="LVV12" s="27"/>
      <c r="LVW12" s="27"/>
      <c r="LVX12" s="27"/>
      <c r="LWD12" s="27"/>
      <c r="LWE12" s="27"/>
      <c r="LWF12" s="27"/>
      <c r="LWL12" s="27"/>
      <c r="LWM12" s="27"/>
      <c r="LWN12" s="27"/>
      <c r="LWT12" s="27"/>
      <c r="LWU12" s="27"/>
      <c r="LWV12" s="27"/>
      <c r="LXB12" s="27"/>
      <c r="LXC12" s="27"/>
      <c r="LXD12" s="27"/>
      <c r="LXJ12" s="27"/>
      <c r="LXK12" s="27"/>
      <c r="LXL12" s="27"/>
      <c r="LXR12" s="27"/>
      <c r="LXS12" s="27"/>
      <c r="LXT12" s="27"/>
      <c r="LXZ12" s="27"/>
      <c r="LYA12" s="27"/>
      <c r="LYB12" s="27"/>
      <c r="LYH12" s="27"/>
      <c r="LYI12" s="27"/>
      <c r="LYJ12" s="27"/>
      <c r="LYP12" s="27"/>
      <c r="LYQ12" s="27"/>
      <c r="LYR12" s="27"/>
      <c r="LYX12" s="27"/>
      <c r="LYY12" s="27"/>
      <c r="LYZ12" s="27"/>
      <c r="LZF12" s="27"/>
      <c r="LZG12" s="27"/>
      <c r="LZH12" s="27"/>
      <c r="LZN12" s="27"/>
      <c r="LZO12" s="27"/>
      <c r="LZP12" s="27"/>
      <c r="LZV12" s="27"/>
      <c r="LZW12" s="27"/>
      <c r="LZX12" s="27"/>
      <c r="MAD12" s="27"/>
      <c r="MAE12" s="27"/>
      <c r="MAF12" s="27"/>
      <c r="MAL12" s="27"/>
      <c r="MAM12" s="27"/>
      <c r="MAN12" s="27"/>
      <c r="MAT12" s="27"/>
      <c r="MAU12" s="27"/>
      <c r="MAV12" s="27"/>
      <c r="MBB12" s="27"/>
      <c r="MBC12" s="27"/>
      <c r="MBD12" s="27"/>
      <c r="MBJ12" s="27"/>
      <c r="MBK12" s="27"/>
      <c r="MBL12" s="27"/>
      <c r="MBR12" s="27"/>
      <c r="MBS12" s="27"/>
      <c r="MBT12" s="27"/>
      <c r="MBZ12" s="27"/>
      <c r="MCA12" s="27"/>
      <c r="MCB12" s="27"/>
      <c r="MCH12" s="27"/>
      <c r="MCI12" s="27"/>
      <c r="MCJ12" s="27"/>
      <c r="MCP12" s="27"/>
      <c r="MCQ12" s="27"/>
      <c r="MCR12" s="27"/>
      <c r="MCX12" s="27"/>
      <c r="MCY12" s="27"/>
      <c r="MCZ12" s="27"/>
      <c r="MDF12" s="27"/>
      <c r="MDG12" s="27"/>
      <c r="MDH12" s="27"/>
      <c r="MDN12" s="27"/>
      <c r="MDO12" s="27"/>
      <c r="MDP12" s="27"/>
      <c r="MDV12" s="27"/>
      <c r="MDW12" s="27"/>
      <c r="MDX12" s="27"/>
      <c r="MED12" s="27"/>
      <c r="MEE12" s="27"/>
      <c r="MEF12" s="27"/>
      <c r="MEL12" s="27"/>
      <c r="MEM12" s="27"/>
      <c r="MEN12" s="27"/>
      <c r="MET12" s="27"/>
      <c r="MEU12" s="27"/>
      <c r="MEV12" s="27"/>
      <c r="MFB12" s="27"/>
      <c r="MFC12" s="27"/>
      <c r="MFD12" s="27"/>
      <c r="MFJ12" s="27"/>
      <c r="MFK12" s="27"/>
      <c r="MFL12" s="27"/>
      <c r="MFR12" s="27"/>
      <c r="MFS12" s="27"/>
      <c r="MFT12" s="27"/>
      <c r="MFZ12" s="27"/>
      <c r="MGA12" s="27"/>
      <c r="MGB12" s="27"/>
      <c r="MGH12" s="27"/>
      <c r="MGI12" s="27"/>
      <c r="MGJ12" s="27"/>
      <c r="MGP12" s="27"/>
      <c r="MGQ12" s="27"/>
      <c r="MGR12" s="27"/>
      <c r="MGX12" s="27"/>
      <c r="MGY12" s="27"/>
      <c r="MGZ12" s="27"/>
      <c r="MHF12" s="27"/>
      <c r="MHG12" s="27"/>
      <c r="MHH12" s="27"/>
      <c r="MHN12" s="27"/>
      <c r="MHO12" s="27"/>
      <c r="MHP12" s="27"/>
      <c r="MHV12" s="27"/>
      <c r="MHW12" s="27"/>
      <c r="MHX12" s="27"/>
      <c r="MID12" s="27"/>
      <c r="MIE12" s="27"/>
      <c r="MIF12" s="27"/>
      <c r="MIL12" s="27"/>
      <c r="MIM12" s="27"/>
      <c r="MIN12" s="27"/>
      <c r="MIT12" s="27"/>
      <c r="MIU12" s="27"/>
      <c r="MIV12" s="27"/>
      <c r="MJB12" s="27"/>
      <c r="MJC12" s="27"/>
      <c r="MJD12" s="27"/>
      <c r="MJJ12" s="27"/>
      <c r="MJK12" s="27"/>
      <c r="MJL12" s="27"/>
      <c r="MJR12" s="27"/>
      <c r="MJS12" s="27"/>
      <c r="MJT12" s="27"/>
      <c r="MJZ12" s="27"/>
      <c r="MKA12" s="27"/>
      <c r="MKB12" s="27"/>
      <c r="MKH12" s="27"/>
      <c r="MKI12" s="27"/>
      <c r="MKJ12" s="27"/>
      <c r="MKP12" s="27"/>
      <c r="MKQ12" s="27"/>
      <c r="MKR12" s="27"/>
      <c r="MKX12" s="27"/>
      <c r="MKY12" s="27"/>
      <c r="MKZ12" s="27"/>
      <c r="MLF12" s="27"/>
      <c r="MLG12" s="27"/>
      <c r="MLH12" s="27"/>
      <c r="MLN12" s="27"/>
      <c r="MLO12" s="27"/>
      <c r="MLP12" s="27"/>
      <c r="MLV12" s="27"/>
      <c r="MLW12" s="27"/>
      <c r="MLX12" s="27"/>
      <c r="MMD12" s="27"/>
      <c r="MME12" s="27"/>
      <c r="MMF12" s="27"/>
      <c r="MML12" s="27"/>
      <c r="MMM12" s="27"/>
      <c r="MMN12" s="27"/>
      <c r="MMT12" s="27"/>
      <c r="MMU12" s="27"/>
      <c r="MMV12" s="27"/>
      <c r="MNB12" s="27"/>
      <c r="MNC12" s="27"/>
      <c r="MND12" s="27"/>
      <c r="MNJ12" s="27"/>
      <c r="MNK12" s="27"/>
      <c r="MNL12" s="27"/>
      <c r="MNR12" s="27"/>
      <c r="MNS12" s="27"/>
      <c r="MNT12" s="27"/>
      <c r="MNZ12" s="27"/>
      <c r="MOA12" s="27"/>
      <c r="MOB12" s="27"/>
      <c r="MOH12" s="27"/>
      <c r="MOI12" s="27"/>
      <c r="MOJ12" s="27"/>
      <c r="MOP12" s="27"/>
      <c r="MOQ12" s="27"/>
      <c r="MOR12" s="27"/>
      <c r="MOX12" s="27"/>
      <c r="MOY12" s="27"/>
      <c r="MOZ12" s="27"/>
      <c r="MPF12" s="27"/>
      <c r="MPG12" s="27"/>
      <c r="MPH12" s="27"/>
      <c r="MPN12" s="27"/>
      <c r="MPO12" s="27"/>
      <c r="MPP12" s="27"/>
      <c r="MPV12" s="27"/>
      <c r="MPW12" s="27"/>
      <c r="MPX12" s="27"/>
      <c r="MQD12" s="27"/>
      <c r="MQE12" s="27"/>
      <c r="MQF12" s="27"/>
      <c r="MQL12" s="27"/>
      <c r="MQM12" s="27"/>
      <c r="MQN12" s="27"/>
      <c r="MQT12" s="27"/>
      <c r="MQU12" s="27"/>
      <c r="MQV12" s="27"/>
      <c r="MRB12" s="27"/>
      <c r="MRC12" s="27"/>
      <c r="MRD12" s="27"/>
      <c r="MRJ12" s="27"/>
      <c r="MRK12" s="27"/>
      <c r="MRL12" s="27"/>
      <c r="MRR12" s="27"/>
      <c r="MRS12" s="27"/>
      <c r="MRT12" s="27"/>
      <c r="MRZ12" s="27"/>
      <c r="MSA12" s="27"/>
      <c r="MSB12" s="27"/>
      <c r="MSH12" s="27"/>
      <c r="MSI12" s="27"/>
      <c r="MSJ12" s="27"/>
      <c r="MSP12" s="27"/>
      <c r="MSQ12" s="27"/>
      <c r="MSR12" s="27"/>
      <c r="MSX12" s="27"/>
      <c r="MSY12" s="27"/>
      <c r="MSZ12" s="27"/>
      <c r="MTF12" s="27"/>
      <c r="MTG12" s="27"/>
      <c r="MTH12" s="27"/>
      <c r="MTN12" s="27"/>
      <c r="MTO12" s="27"/>
      <c r="MTP12" s="27"/>
      <c r="MTV12" s="27"/>
      <c r="MTW12" s="27"/>
      <c r="MTX12" s="27"/>
      <c r="MUD12" s="27"/>
      <c r="MUE12" s="27"/>
      <c r="MUF12" s="27"/>
      <c r="MUL12" s="27"/>
      <c r="MUM12" s="27"/>
      <c r="MUN12" s="27"/>
      <c r="MUT12" s="27"/>
      <c r="MUU12" s="27"/>
      <c r="MUV12" s="27"/>
      <c r="MVB12" s="27"/>
      <c r="MVC12" s="27"/>
      <c r="MVD12" s="27"/>
      <c r="MVJ12" s="27"/>
      <c r="MVK12" s="27"/>
      <c r="MVL12" s="27"/>
      <c r="MVR12" s="27"/>
      <c r="MVS12" s="27"/>
      <c r="MVT12" s="27"/>
      <c r="MVZ12" s="27"/>
      <c r="MWA12" s="27"/>
      <c r="MWB12" s="27"/>
      <c r="MWH12" s="27"/>
      <c r="MWI12" s="27"/>
      <c r="MWJ12" s="27"/>
      <c r="MWP12" s="27"/>
      <c r="MWQ12" s="27"/>
      <c r="MWR12" s="27"/>
      <c r="MWX12" s="27"/>
      <c r="MWY12" s="27"/>
      <c r="MWZ12" s="27"/>
      <c r="MXF12" s="27"/>
      <c r="MXG12" s="27"/>
      <c r="MXH12" s="27"/>
      <c r="MXN12" s="27"/>
      <c r="MXO12" s="27"/>
      <c r="MXP12" s="27"/>
      <c r="MXV12" s="27"/>
      <c r="MXW12" s="27"/>
      <c r="MXX12" s="27"/>
      <c r="MYD12" s="27"/>
      <c r="MYE12" s="27"/>
      <c r="MYF12" s="27"/>
      <c r="MYL12" s="27"/>
      <c r="MYM12" s="27"/>
      <c r="MYN12" s="27"/>
      <c r="MYT12" s="27"/>
      <c r="MYU12" s="27"/>
      <c r="MYV12" s="27"/>
      <c r="MZB12" s="27"/>
      <c r="MZC12" s="27"/>
      <c r="MZD12" s="27"/>
      <c r="MZJ12" s="27"/>
      <c r="MZK12" s="27"/>
      <c r="MZL12" s="27"/>
      <c r="MZR12" s="27"/>
      <c r="MZS12" s="27"/>
      <c r="MZT12" s="27"/>
      <c r="MZZ12" s="27"/>
      <c r="NAA12" s="27"/>
      <c r="NAB12" s="27"/>
      <c r="NAH12" s="27"/>
      <c r="NAI12" s="27"/>
      <c r="NAJ12" s="27"/>
      <c r="NAP12" s="27"/>
      <c r="NAQ12" s="27"/>
      <c r="NAR12" s="27"/>
      <c r="NAX12" s="27"/>
      <c r="NAY12" s="27"/>
      <c r="NAZ12" s="27"/>
      <c r="NBF12" s="27"/>
      <c r="NBG12" s="27"/>
      <c r="NBH12" s="27"/>
      <c r="NBN12" s="27"/>
      <c r="NBO12" s="27"/>
      <c r="NBP12" s="27"/>
      <c r="NBV12" s="27"/>
      <c r="NBW12" s="27"/>
      <c r="NBX12" s="27"/>
      <c r="NCD12" s="27"/>
      <c r="NCE12" s="27"/>
      <c r="NCF12" s="27"/>
      <c r="NCL12" s="27"/>
      <c r="NCM12" s="27"/>
      <c r="NCN12" s="27"/>
      <c r="NCT12" s="27"/>
      <c r="NCU12" s="27"/>
      <c r="NCV12" s="27"/>
      <c r="NDB12" s="27"/>
      <c r="NDC12" s="27"/>
      <c r="NDD12" s="27"/>
      <c r="NDJ12" s="27"/>
      <c r="NDK12" s="27"/>
      <c r="NDL12" s="27"/>
      <c r="NDR12" s="27"/>
      <c r="NDS12" s="27"/>
      <c r="NDT12" s="27"/>
      <c r="NDZ12" s="27"/>
      <c r="NEA12" s="27"/>
      <c r="NEB12" s="27"/>
      <c r="NEH12" s="27"/>
      <c r="NEI12" s="27"/>
      <c r="NEJ12" s="27"/>
      <c r="NEP12" s="27"/>
      <c r="NEQ12" s="27"/>
      <c r="NER12" s="27"/>
      <c r="NEX12" s="27"/>
      <c r="NEY12" s="27"/>
      <c r="NEZ12" s="27"/>
      <c r="NFF12" s="27"/>
      <c r="NFG12" s="27"/>
      <c r="NFH12" s="27"/>
      <c r="NFN12" s="27"/>
      <c r="NFO12" s="27"/>
      <c r="NFP12" s="27"/>
      <c r="NFV12" s="27"/>
      <c r="NFW12" s="27"/>
      <c r="NFX12" s="27"/>
      <c r="NGD12" s="27"/>
      <c r="NGE12" s="27"/>
      <c r="NGF12" s="27"/>
      <c r="NGL12" s="27"/>
      <c r="NGM12" s="27"/>
      <c r="NGN12" s="27"/>
      <c r="NGT12" s="27"/>
      <c r="NGU12" s="27"/>
      <c r="NGV12" s="27"/>
      <c r="NHB12" s="27"/>
      <c r="NHC12" s="27"/>
      <c r="NHD12" s="27"/>
      <c r="NHJ12" s="27"/>
      <c r="NHK12" s="27"/>
      <c r="NHL12" s="27"/>
      <c r="NHR12" s="27"/>
      <c r="NHS12" s="27"/>
      <c r="NHT12" s="27"/>
      <c r="NHZ12" s="27"/>
      <c r="NIA12" s="27"/>
      <c r="NIB12" s="27"/>
      <c r="NIH12" s="27"/>
      <c r="NII12" s="27"/>
      <c r="NIJ12" s="27"/>
      <c r="NIP12" s="27"/>
      <c r="NIQ12" s="27"/>
      <c r="NIR12" s="27"/>
      <c r="NIX12" s="27"/>
      <c r="NIY12" s="27"/>
      <c r="NIZ12" s="27"/>
      <c r="NJF12" s="27"/>
      <c r="NJG12" s="27"/>
      <c r="NJH12" s="27"/>
      <c r="NJN12" s="27"/>
      <c r="NJO12" s="27"/>
      <c r="NJP12" s="27"/>
      <c r="NJV12" s="27"/>
      <c r="NJW12" s="27"/>
      <c r="NJX12" s="27"/>
      <c r="NKD12" s="27"/>
      <c r="NKE12" s="27"/>
      <c r="NKF12" s="27"/>
      <c r="NKL12" s="27"/>
      <c r="NKM12" s="27"/>
      <c r="NKN12" s="27"/>
      <c r="NKT12" s="27"/>
      <c r="NKU12" s="27"/>
      <c r="NKV12" s="27"/>
      <c r="NLB12" s="27"/>
      <c r="NLC12" s="27"/>
      <c r="NLD12" s="27"/>
      <c r="NLJ12" s="27"/>
      <c r="NLK12" s="27"/>
      <c r="NLL12" s="27"/>
      <c r="NLR12" s="27"/>
      <c r="NLS12" s="27"/>
      <c r="NLT12" s="27"/>
      <c r="NLZ12" s="27"/>
      <c r="NMA12" s="27"/>
      <c r="NMB12" s="27"/>
      <c r="NMH12" s="27"/>
      <c r="NMI12" s="27"/>
      <c r="NMJ12" s="27"/>
      <c r="NMP12" s="27"/>
      <c r="NMQ12" s="27"/>
      <c r="NMR12" s="27"/>
      <c r="NMX12" s="27"/>
      <c r="NMY12" s="27"/>
      <c r="NMZ12" s="27"/>
      <c r="NNF12" s="27"/>
      <c r="NNG12" s="27"/>
      <c r="NNH12" s="27"/>
      <c r="NNN12" s="27"/>
      <c r="NNO12" s="27"/>
      <c r="NNP12" s="27"/>
      <c r="NNV12" s="27"/>
      <c r="NNW12" s="27"/>
      <c r="NNX12" s="27"/>
      <c r="NOD12" s="27"/>
      <c r="NOE12" s="27"/>
      <c r="NOF12" s="27"/>
      <c r="NOL12" s="27"/>
      <c r="NOM12" s="27"/>
      <c r="NON12" s="27"/>
      <c r="NOT12" s="27"/>
      <c r="NOU12" s="27"/>
      <c r="NOV12" s="27"/>
      <c r="NPB12" s="27"/>
      <c r="NPC12" s="27"/>
      <c r="NPD12" s="27"/>
      <c r="NPJ12" s="27"/>
      <c r="NPK12" s="27"/>
      <c r="NPL12" s="27"/>
      <c r="NPR12" s="27"/>
      <c r="NPS12" s="27"/>
      <c r="NPT12" s="27"/>
      <c r="NPZ12" s="27"/>
      <c r="NQA12" s="27"/>
      <c r="NQB12" s="27"/>
      <c r="NQH12" s="27"/>
      <c r="NQI12" s="27"/>
      <c r="NQJ12" s="27"/>
      <c r="NQP12" s="27"/>
      <c r="NQQ12" s="27"/>
      <c r="NQR12" s="27"/>
      <c r="NQX12" s="27"/>
      <c r="NQY12" s="27"/>
      <c r="NQZ12" s="27"/>
      <c r="NRF12" s="27"/>
      <c r="NRG12" s="27"/>
      <c r="NRH12" s="27"/>
      <c r="NRN12" s="27"/>
      <c r="NRO12" s="27"/>
      <c r="NRP12" s="27"/>
      <c r="NRV12" s="27"/>
      <c r="NRW12" s="27"/>
      <c r="NRX12" s="27"/>
      <c r="NSD12" s="27"/>
      <c r="NSE12" s="27"/>
      <c r="NSF12" s="27"/>
      <c r="NSL12" s="27"/>
      <c r="NSM12" s="27"/>
      <c r="NSN12" s="27"/>
      <c r="NST12" s="27"/>
      <c r="NSU12" s="27"/>
      <c r="NSV12" s="27"/>
      <c r="NTB12" s="27"/>
      <c r="NTC12" s="27"/>
      <c r="NTD12" s="27"/>
      <c r="NTJ12" s="27"/>
      <c r="NTK12" s="27"/>
      <c r="NTL12" s="27"/>
      <c r="NTR12" s="27"/>
      <c r="NTS12" s="27"/>
      <c r="NTT12" s="27"/>
      <c r="NTZ12" s="27"/>
      <c r="NUA12" s="27"/>
      <c r="NUB12" s="27"/>
      <c r="NUH12" s="27"/>
      <c r="NUI12" s="27"/>
      <c r="NUJ12" s="27"/>
      <c r="NUP12" s="27"/>
      <c r="NUQ12" s="27"/>
      <c r="NUR12" s="27"/>
      <c r="NUX12" s="27"/>
      <c r="NUY12" s="27"/>
      <c r="NUZ12" s="27"/>
      <c r="NVF12" s="27"/>
      <c r="NVG12" s="27"/>
      <c r="NVH12" s="27"/>
      <c r="NVN12" s="27"/>
      <c r="NVO12" s="27"/>
      <c r="NVP12" s="27"/>
      <c r="NVV12" s="27"/>
      <c r="NVW12" s="27"/>
      <c r="NVX12" s="27"/>
      <c r="NWD12" s="27"/>
      <c r="NWE12" s="27"/>
      <c r="NWF12" s="27"/>
      <c r="NWL12" s="27"/>
      <c r="NWM12" s="27"/>
      <c r="NWN12" s="27"/>
      <c r="NWT12" s="27"/>
      <c r="NWU12" s="27"/>
      <c r="NWV12" s="27"/>
      <c r="NXB12" s="27"/>
      <c r="NXC12" s="27"/>
      <c r="NXD12" s="27"/>
      <c r="NXJ12" s="27"/>
      <c r="NXK12" s="27"/>
      <c r="NXL12" s="27"/>
      <c r="NXR12" s="27"/>
      <c r="NXS12" s="27"/>
      <c r="NXT12" s="27"/>
      <c r="NXZ12" s="27"/>
      <c r="NYA12" s="27"/>
      <c r="NYB12" s="27"/>
      <c r="NYH12" s="27"/>
      <c r="NYI12" s="27"/>
      <c r="NYJ12" s="27"/>
      <c r="NYP12" s="27"/>
      <c r="NYQ12" s="27"/>
      <c r="NYR12" s="27"/>
      <c r="NYX12" s="27"/>
      <c r="NYY12" s="27"/>
      <c r="NYZ12" s="27"/>
      <c r="NZF12" s="27"/>
      <c r="NZG12" s="27"/>
      <c r="NZH12" s="27"/>
      <c r="NZN12" s="27"/>
      <c r="NZO12" s="27"/>
      <c r="NZP12" s="27"/>
      <c r="NZV12" s="27"/>
      <c r="NZW12" s="27"/>
      <c r="NZX12" s="27"/>
      <c r="OAD12" s="27"/>
      <c r="OAE12" s="27"/>
      <c r="OAF12" s="27"/>
      <c r="OAL12" s="27"/>
      <c r="OAM12" s="27"/>
      <c r="OAN12" s="27"/>
      <c r="OAT12" s="27"/>
      <c r="OAU12" s="27"/>
      <c r="OAV12" s="27"/>
      <c r="OBB12" s="27"/>
      <c r="OBC12" s="27"/>
      <c r="OBD12" s="27"/>
      <c r="OBJ12" s="27"/>
      <c r="OBK12" s="27"/>
      <c r="OBL12" s="27"/>
      <c r="OBR12" s="27"/>
      <c r="OBS12" s="27"/>
      <c r="OBT12" s="27"/>
      <c r="OBZ12" s="27"/>
      <c r="OCA12" s="27"/>
      <c r="OCB12" s="27"/>
      <c r="OCH12" s="27"/>
      <c r="OCI12" s="27"/>
      <c r="OCJ12" s="27"/>
      <c r="OCP12" s="27"/>
      <c r="OCQ12" s="27"/>
      <c r="OCR12" s="27"/>
      <c r="OCX12" s="27"/>
      <c r="OCY12" s="27"/>
      <c r="OCZ12" s="27"/>
      <c r="ODF12" s="27"/>
      <c r="ODG12" s="27"/>
      <c r="ODH12" s="27"/>
      <c r="ODN12" s="27"/>
      <c r="ODO12" s="27"/>
      <c r="ODP12" s="27"/>
      <c r="ODV12" s="27"/>
      <c r="ODW12" s="27"/>
      <c r="ODX12" s="27"/>
      <c r="OED12" s="27"/>
      <c r="OEE12" s="27"/>
      <c r="OEF12" s="27"/>
      <c r="OEL12" s="27"/>
      <c r="OEM12" s="27"/>
      <c r="OEN12" s="27"/>
      <c r="OET12" s="27"/>
      <c r="OEU12" s="27"/>
      <c r="OEV12" s="27"/>
      <c r="OFB12" s="27"/>
      <c r="OFC12" s="27"/>
      <c r="OFD12" s="27"/>
      <c r="OFJ12" s="27"/>
      <c r="OFK12" s="27"/>
      <c r="OFL12" s="27"/>
      <c r="OFR12" s="27"/>
      <c r="OFS12" s="27"/>
      <c r="OFT12" s="27"/>
      <c r="OFZ12" s="27"/>
      <c r="OGA12" s="27"/>
      <c r="OGB12" s="27"/>
      <c r="OGH12" s="27"/>
      <c r="OGI12" s="27"/>
      <c r="OGJ12" s="27"/>
      <c r="OGP12" s="27"/>
      <c r="OGQ12" s="27"/>
      <c r="OGR12" s="27"/>
      <c r="OGX12" s="27"/>
      <c r="OGY12" s="27"/>
      <c r="OGZ12" s="27"/>
      <c r="OHF12" s="27"/>
      <c r="OHG12" s="27"/>
      <c r="OHH12" s="27"/>
      <c r="OHN12" s="27"/>
      <c r="OHO12" s="27"/>
      <c r="OHP12" s="27"/>
      <c r="OHV12" s="27"/>
      <c r="OHW12" s="27"/>
      <c r="OHX12" s="27"/>
      <c r="OID12" s="27"/>
      <c r="OIE12" s="27"/>
      <c r="OIF12" s="27"/>
      <c r="OIL12" s="27"/>
      <c r="OIM12" s="27"/>
      <c r="OIN12" s="27"/>
      <c r="OIT12" s="27"/>
      <c r="OIU12" s="27"/>
      <c r="OIV12" s="27"/>
      <c r="OJB12" s="27"/>
      <c r="OJC12" s="27"/>
      <c r="OJD12" s="27"/>
      <c r="OJJ12" s="27"/>
      <c r="OJK12" s="27"/>
      <c r="OJL12" s="27"/>
      <c r="OJR12" s="27"/>
      <c r="OJS12" s="27"/>
      <c r="OJT12" s="27"/>
      <c r="OJZ12" s="27"/>
      <c r="OKA12" s="27"/>
      <c r="OKB12" s="27"/>
      <c r="OKH12" s="27"/>
      <c r="OKI12" s="27"/>
      <c r="OKJ12" s="27"/>
      <c r="OKP12" s="27"/>
      <c r="OKQ12" s="27"/>
      <c r="OKR12" s="27"/>
      <c r="OKX12" s="27"/>
      <c r="OKY12" s="27"/>
      <c r="OKZ12" s="27"/>
      <c r="OLF12" s="27"/>
      <c r="OLG12" s="27"/>
      <c r="OLH12" s="27"/>
      <c r="OLN12" s="27"/>
      <c r="OLO12" s="27"/>
      <c r="OLP12" s="27"/>
      <c r="OLV12" s="27"/>
      <c r="OLW12" s="27"/>
      <c r="OLX12" s="27"/>
      <c r="OMD12" s="27"/>
      <c r="OME12" s="27"/>
      <c r="OMF12" s="27"/>
      <c r="OML12" s="27"/>
      <c r="OMM12" s="27"/>
      <c r="OMN12" s="27"/>
      <c r="OMT12" s="27"/>
      <c r="OMU12" s="27"/>
      <c r="OMV12" s="27"/>
      <c r="ONB12" s="27"/>
      <c r="ONC12" s="27"/>
      <c r="OND12" s="27"/>
      <c r="ONJ12" s="27"/>
      <c r="ONK12" s="27"/>
      <c r="ONL12" s="27"/>
      <c r="ONR12" s="27"/>
      <c r="ONS12" s="27"/>
      <c r="ONT12" s="27"/>
      <c r="ONZ12" s="27"/>
      <c r="OOA12" s="27"/>
      <c r="OOB12" s="27"/>
      <c r="OOH12" s="27"/>
      <c r="OOI12" s="27"/>
      <c r="OOJ12" s="27"/>
      <c r="OOP12" s="27"/>
      <c r="OOQ12" s="27"/>
      <c r="OOR12" s="27"/>
      <c r="OOX12" s="27"/>
      <c r="OOY12" s="27"/>
      <c r="OOZ12" s="27"/>
      <c r="OPF12" s="27"/>
      <c r="OPG12" s="27"/>
      <c r="OPH12" s="27"/>
      <c r="OPN12" s="27"/>
      <c r="OPO12" s="27"/>
      <c r="OPP12" s="27"/>
      <c r="OPV12" s="27"/>
      <c r="OPW12" s="27"/>
      <c r="OPX12" s="27"/>
      <c r="OQD12" s="27"/>
      <c r="OQE12" s="27"/>
      <c r="OQF12" s="27"/>
      <c r="OQL12" s="27"/>
      <c r="OQM12" s="27"/>
      <c r="OQN12" s="27"/>
      <c r="OQT12" s="27"/>
      <c r="OQU12" s="27"/>
      <c r="OQV12" s="27"/>
      <c r="ORB12" s="27"/>
      <c r="ORC12" s="27"/>
      <c r="ORD12" s="27"/>
      <c r="ORJ12" s="27"/>
      <c r="ORK12" s="27"/>
      <c r="ORL12" s="27"/>
      <c r="ORR12" s="27"/>
      <c r="ORS12" s="27"/>
      <c r="ORT12" s="27"/>
      <c r="ORZ12" s="27"/>
      <c r="OSA12" s="27"/>
      <c r="OSB12" s="27"/>
      <c r="OSH12" s="27"/>
      <c r="OSI12" s="27"/>
      <c r="OSJ12" s="27"/>
      <c r="OSP12" s="27"/>
      <c r="OSQ12" s="27"/>
      <c r="OSR12" s="27"/>
      <c r="OSX12" s="27"/>
      <c r="OSY12" s="27"/>
      <c r="OSZ12" s="27"/>
      <c r="OTF12" s="27"/>
      <c r="OTG12" s="27"/>
      <c r="OTH12" s="27"/>
      <c r="OTN12" s="27"/>
      <c r="OTO12" s="27"/>
      <c r="OTP12" s="27"/>
      <c r="OTV12" s="27"/>
      <c r="OTW12" s="27"/>
      <c r="OTX12" s="27"/>
      <c r="OUD12" s="27"/>
      <c r="OUE12" s="27"/>
      <c r="OUF12" s="27"/>
      <c r="OUL12" s="27"/>
      <c r="OUM12" s="27"/>
      <c r="OUN12" s="27"/>
      <c r="OUT12" s="27"/>
      <c r="OUU12" s="27"/>
      <c r="OUV12" s="27"/>
      <c r="OVB12" s="27"/>
      <c r="OVC12" s="27"/>
      <c r="OVD12" s="27"/>
      <c r="OVJ12" s="27"/>
      <c r="OVK12" s="27"/>
      <c r="OVL12" s="27"/>
      <c r="OVR12" s="27"/>
      <c r="OVS12" s="27"/>
      <c r="OVT12" s="27"/>
      <c r="OVZ12" s="27"/>
      <c r="OWA12" s="27"/>
      <c r="OWB12" s="27"/>
      <c r="OWH12" s="27"/>
      <c r="OWI12" s="27"/>
      <c r="OWJ12" s="27"/>
      <c r="OWP12" s="27"/>
      <c r="OWQ12" s="27"/>
      <c r="OWR12" s="27"/>
      <c r="OWX12" s="27"/>
      <c r="OWY12" s="27"/>
      <c r="OWZ12" s="27"/>
      <c r="OXF12" s="27"/>
      <c r="OXG12" s="27"/>
      <c r="OXH12" s="27"/>
      <c r="OXN12" s="27"/>
      <c r="OXO12" s="27"/>
      <c r="OXP12" s="27"/>
      <c r="OXV12" s="27"/>
      <c r="OXW12" s="27"/>
      <c r="OXX12" s="27"/>
      <c r="OYD12" s="27"/>
      <c r="OYE12" s="27"/>
      <c r="OYF12" s="27"/>
      <c r="OYL12" s="27"/>
      <c r="OYM12" s="27"/>
      <c r="OYN12" s="27"/>
      <c r="OYT12" s="27"/>
      <c r="OYU12" s="27"/>
      <c r="OYV12" s="27"/>
      <c r="OZB12" s="27"/>
      <c r="OZC12" s="27"/>
      <c r="OZD12" s="27"/>
      <c r="OZJ12" s="27"/>
      <c r="OZK12" s="27"/>
      <c r="OZL12" s="27"/>
      <c r="OZR12" s="27"/>
      <c r="OZS12" s="27"/>
      <c r="OZT12" s="27"/>
      <c r="OZZ12" s="27"/>
      <c r="PAA12" s="27"/>
      <c r="PAB12" s="27"/>
      <c r="PAH12" s="27"/>
      <c r="PAI12" s="27"/>
      <c r="PAJ12" s="27"/>
      <c r="PAP12" s="27"/>
      <c r="PAQ12" s="27"/>
      <c r="PAR12" s="27"/>
      <c r="PAX12" s="27"/>
      <c r="PAY12" s="27"/>
      <c r="PAZ12" s="27"/>
      <c r="PBF12" s="27"/>
      <c r="PBG12" s="27"/>
      <c r="PBH12" s="27"/>
      <c r="PBN12" s="27"/>
      <c r="PBO12" s="27"/>
      <c r="PBP12" s="27"/>
      <c r="PBV12" s="27"/>
      <c r="PBW12" s="27"/>
      <c r="PBX12" s="27"/>
      <c r="PCD12" s="27"/>
      <c r="PCE12" s="27"/>
      <c r="PCF12" s="27"/>
      <c r="PCL12" s="27"/>
      <c r="PCM12" s="27"/>
      <c r="PCN12" s="27"/>
      <c r="PCT12" s="27"/>
      <c r="PCU12" s="27"/>
      <c r="PCV12" s="27"/>
      <c r="PDB12" s="27"/>
      <c r="PDC12" s="27"/>
      <c r="PDD12" s="27"/>
      <c r="PDJ12" s="27"/>
      <c r="PDK12" s="27"/>
      <c r="PDL12" s="27"/>
      <c r="PDR12" s="27"/>
      <c r="PDS12" s="27"/>
      <c r="PDT12" s="27"/>
      <c r="PDZ12" s="27"/>
      <c r="PEA12" s="27"/>
      <c r="PEB12" s="27"/>
      <c r="PEH12" s="27"/>
      <c r="PEI12" s="27"/>
      <c r="PEJ12" s="27"/>
      <c r="PEP12" s="27"/>
      <c r="PEQ12" s="27"/>
      <c r="PER12" s="27"/>
      <c r="PEX12" s="27"/>
      <c r="PEY12" s="27"/>
      <c r="PEZ12" s="27"/>
      <c r="PFF12" s="27"/>
      <c r="PFG12" s="27"/>
      <c r="PFH12" s="27"/>
      <c r="PFN12" s="27"/>
      <c r="PFO12" s="27"/>
      <c r="PFP12" s="27"/>
      <c r="PFV12" s="27"/>
      <c r="PFW12" s="27"/>
      <c r="PFX12" s="27"/>
      <c r="PGD12" s="27"/>
      <c r="PGE12" s="27"/>
      <c r="PGF12" s="27"/>
      <c r="PGL12" s="27"/>
      <c r="PGM12" s="27"/>
      <c r="PGN12" s="27"/>
      <c r="PGT12" s="27"/>
      <c r="PGU12" s="27"/>
      <c r="PGV12" s="27"/>
      <c r="PHB12" s="27"/>
      <c r="PHC12" s="27"/>
      <c r="PHD12" s="27"/>
      <c r="PHJ12" s="27"/>
      <c r="PHK12" s="27"/>
      <c r="PHL12" s="27"/>
      <c r="PHR12" s="27"/>
      <c r="PHS12" s="27"/>
      <c r="PHT12" s="27"/>
      <c r="PHZ12" s="27"/>
      <c r="PIA12" s="27"/>
      <c r="PIB12" s="27"/>
      <c r="PIH12" s="27"/>
      <c r="PII12" s="27"/>
      <c r="PIJ12" s="27"/>
      <c r="PIP12" s="27"/>
      <c r="PIQ12" s="27"/>
      <c r="PIR12" s="27"/>
      <c r="PIX12" s="27"/>
      <c r="PIY12" s="27"/>
      <c r="PIZ12" s="27"/>
      <c r="PJF12" s="27"/>
      <c r="PJG12" s="27"/>
      <c r="PJH12" s="27"/>
      <c r="PJN12" s="27"/>
      <c r="PJO12" s="27"/>
      <c r="PJP12" s="27"/>
      <c r="PJV12" s="27"/>
      <c r="PJW12" s="27"/>
      <c r="PJX12" s="27"/>
      <c r="PKD12" s="27"/>
      <c r="PKE12" s="27"/>
      <c r="PKF12" s="27"/>
      <c r="PKL12" s="27"/>
      <c r="PKM12" s="27"/>
      <c r="PKN12" s="27"/>
      <c r="PKT12" s="27"/>
      <c r="PKU12" s="27"/>
      <c r="PKV12" s="27"/>
      <c r="PLB12" s="27"/>
      <c r="PLC12" s="27"/>
      <c r="PLD12" s="27"/>
      <c r="PLJ12" s="27"/>
      <c r="PLK12" s="27"/>
      <c r="PLL12" s="27"/>
      <c r="PLR12" s="27"/>
      <c r="PLS12" s="27"/>
      <c r="PLT12" s="27"/>
      <c r="PLZ12" s="27"/>
      <c r="PMA12" s="27"/>
      <c r="PMB12" s="27"/>
      <c r="PMH12" s="27"/>
      <c r="PMI12" s="27"/>
      <c r="PMJ12" s="27"/>
      <c r="PMP12" s="27"/>
      <c r="PMQ12" s="27"/>
      <c r="PMR12" s="27"/>
      <c r="PMX12" s="27"/>
      <c r="PMY12" s="27"/>
      <c r="PMZ12" s="27"/>
      <c r="PNF12" s="27"/>
      <c r="PNG12" s="27"/>
      <c r="PNH12" s="27"/>
      <c r="PNN12" s="27"/>
      <c r="PNO12" s="27"/>
      <c r="PNP12" s="27"/>
      <c r="PNV12" s="27"/>
      <c r="PNW12" s="27"/>
      <c r="PNX12" s="27"/>
      <c r="POD12" s="27"/>
      <c r="POE12" s="27"/>
      <c r="POF12" s="27"/>
      <c r="POL12" s="27"/>
      <c r="POM12" s="27"/>
      <c r="PON12" s="27"/>
      <c r="POT12" s="27"/>
      <c r="POU12" s="27"/>
      <c r="POV12" s="27"/>
      <c r="PPB12" s="27"/>
      <c r="PPC12" s="27"/>
      <c r="PPD12" s="27"/>
      <c r="PPJ12" s="27"/>
      <c r="PPK12" s="27"/>
      <c r="PPL12" s="27"/>
      <c r="PPR12" s="27"/>
      <c r="PPS12" s="27"/>
      <c r="PPT12" s="27"/>
      <c r="PPZ12" s="27"/>
      <c r="PQA12" s="27"/>
      <c r="PQB12" s="27"/>
      <c r="PQH12" s="27"/>
      <c r="PQI12" s="27"/>
      <c r="PQJ12" s="27"/>
      <c r="PQP12" s="27"/>
      <c r="PQQ12" s="27"/>
      <c r="PQR12" s="27"/>
      <c r="PQX12" s="27"/>
      <c r="PQY12" s="27"/>
      <c r="PQZ12" s="27"/>
      <c r="PRF12" s="27"/>
      <c r="PRG12" s="27"/>
      <c r="PRH12" s="27"/>
      <c r="PRN12" s="27"/>
      <c r="PRO12" s="27"/>
      <c r="PRP12" s="27"/>
      <c r="PRV12" s="27"/>
      <c r="PRW12" s="27"/>
      <c r="PRX12" s="27"/>
      <c r="PSD12" s="27"/>
      <c r="PSE12" s="27"/>
      <c r="PSF12" s="27"/>
      <c r="PSL12" s="27"/>
      <c r="PSM12" s="27"/>
      <c r="PSN12" s="27"/>
      <c r="PST12" s="27"/>
      <c r="PSU12" s="27"/>
      <c r="PSV12" s="27"/>
      <c r="PTB12" s="27"/>
      <c r="PTC12" s="27"/>
      <c r="PTD12" s="27"/>
      <c r="PTJ12" s="27"/>
      <c r="PTK12" s="27"/>
      <c r="PTL12" s="27"/>
      <c r="PTR12" s="27"/>
      <c r="PTS12" s="27"/>
      <c r="PTT12" s="27"/>
      <c r="PTZ12" s="27"/>
      <c r="PUA12" s="27"/>
      <c r="PUB12" s="27"/>
      <c r="PUH12" s="27"/>
      <c r="PUI12" s="27"/>
      <c r="PUJ12" s="27"/>
      <c r="PUP12" s="27"/>
      <c r="PUQ12" s="27"/>
      <c r="PUR12" s="27"/>
      <c r="PUX12" s="27"/>
      <c r="PUY12" s="27"/>
      <c r="PUZ12" s="27"/>
      <c r="PVF12" s="27"/>
      <c r="PVG12" s="27"/>
      <c r="PVH12" s="27"/>
      <c r="PVN12" s="27"/>
      <c r="PVO12" s="27"/>
      <c r="PVP12" s="27"/>
      <c r="PVV12" s="27"/>
      <c r="PVW12" s="27"/>
      <c r="PVX12" s="27"/>
      <c r="PWD12" s="27"/>
      <c r="PWE12" s="27"/>
      <c r="PWF12" s="27"/>
      <c r="PWL12" s="27"/>
      <c r="PWM12" s="27"/>
      <c r="PWN12" s="27"/>
      <c r="PWT12" s="27"/>
      <c r="PWU12" s="27"/>
      <c r="PWV12" s="27"/>
      <c r="PXB12" s="27"/>
      <c r="PXC12" s="27"/>
      <c r="PXD12" s="27"/>
      <c r="PXJ12" s="27"/>
      <c r="PXK12" s="27"/>
      <c r="PXL12" s="27"/>
      <c r="PXR12" s="27"/>
      <c r="PXS12" s="27"/>
      <c r="PXT12" s="27"/>
      <c r="PXZ12" s="27"/>
      <c r="PYA12" s="27"/>
      <c r="PYB12" s="27"/>
      <c r="PYH12" s="27"/>
      <c r="PYI12" s="27"/>
      <c r="PYJ12" s="27"/>
      <c r="PYP12" s="27"/>
      <c r="PYQ12" s="27"/>
      <c r="PYR12" s="27"/>
      <c r="PYX12" s="27"/>
      <c r="PYY12" s="27"/>
      <c r="PYZ12" s="27"/>
      <c r="PZF12" s="27"/>
      <c r="PZG12" s="27"/>
      <c r="PZH12" s="27"/>
      <c r="PZN12" s="27"/>
      <c r="PZO12" s="27"/>
      <c r="PZP12" s="27"/>
      <c r="PZV12" s="27"/>
      <c r="PZW12" s="27"/>
      <c r="PZX12" s="27"/>
      <c r="QAD12" s="27"/>
      <c r="QAE12" s="27"/>
      <c r="QAF12" s="27"/>
      <c r="QAL12" s="27"/>
      <c r="QAM12" s="27"/>
      <c r="QAN12" s="27"/>
      <c r="QAT12" s="27"/>
      <c r="QAU12" s="27"/>
      <c r="QAV12" s="27"/>
      <c r="QBB12" s="27"/>
      <c r="QBC12" s="27"/>
      <c r="QBD12" s="27"/>
      <c r="QBJ12" s="27"/>
      <c r="QBK12" s="27"/>
      <c r="QBL12" s="27"/>
      <c r="QBR12" s="27"/>
      <c r="QBS12" s="27"/>
      <c r="QBT12" s="27"/>
      <c r="QBZ12" s="27"/>
      <c r="QCA12" s="27"/>
      <c r="QCB12" s="27"/>
      <c r="QCH12" s="27"/>
      <c r="QCI12" s="27"/>
      <c r="QCJ12" s="27"/>
      <c r="QCP12" s="27"/>
      <c r="QCQ12" s="27"/>
      <c r="QCR12" s="27"/>
      <c r="QCX12" s="27"/>
      <c r="QCY12" s="27"/>
      <c r="QCZ12" s="27"/>
      <c r="QDF12" s="27"/>
      <c r="QDG12" s="27"/>
      <c r="QDH12" s="27"/>
      <c r="QDN12" s="27"/>
      <c r="QDO12" s="27"/>
      <c r="QDP12" s="27"/>
      <c r="QDV12" s="27"/>
      <c r="QDW12" s="27"/>
      <c r="QDX12" s="27"/>
      <c r="QED12" s="27"/>
      <c r="QEE12" s="27"/>
      <c r="QEF12" s="27"/>
      <c r="QEL12" s="27"/>
      <c r="QEM12" s="27"/>
      <c r="QEN12" s="27"/>
      <c r="QET12" s="27"/>
      <c r="QEU12" s="27"/>
      <c r="QEV12" s="27"/>
      <c r="QFB12" s="27"/>
      <c r="QFC12" s="27"/>
      <c r="QFD12" s="27"/>
      <c r="QFJ12" s="27"/>
      <c r="QFK12" s="27"/>
      <c r="QFL12" s="27"/>
      <c r="QFR12" s="27"/>
      <c r="QFS12" s="27"/>
      <c r="QFT12" s="27"/>
      <c r="QFZ12" s="27"/>
      <c r="QGA12" s="27"/>
      <c r="QGB12" s="27"/>
      <c r="QGH12" s="27"/>
      <c r="QGI12" s="27"/>
      <c r="QGJ12" s="27"/>
      <c r="QGP12" s="27"/>
      <c r="QGQ12" s="27"/>
      <c r="QGR12" s="27"/>
      <c r="QGX12" s="27"/>
      <c r="QGY12" s="27"/>
      <c r="QGZ12" s="27"/>
      <c r="QHF12" s="27"/>
      <c r="QHG12" s="27"/>
      <c r="QHH12" s="27"/>
      <c r="QHN12" s="27"/>
      <c r="QHO12" s="27"/>
      <c r="QHP12" s="27"/>
      <c r="QHV12" s="27"/>
      <c r="QHW12" s="27"/>
      <c r="QHX12" s="27"/>
      <c r="QID12" s="27"/>
      <c r="QIE12" s="27"/>
      <c r="QIF12" s="27"/>
      <c r="QIL12" s="27"/>
      <c r="QIM12" s="27"/>
      <c r="QIN12" s="27"/>
      <c r="QIT12" s="27"/>
      <c r="QIU12" s="27"/>
      <c r="QIV12" s="27"/>
      <c r="QJB12" s="27"/>
      <c r="QJC12" s="27"/>
      <c r="QJD12" s="27"/>
      <c r="QJJ12" s="27"/>
      <c r="QJK12" s="27"/>
      <c r="QJL12" s="27"/>
      <c r="QJR12" s="27"/>
      <c r="QJS12" s="27"/>
      <c r="QJT12" s="27"/>
      <c r="QJZ12" s="27"/>
      <c r="QKA12" s="27"/>
      <c r="QKB12" s="27"/>
      <c r="QKH12" s="27"/>
      <c r="QKI12" s="27"/>
      <c r="QKJ12" s="27"/>
      <c r="QKP12" s="27"/>
      <c r="QKQ12" s="27"/>
      <c r="QKR12" s="27"/>
      <c r="QKX12" s="27"/>
      <c r="QKY12" s="27"/>
      <c r="QKZ12" s="27"/>
      <c r="QLF12" s="27"/>
      <c r="QLG12" s="27"/>
      <c r="QLH12" s="27"/>
      <c r="QLN12" s="27"/>
      <c r="QLO12" s="27"/>
      <c r="QLP12" s="27"/>
      <c r="QLV12" s="27"/>
      <c r="QLW12" s="27"/>
      <c r="QLX12" s="27"/>
      <c r="QMD12" s="27"/>
      <c r="QME12" s="27"/>
      <c r="QMF12" s="27"/>
      <c r="QML12" s="27"/>
      <c r="QMM12" s="27"/>
      <c r="QMN12" s="27"/>
      <c r="QMT12" s="27"/>
      <c r="QMU12" s="27"/>
      <c r="QMV12" s="27"/>
      <c r="QNB12" s="27"/>
      <c r="QNC12" s="27"/>
      <c r="QND12" s="27"/>
      <c r="QNJ12" s="27"/>
      <c r="QNK12" s="27"/>
      <c r="QNL12" s="27"/>
      <c r="QNR12" s="27"/>
      <c r="QNS12" s="27"/>
      <c r="QNT12" s="27"/>
      <c r="QNZ12" s="27"/>
      <c r="QOA12" s="27"/>
      <c r="QOB12" s="27"/>
      <c r="QOH12" s="27"/>
      <c r="QOI12" s="27"/>
      <c r="QOJ12" s="27"/>
      <c r="QOP12" s="27"/>
      <c r="QOQ12" s="27"/>
      <c r="QOR12" s="27"/>
      <c r="QOX12" s="27"/>
      <c r="QOY12" s="27"/>
      <c r="QOZ12" s="27"/>
      <c r="QPF12" s="27"/>
      <c r="QPG12" s="27"/>
      <c r="QPH12" s="27"/>
      <c r="QPN12" s="27"/>
      <c r="QPO12" s="27"/>
      <c r="QPP12" s="27"/>
      <c r="QPV12" s="27"/>
      <c r="QPW12" s="27"/>
      <c r="QPX12" s="27"/>
      <c r="QQD12" s="27"/>
      <c r="QQE12" s="27"/>
      <c r="QQF12" s="27"/>
      <c r="QQL12" s="27"/>
      <c r="QQM12" s="27"/>
      <c r="QQN12" s="27"/>
      <c r="QQT12" s="27"/>
      <c r="QQU12" s="27"/>
      <c r="QQV12" s="27"/>
      <c r="QRB12" s="27"/>
      <c r="QRC12" s="27"/>
      <c r="QRD12" s="27"/>
      <c r="QRJ12" s="27"/>
      <c r="QRK12" s="27"/>
      <c r="QRL12" s="27"/>
      <c r="QRR12" s="27"/>
      <c r="QRS12" s="27"/>
      <c r="QRT12" s="27"/>
      <c r="QRZ12" s="27"/>
      <c r="QSA12" s="27"/>
      <c r="QSB12" s="27"/>
      <c r="QSH12" s="27"/>
      <c r="QSI12" s="27"/>
      <c r="QSJ12" s="27"/>
      <c r="QSP12" s="27"/>
      <c r="QSQ12" s="27"/>
      <c r="QSR12" s="27"/>
      <c r="QSX12" s="27"/>
      <c r="QSY12" s="27"/>
      <c r="QSZ12" s="27"/>
      <c r="QTF12" s="27"/>
      <c r="QTG12" s="27"/>
      <c r="QTH12" s="27"/>
      <c r="QTN12" s="27"/>
      <c r="QTO12" s="27"/>
      <c r="QTP12" s="27"/>
      <c r="QTV12" s="27"/>
      <c r="QTW12" s="27"/>
      <c r="QTX12" s="27"/>
      <c r="QUD12" s="27"/>
      <c r="QUE12" s="27"/>
      <c r="QUF12" s="27"/>
      <c r="QUL12" s="27"/>
      <c r="QUM12" s="27"/>
      <c r="QUN12" s="27"/>
      <c r="QUT12" s="27"/>
      <c r="QUU12" s="27"/>
      <c r="QUV12" s="27"/>
      <c r="QVB12" s="27"/>
      <c r="QVC12" s="27"/>
      <c r="QVD12" s="27"/>
      <c r="QVJ12" s="27"/>
      <c r="QVK12" s="27"/>
      <c r="QVL12" s="27"/>
      <c r="QVR12" s="27"/>
      <c r="QVS12" s="27"/>
      <c r="QVT12" s="27"/>
      <c r="QVZ12" s="27"/>
      <c r="QWA12" s="27"/>
      <c r="QWB12" s="27"/>
      <c r="QWH12" s="27"/>
      <c r="QWI12" s="27"/>
      <c r="QWJ12" s="27"/>
      <c r="QWP12" s="27"/>
      <c r="QWQ12" s="27"/>
      <c r="QWR12" s="27"/>
      <c r="QWX12" s="27"/>
      <c r="QWY12" s="27"/>
      <c r="QWZ12" s="27"/>
      <c r="QXF12" s="27"/>
      <c r="QXG12" s="27"/>
      <c r="QXH12" s="27"/>
      <c r="QXN12" s="27"/>
      <c r="QXO12" s="27"/>
      <c r="QXP12" s="27"/>
      <c r="QXV12" s="27"/>
      <c r="QXW12" s="27"/>
      <c r="QXX12" s="27"/>
      <c r="QYD12" s="27"/>
      <c r="QYE12" s="27"/>
      <c r="QYF12" s="27"/>
      <c r="QYL12" s="27"/>
      <c r="QYM12" s="27"/>
      <c r="QYN12" s="27"/>
      <c r="QYT12" s="27"/>
      <c r="QYU12" s="27"/>
      <c r="QYV12" s="27"/>
      <c r="QZB12" s="27"/>
      <c r="QZC12" s="27"/>
      <c r="QZD12" s="27"/>
      <c r="QZJ12" s="27"/>
      <c r="QZK12" s="27"/>
      <c r="QZL12" s="27"/>
      <c r="QZR12" s="27"/>
      <c r="QZS12" s="27"/>
      <c r="QZT12" s="27"/>
      <c r="QZZ12" s="27"/>
      <c r="RAA12" s="27"/>
      <c r="RAB12" s="27"/>
      <c r="RAH12" s="27"/>
      <c r="RAI12" s="27"/>
      <c r="RAJ12" s="27"/>
      <c r="RAP12" s="27"/>
      <c r="RAQ12" s="27"/>
      <c r="RAR12" s="27"/>
      <c r="RAX12" s="27"/>
      <c r="RAY12" s="27"/>
      <c r="RAZ12" s="27"/>
      <c r="RBF12" s="27"/>
      <c r="RBG12" s="27"/>
      <c r="RBH12" s="27"/>
      <c r="RBN12" s="27"/>
      <c r="RBO12" s="27"/>
      <c r="RBP12" s="27"/>
      <c r="RBV12" s="27"/>
      <c r="RBW12" s="27"/>
      <c r="RBX12" s="27"/>
      <c r="RCD12" s="27"/>
      <c r="RCE12" s="27"/>
      <c r="RCF12" s="27"/>
      <c r="RCL12" s="27"/>
      <c r="RCM12" s="27"/>
      <c r="RCN12" s="27"/>
      <c r="RCT12" s="27"/>
      <c r="RCU12" s="27"/>
      <c r="RCV12" s="27"/>
      <c r="RDB12" s="27"/>
      <c r="RDC12" s="27"/>
      <c r="RDD12" s="27"/>
      <c r="RDJ12" s="27"/>
      <c r="RDK12" s="27"/>
      <c r="RDL12" s="27"/>
      <c r="RDR12" s="27"/>
      <c r="RDS12" s="27"/>
      <c r="RDT12" s="27"/>
      <c r="RDZ12" s="27"/>
      <c r="REA12" s="27"/>
      <c r="REB12" s="27"/>
      <c r="REH12" s="27"/>
      <c r="REI12" s="27"/>
      <c r="REJ12" s="27"/>
      <c r="REP12" s="27"/>
      <c r="REQ12" s="27"/>
      <c r="RER12" s="27"/>
      <c r="REX12" s="27"/>
      <c r="REY12" s="27"/>
      <c r="REZ12" s="27"/>
      <c r="RFF12" s="27"/>
      <c r="RFG12" s="27"/>
      <c r="RFH12" s="27"/>
      <c r="RFN12" s="27"/>
      <c r="RFO12" s="27"/>
      <c r="RFP12" s="27"/>
      <c r="RFV12" s="27"/>
      <c r="RFW12" s="27"/>
      <c r="RFX12" s="27"/>
      <c r="RGD12" s="27"/>
      <c r="RGE12" s="27"/>
      <c r="RGF12" s="27"/>
      <c r="RGL12" s="27"/>
      <c r="RGM12" s="27"/>
      <c r="RGN12" s="27"/>
      <c r="RGT12" s="27"/>
      <c r="RGU12" s="27"/>
      <c r="RGV12" s="27"/>
      <c r="RHB12" s="27"/>
      <c r="RHC12" s="27"/>
      <c r="RHD12" s="27"/>
      <c r="RHJ12" s="27"/>
      <c r="RHK12" s="27"/>
      <c r="RHL12" s="27"/>
      <c r="RHR12" s="27"/>
      <c r="RHS12" s="27"/>
      <c r="RHT12" s="27"/>
      <c r="RHZ12" s="27"/>
      <c r="RIA12" s="27"/>
      <c r="RIB12" s="27"/>
      <c r="RIH12" s="27"/>
      <c r="RII12" s="27"/>
      <c r="RIJ12" s="27"/>
      <c r="RIP12" s="27"/>
      <c r="RIQ12" s="27"/>
      <c r="RIR12" s="27"/>
      <c r="RIX12" s="27"/>
      <c r="RIY12" s="27"/>
      <c r="RIZ12" s="27"/>
      <c r="RJF12" s="27"/>
      <c r="RJG12" s="27"/>
      <c r="RJH12" s="27"/>
      <c r="RJN12" s="27"/>
      <c r="RJO12" s="27"/>
      <c r="RJP12" s="27"/>
      <c r="RJV12" s="27"/>
      <c r="RJW12" s="27"/>
      <c r="RJX12" s="27"/>
      <c r="RKD12" s="27"/>
      <c r="RKE12" s="27"/>
      <c r="RKF12" s="27"/>
      <c r="RKL12" s="27"/>
      <c r="RKM12" s="27"/>
      <c r="RKN12" s="27"/>
      <c r="RKT12" s="27"/>
      <c r="RKU12" s="27"/>
      <c r="RKV12" s="27"/>
      <c r="RLB12" s="27"/>
      <c r="RLC12" s="27"/>
      <c r="RLD12" s="27"/>
      <c r="RLJ12" s="27"/>
      <c r="RLK12" s="27"/>
      <c r="RLL12" s="27"/>
      <c r="RLR12" s="27"/>
      <c r="RLS12" s="27"/>
      <c r="RLT12" s="27"/>
      <c r="RLZ12" s="27"/>
      <c r="RMA12" s="27"/>
      <c r="RMB12" s="27"/>
      <c r="RMH12" s="27"/>
      <c r="RMI12" s="27"/>
      <c r="RMJ12" s="27"/>
      <c r="RMP12" s="27"/>
      <c r="RMQ12" s="27"/>
      <c r="RMR12" s="27"/>
      <c r="RMX12" s="27"/>
      <c r="RMY12" s="27"/>
      <c r="RMZ12" s="27"/>
      <c r="RNF12" s="27"/>
      <c r="RNG12" s="27"/>
      <c r="RNH12" s="27"/>
      <c r="RNN12" s="27"/>
      <c r="RNO12" s="27"/>
      <c r="RNP12" s="27"/>
      <c r="RNV12" s="27"/>
      <c r="RNW12" s="27"/>
      <c r="RNX12" s="27"/>
      <c r="ROD12" s="27"/>
      <c r="ROE12" s="27"/>
      <c r="ROF12" s="27"/>
      <c r="ROL12" s="27"/>
      <c r="ROM12" s="27"/>
      <c r="RON12" s="27"/>
      <c r="ROT12" s="27"/>
      <c r="ROU12" s="27"/>
      <c r="ROV12" s="27"/>
      <c r="RPB12" s="27"/>
      <c r="RPC12" s="27"/>
      <c r="RPD12" s="27"/>
      <c r="RPJ12" s="27"/>
      <c r="RPK12" s="27"/>
      <c r="RPL12" s="27"/>
      <c r="RPR12" s="27"/>
      <c r="RPS12" s="27"/>
      <c r="RPT12" s="27"/>
      <c r="RPZ12" s="27"/>
      <c r="RQA12" s="27"/>
      <c r="RQB12" s="27"/>
      <c r="RQH12" s="27"/>
      <c r="RQI12" s="27"/>
      <c r="RQJ12" s="27"/>
      <c r="RQP12" s="27"/>
      <c r="RQQ12" s="27"/>
      <c r="RQR12" s="27"/>
      <c r="RQX12" s="27"/>
      <c r="RQY12" s="27"/>
      <c r="RQZ12" s="27"/>
      <c r="RRF12" s="27"/>
      <c r="RRG12" s="27"/>
      <c r="RRH12" s="27"/>
      <c r="RRN12" s="27"/>
      <c r="RRO12" s="27"/>
      <c r="RRP12" s="27"/>
      <c r="RRV12" s="27"/>
      <c r="RRW12" s="27"/>
      <c r="RRX12" s="27"/>
      <c r="RSD12" s="27"/>
      <c r="RSE12" s="27"/>
      <c r="RSF12" s="27"/>
      <c r="RSL12" s="27"/>
      <c r="RSM12" s="27"/>
      <c r="RSN12" s="27"/>
      <c r="RST12" s="27"/>
      <c r="RSU12" s="27"/>
      <c r="RSV12" s="27"/>
      <c r="RTB12" s="27"/>
      <c r="RTC12" s="27"/>
      <c r="RTD12" s="27"/>
      <c r="RTJ12" s="27"/>
      <c r="RTK12" s="27"/>
      <c r="RTL12" s="27"/>
      <c r="RTR12" s="27"/>
      <c r="RTS12" s="27"/>
      <c r="RTT12" s="27"/>
      <c r="RTZ12" s="27"/>
      <c r="RUA12" s="27"/>
      <c r="RUB12" s="27"/>
      <c r="RUH12" s="27"/>
      <c r="RUI12" s="27"/>
      <c r="RUJ12" s="27"/>
      <c r="RUP12" s="27"/>
      <c r="RUQ12" s="27"/>
      <c r="RUR12" s="27"/>
      <c r="RUX12" s="27"/>
      <c r="RUY12" s="27"/>
      <c r="RUZ12" s="27"/>
      <c r="RVF12" s="27"/>
      <c r="RVG12" s="27"/>
      <c r="RVH12" s="27"/>
      <c r="RVN12" s="27"/>
      <c r="RVO12" s="27"/>
      <c r="RVP12" s="27"/>
      <c r="RVV12" s="27"/>
      <c r="RVW12" s="27"/>
      <c r="RVX12" s="27"/>
      <c r="RWD12" s="27"/>
      <c r="RWE12" s="27"/>
      <c r="RWF12" s="27"/>
      <c r="RWL12" s="27"/>
      <c r="RWM12" s="27"/>
      <c r="RWN12" s="27"/>
      <c r="RWT12" s="27"/>
      <c r="RWU12" s="27"/>
      <c r="RWV12" s="27"/>
      <c r="RXB12" s="27"/>
      <c r="RXC12" s="27"/>
      <c r="RXD12" s="27"/>
      <c r="RXJ12" s="27"/>
      <c r="RXK12" s="27"/>
      <c r="RXL12" s="27"/>
      <c r="RXR12" s="27"/>
      <c r="RXS12" s="27"/>
      <c r="RXT12" s="27"/>
      <c r="RXZ12" s="27"/>
      <c r="RYA12" s="27"/>
      <c r="RYB12" s="27"/>
      <c r="RYH12" s="27"/>
      <c r="RYI12" s="27"/>
      <c r="RYJ12" s="27"/>
      <c r="RYP12" s="27"/>
      <c r="RYQ12" s="27"/>
      <c r="RYR12" s="27"/>
      <c r="RYX12" s="27"/>
      <c r="RYY12" s="27"/>
      <c r="RYZ12" s="27"/>
      <c r="RZF12" s="27"/>
      <c r="RZG12" s="27"/>
      <c r="RZH12" s="27"/>
      <c r="RZN12" s="27"/>
      <c r="RZO12" s="27"/>
      <c r="RZP12" s="27"/>
      <c r="RZV12" s="27"/>
      <c r="RZW12" s="27"/>
      <c r="RZX12" s="27"/>
      <c r="SAD12" s="27"/>
      <c r="SAE12" s="27"/>
      <c r="SAF12" s="27"/>
      <c r="SAL12" s="27"/>
      <c r="SAM12" s="27"/>
      <c r="SAN12" s="27"/>
      <c r="SAT12" s="27"/>
      <c r="SAU12" s="27"/>
      <c r="SAV12" s="27"/>
      <c r="SBB12" s="27"/>
      <c r="SBC12" s="27"/>
      <c r="SBD12" s="27"/>
      <c r="SBJ12" s="27"/>
      <c r="SBK12" s="27"/>
      <c r="SBL12" s="27"/>
      <c r="SBR12" s="27"/>
      <c r="SBS12" s="27"/>
      <c r="SBT12" s="27"/>
      <c r="SBZ12" s="27"/>
      <c r="SCA12" s="27"/>
      <c r="SCB12" s="27"/>
      <c r="SCH12" s="27"/>
      <c r="SCI12" s="27"/>
      <c r="SCJ12" s="27"/>
      <c r="SCP12" s="27"/>
      <c r="SCQ12" s="27"/>
      <c r="SCR12" s="27"/>
      <c r="SCX12" s="27"/>
      <c r="SCY12" s="27"/>
      <c r="SCZ12" s="27"/>
      <c r="SDF12" s="27"/>
      <c r="SDG12" s="27"/>
      <c r="SDH12" s="27"/>
      <c r="SDN12" s="27"/>
      <c r="SDO12" s="27"/>
      <c r="SDP12" s="27"/>
      <c r="SDV12" s="27"/>
      <c r="SDW12" s="27"/>
      <c r="SDX12" s="27"/>
      <c r="SED12" s="27"/>
      <c r="SEE12" s="27"/>
      <c r="SEF12" s="27"/>
      <c r="SEL12" s="27"/>
      <c r="SEM12" s="27"/>
      <c r="SEN12" s="27"/>
      <c r="SET12" s="27"/>
      <c r="SEU12" s="27"/>
      <c r="SEV12" s="27"/>
      <c r="SFB12" s="27"/>
      <c r="SFC12" s="27"/>
      <c r="SFD12" s="27"/>
      <c r="SFJ12" s="27"/>
      <c r="SFK12" s="27"/>
      <c r="SFL12" s="27"/>
      <c r="SFR12" s="27"/>
      <c r="SFS12" s="27"/>
      <c r="SFT12" s="27"/>
      <c r="SFZ12" s="27"/>
      <c r="SGA12" s="27"/>
      <c r="SGB12" s="27"/>
      <c r="SGH12" s="27"/>
      <c r="SGI12" s="27"/>
      <c r="SGJ12" s="27"/>
      <c r="SGP12" s="27"/>
      <c r="SGQ12" s="27"/>
      <c r="SGR12" s="27"/>
      <c r="SGX12" s="27"/>
      <c r="SGY12" s="27"/>
      <c r="SGZ12" s="27"/>
      <c r="SHF12" s="27"/>
      <c r="SHG12" s="27"/>
      <c r="SHH12" s="27"/>
      <c r="SHN12" s="27"/>
      <c r="SHO12" s="27"/>
      <c r="SHP12" s="27"/>
      <c r="SHV12" s="27"/>
      <c r="SHW12" s="27"/>
      <c r="SHX12" s="27"/>
      <c r="SID12" s="27"/>
      <c r="SIE12" s="27"/>
      <c r="SIF12" s="27"/>
      <c r="SIL12" s="27"/>
      <c r="SIM12" s="27"/>
      <c r="SIN12" s="27"/>
      <c r="SIT12" s="27"/>
      <c r="SIU12" s="27"/>
      <c r="SIV12" s="27"/>
      <c r="SJB12" s="27"/>
      <c r="SJC12" s="27"/>
      <c r="SJD12" s="27"/>
      <c r="SJJ12" s="27"/>
      <c r="SJK12" s="27"/>
      <c r="SJL12" s="27"/>
      <c r="SJR12" s="27"/>
      <c r="SJS12" s="27"/>
      <c r="SJT12" s="27"/>
      <c r="SJZ12" s="27"/>
      <c r="SKA12" s="27"/>
      <c r="SKB12" s="27"/>
      <c r="SKH12" s="27"/>
      <c r="SKI12" s="27"/>
      <c r="SKJ12" s="27"/>
      <c r="SKP12" s="27"/>
      <c r="SKQ12" s="27"/>
      <c r="SKR12" s="27"/>
      <c r="SKX12" s="27"/>
      <c r="SKY12" s="27"/>
      <c r="SKZ12" s="27"/>
      <c r="SLF12" s="27"/>
      <c r="SLG12" s="27"/>
      <c r="SLH12" s="27"/>
      <c r="SLN12" s="27"/>
      <c r="SLO12" s="27"/>
      <c r="SLP12" s="27"/>
      <c r="SLV12" s="27"/>
      <c r="SLW12" s="27"/>
      <c r="SLX12" s="27"/>
      <c r="SMD12" s="27"/>
      <c r="SME12" s="27"/>
      <c r="SMF12" s="27"/>
      <c r="SML12" s="27"/>
      <c r="SMM12" s="27"/>
      <c r="SMN12" s="27"/>
      <c r="SMT12" s="27"/>
      <c r="SMU12" s="27"/>
      <c r="SMV12" s="27"/>
      <c r="SNB12" s="27"/>
      <c r="SNC12" s="27"/>
      <c r="SND12" s="27"/>
      <c r="SNJ12" s="27"/>
      <c r="SNK12" s="27"/>
      <c r="SNL12" s="27"/>
      <c r="SNR12" s="27"/>
      <c r="SNS12" s="27"/>
      <c r="SNT12" s="27"/>
      <c r="SNZ12" s="27"/>
      <c r="SOA12" s="27"/>
      <c r="SOB12" s="27"/>
      <c r="SOH12" s="27"/>
      <c r="SOI12" s="27"/>
      <c r="SOJ12" s="27"/>
      <c r="SOP12" s="27"/>
      <c r="SOQ12" s="27"/>
      <c r="SOR12" s="27"/>
      <c r="SOX12" s="27"/>
      <c r="SOY12" s="27"/>
      <c r="SOZ12" s="27"/>
      <c r="SPF12" s="27"/>
      <c r="SPG12" s="27"/>
      <c r="SPH12" s="27"/>
      <c r="SPN12" s="27"/>
      <c r="SPO12" s="27"/>
      <c r="SPP12" s="27"/>
      <c r="SPV12" s="27"/>
      <c r="SPW12" s="27"/>
      <c r="SPX12" s="27"/>
      <c r="SQD12" s="27"/>
      <c r="SQE12" s="27"/>
      <c r="SQF12" s="27"/>
      <c r="SQL12" s="27"/>
      <c r="SQM12" s="27"/>
      <c r="SQN12" s="27"/>
      <c r="SQT12" s="27"/>
      <c r="SQU12" s="27"/>
      <c r="SQV12" s="27"/>
      <c r="SRB12" s="27"/>
      <c r="SRC12" s="27"/>
      <c r="SRD12" s="27"/>
      <c r="SRJ12" s="27"/>
      <c r="SRK12" s="27"/>
      <c r="SRL12" s="27"/>
      <c r="SRR12" s="27"/>
      <c r="SRS12" s="27"/>
      <c r="SRT12" s="27"/>
      <c r="SRZ12" s="27"/>
      <c r="SSA12" s="27"/>
      <c r="SSB12" s="27"/>
      <c r="SSH12" s="27"/>
      <c r="SSI12" s="27"/>
      <c r="SSJ12" s="27"/>
      <c r="SSP12" s="27"/>
      <c r="SSQ12" s="27"/>
      <c r="SSR12" s="27"/>
      <c r="SSX12" s="27"/>
      <c r="SSY12" s="27"/>
      <c r="SSZ12" s="27"/>
      <c r="STF12" s="27"/>
      <c r="STG12" s="27"/>
      <c r="STH12" s="27"/>
      <c r="STN12" s="27"/>
      <c r="STO12" s="27"/>
      <c r="STP12" s="27"/>
      <c r="STV12" s="27"/>
      <c r="STW12" s="27"/>
      <c r="STX12" s="27"/>
      <c r="SUD12" s="27"/>
      <c r="SUE12" s="27"/>
      <c r="SUF12" s="27"/>
      <c r="SUL12" s="27"/>
      <c r="SUM12" s="27"/>
      <c r="SUN12" s="27"/>
      <c r="SUT12" s="27"/>
      <c r="SUU12" s="27"/>
      <c r="SUV12" s="27"/>
      <c r="SVB12" s="27"/>
      <c r="SVC12" s="27"/>
      <c r="SVD12" s="27"/>
      <c r="SVJ12" s="27"/>
      <c r="SVK12" s="27"/>
      <c r="SVL12" s="27"/>
      <c r="SVR12" s="27"/>
      <c r="SVS12" s="27"/>
      <c r="SVT12" s="27"/>
      <c r="SVZ12" s="27"/>
      <c r="SWA12" s="27"/>
      <c r="SWB12" s="27"/>
      <c r="SWH12" s="27"/>
      <c r="SWI12" s="27"/>
      <c r="SWJ12" s="27"/>
      <c r="SWP12" s="27"/>
      <c r="SWQ12" s="27"/>
      <c r="SWR12" s="27"/>
      <c r="SWX12" s="27"/>
      <c r="SWY12" s="27"/>
      <c r="SWZ12" s="27"/>
      <c r="SXF12" s="27"/>
      <c r="SXG12" s="27"/>
      <c r="SXH12" s="27"/>
      <c r="SXN12" s="27"/>
      <c r="SXO12" s="27"/>
      <c r="SXP12" s="27"/>
      <c r="SXV12" s="27"/>
      <c r="SXW12" s="27"/>
      <c r="SXX12" s="27"/>
      <c r="SYD12" s="27"/>
      <c r="SYE12" s="27"/>
      <c r="SYF12" s="27"/>
      <c r="SYL12" s="27"/>
      <c r="SYM12" s="27"/>
      <c r="SYN12" s="27"/>
      <c r="SYT12" s="27"/>
      <c r="SYU12" s="27"/>
      <c r="SYV12" s="27"/>
      <c r="SZB12" s="27"/>
      <c r="SZC12" s="27"/>
      <c r="SZD12" s="27"/>
      <c r="SZJ12" s="27"/>
      <c r="SZK12" s="27"/>
      <c r="SZL12" s="27"/>
      <c r="SZR12" s="27"/>
      <c r="SZS12" s="27"/>
      <c r="SZT12" s="27"/>
      <c r="SZZ12" s="27"/>
      <c r="TAA12" s="27"/>
      <c r="TAB12" s="27"/>
      <c r="TAH12" s="27"/>
      <c r="TAI12" s="27"/>
      <c r="TAJ12" s="27"/>
      <c r="TAP12" s="27"/>
      <c r="TAQ12" s="27"/>
      <c r="TAR12" s="27"/>
      <c r="TAX12" s="27"/>
      <c r="TAY12" s="27"/>
      <c r="TAZ12" s="27"/>
      <c r="TBF12" s="27"/>
      <c r="TBG12" s="27"/>
      <c r="TBH12" s="27"/>
      <c r="TBN12" s="27"/>
      <c r="TBO12" s="27"/>
      <c r="TBP12" s="27"/>
      <c r="TBV12" s="27"/>
      <c r="TBW12" s="27"/>
      <c r="TBX12" s="27"/>
      <c r="TCD12" s="27"/>
      <c r="TCE12" s="27"/>
      <c r="TCF12" s="27"/>
      <c r="TCL12" s="27"/>
      <c r="TCM12" s="27"/>
      <c r="TCN12" s="27"/>
      <c r="TCT12" s="27"/>
      <c r="TCU12" s="27"/>
      <c r="TCV12" s="27"/>
      <c r="TDB12" s="27"/>
      <c r="TDC12" s="27"/>
      <c r="TDD12" s="27"/>
      <c r="TDJ12" s="27"/>
      <c r="TDK12" s="27"/>
      <c r="TDL12" s="27"/>
      <c r="TDR12" s="27"/>
      <c r="TDS12" s="27"/>
      <c r="TDT12" s="27"/>
      <c r="TDZ12" s="27"/>
      <c r="TEA12" s="27"/>
      <c r="TEB12" s="27"/>
      <c r="TEH12" s="27"/>
      <c r="TEI12" s="27"/>
      <c r="TEJ12" s="27"/>
      <c r="TEP12" s="27"/>
      <c r="TEQ12" s="27"/>
      <c r="TER12" s="27"/>
      <c r="TEX12" s="27"/>
      <c r="TEY12" s="27"/>
      <c r="TEZ12" s="27"/>
      <c r="TFF12" s="27"/>
      <c r="TFG12" s="27"/>
      <c r="TFH12" s="27"/>
      <c r="TFN12" s="27"/>
      <c r="TFO12" s="27"/>
      <c r="TFP12" s="27"/>
      <c r="TFV12" s="27"/>
      <c r="TFW12" s="27"/>
      <c r="TFX12" s="27"/>
      <c r="TGD12" s="27"/>
      <c r="TGE12" s="27"/>
      <c r="TGF12" s="27"/>
      <c r="TGL12" s="27"/>
      <c r="TGM12" s="27"/>
      <c r="TGN12" s="27"/>
      <c r="TGT12" s="27"/>
      <c r="TGU12" s="27"/>
      <c r="TGV12" s="27"/>
      <c r="THB12" s="27"/>
      <c r="THC12" s="27"/>
      <c r="THD12" s="27"/>
      <c r="THJ12" s="27"/>
      <c r="THK12" s="27"/>
      <c r="THL12" s="27"/>
      <c r="THR12" s="27"/>
      <c r="THS12" s="27"/>
      <c r="THT12" s="27"/>
      <c r="THZ12" s="27"/>
      <c r="TIA12" s="27"/>
      <c r="TIB12" s="27"/>
      <c r="TIH12" s="27"/>
      <c r="TII12" s="27"/>
      <c r="TIJ12" s="27"/>
      <c r="TIP12" s="27"/>
      <c r="TIQ12" s="27"/>
      <c r="TIR12" s="27"/>
      <c r="TIX12" s="27"/>
      <c r="TIY12" s="27"/>
      <c r="TIZ12" s="27"/>
      <c r="TJF12" s="27"/>
      <c r="TJG12" s="27"/>
      <c r="TJH12" s="27"/>
      <c r="TJN12" s="27"/>
      <c r="TJO12" s="27"/>
      <c r="TJP12" s="27"/>
      <c r="TJV12" s="27"/>
      <c r="TJW12" s="27"/>
      <c r="TJX12" s="27"/>
      <c r="TKD12" s="27"/>
      <c r="TKE12" s="27"/>
      <c r="TKF12" s="27"/>
      <c r="TKL12" s="27"/>
      <c r="TKM12" s="27"/>
      <c r="TKN12" s="27"/>
      <c r="TKT12" s="27"/>
      <c r="TKU12" s="27"/>
      <c r="TKV12" s="27"/>
      <c r="TLB12" s="27"/>
      <c r="TLC12" s="27"/>
      <c r="TLD12" s="27"/>
      <c r="TLJ12" s="27"/>
      <c r="TLK12" s="27"/>
      <c r="TLL12" s="27"/>
      <c r="TLR12" s="27"/>
      <c r="TLS12" s="27"/>
      <c r="TLT12" s="27"/>
      <c r="TLZ12" s="27"/>
      <c r="TMA12" s="27"/>
      <c r="TMB12" s="27"/>
      <c r="TMH12" s="27"/>
      <c r="TMI12" s="27"/>
      <c r="TMJ12" s="27"/>
      <c r="TMP12" s="27"/>
      <c r="TMQ12" s="27"/>
      <c r="TMR12" s="27"/>
      <c r="TMX12" s="27"/>
      <c r="TMY12" s="27"/>
      <c r="TMZ12" s="27"/>
      <c r="TNF12" s="27"/>
      <c r="TNG12" s="27"/>
      <c r="TNH12" s="27"/>
      <c r="TNN12" s="27"/>
      <c r="TNO12" s="27"/>
      <c r="TNP12" s="27"/>
      <c r="TNV12" s="27"/>
      <c r="TNW12" s="27"/>
      <c r="TNX12" s="27"/>
      <c r="TOD12" s="27"/>
      <c r="TOE12" s="27"/>
      <c r="TOF12" s="27"/>
      <c r="TOL12" s="27"/>
      <c r="TOM12" s="27"/>
      <c r="TON12" s="27"/>
      <c r="TOT12" s="27"/>
      <c r="TOU12" s="27"/>
      <c r="TOV12" s="27"/>
      <c r="TPB12" s="27"/>
      <c r="TPC12" s="27"/>
      <c r="TPD12" s="27"/>
      <c r="TPJ12" s="27"/>
      <c r="TPK12" s="27"/>
      <c r="TPL12" s="27"/>
      <c r="TPR12" s="27"/>
      <c r="TPS12" s="27"/>
      <c r="TPT12" s="27"/>
      <c r="TPZ12" s="27"/>
      <c r="TQA12" s="27"/>
      <c r="TQB12" s="27"/>
      <c r="TQH12" s="27"/>
      <c r="TQI12" s="27"/>
      <c r="TQJ12" s="27"/>
      <c r="TQP12" s="27"/>
      <c r="TQQ12" s="27"/>
      <c r="TQR12" s="27"/>
      <c r="TQX12" s="27"/>
      <c r="TQY12" s="27"/>
      <c r="TQZ12" s="27"/>
      <c r="TRF12" s="27"/>
      <c r="TRG12" s="27"/>
      <c r="TRH12" s="27"/>
      <c r="TRN12" s="27"/>
      <c r="TRO12" s="27"/>
      <c r="TRP12" s="27"/>
      <c r="TRV12" s="27"/>
      <c r="TRW12" s="27"/>
      <c r="TRX12" s="27"/>
      <c r="TSD12" s="27"/>
      <c r="TSE12" s="27"/>
      <c r="TSF12" s="27"/>
      <c r="TSL12" s="27"/>
      <c r="TSM12" s="27"/>
      <c r="TSN12" s="27"/>
      <c r="TST12" s="27"/>
      <c r="TSU12" s="27"/>
      <c r="TSV12" s="27"/>
      <c r="TTB12" s="27"/>
      <c r="TTC12" s="27"/>
      <c r="TTD12" s="27"/>
      <c r="TTJ12" s="27"/>
      <c r="TTK12" s="27"/>
      <c r="TTL12" s="27"/>
      <c r="TTR12" s="27"/>
      <c r="TTS12" s="27"/>
      <c r="TTT12" s="27"/>
      <c r="TTZ12" s="27"/>
      <c r="TUA12" s="27"/>
      <c r="TUB12" s="27"/>
      <c r="TUH12" s="27"/>
      <c r="TUI12" s="27"/>
      <c r="TUJ12" s="27"/>
      <c r="TUP12" s="27"/>
      <c r="TUQ12" s="27"/>
      <c r="TUR12" s="27"/>
      <c r="TUX12" s="27"/>
      <c r="TUY12" s="27"/>
      <c r="TUZ12" s="27"/>
      <c r="TVF12" s="27"/>
      <c r="TVG12" s="27"/>
      <c r="TVH12" s="27"/>
      <c r="TVN12" s="27"/>
      <c r="TVO12" s="27"/>
      <c r="TVP12" s="27"/>
      <c r="TVV12" s="27"/>
      <c r="TVW12" s="27"/>
      <c r="TVX12" s="27"/>
      <c r="TWD12" s="27"/>
      <c r="TWE12" s="27"/>
      <c r="TWF12" s="27"/>
      <c r="TWL12" s="27"/>
      <c r="TWM12" s="27"/>
      <c r="TWN12" s="27"/>
      <c r="TWT12" s="27"/>
      <c r="TWU12" s="27"/>
      <c r="TWV12" s="27"/>
      <c r="TXB12" s="27"/>
      <c r="TXC12" s="27"/>
      <c r="TXD12" s="27"/>
      <c r="TXJ12" s="27"/>
      <c r="TXK12" s="27"/>
      <c r="TXL12" s="27"/>
      <c r="TXR12" s="27"/>
      <c r="TXS12" s="27"/>
      <c r="TXT12" s="27"/>
      <c r="TXZ12" s="27"/>
      <c r="TYA12" s="27"/>
      <c r="TYB12" s="27"/>
      <c r="TYH12" s="27"/>
      <c r="TYI12" s="27"/>
      <c r="TYJ12" s="27"/>
      <c r="TYP12" s="27"/>
      <c r="TYQ12" s="27"/>
      <c r="TYR12" s="27"/>
      <c r="TYX12" s="27"/>
      <c r="TYY12" s="27"/>
      <c r="TYZ12" s="27"/>
      <c r="TZF12" s="27"/>
      <c r="TZG12" s="27"/>
      <c r="TZH12" s="27"/>
      <c r="TZN12" s="27"/>
      <c r="TZO12" s="27"/>
      <c r="TZP12" s="27"/>
      <c r="TZV12" s="27"/>
      <c r="TZW12" s="27"/>
      <c r="TZX12" s="27"/>
      <c r="UAD12" s="27"/>
      <c r="UAE12" s="27"/>
      <c r="UAF12" s="27"/>
      <c r="UAL12" s="27"/>
      <c r="UAM12" s="27"/>
      <c r="UAN12" s="27"/>
      <c r="UAT12" s="27"/>
      <c r="UAU12" s="27"/>
      <c r="UAV12" s="27"/>
      <c r="UBB12" s="27"/>
      <c r="UBC12" s="27"/>
      <c r="UBD12" s="27"/>
      <c r="UBJ12" s="27"/>
      <c r="UBK12" s="27"/>
      <c r="UBL12" s="27"/>
      <c r="UBR12" s="27"/>
      <c r="UBS12" s="27"/>
      <c r="UBT12" s="27"/>
      <c r="UBZ12" s="27"/>
      <c r="UCA12" s="27"/>
      <c r="UCB12" s="27"/>
      <c r="UCH12" s="27"/>
      <c r="UCI12" s="27"/>
      <c r="UCJ12" s="27"/>
      <c r="UCP12" s="27"/>
      <c r="UCQ12" s="27"/>
      <c r="UCR12" s="27"/>
      <c r="UCX12" s="27"/>
      <c r="UCY12" s="27"/>
      <c r="UCZ12" s="27"/>
      <c r="UDF12" s="27"/>
      <c r="UDG12" s="27"/>
      <c r="UDH12" s="27"/>
      <c r="UDN12" s="27"/>
      <c r="UDO12" s="27"/>
      <c r="UDP12" s="27"/>
      <c r="UDV12" s="27"/>
      <c r="UDW12" s="27"/>
      <c r="UDX12" s="27"/>
      <c r="UED12" s="27"/>
      <c r="UEE12" s="27"/>
      <c r="UEF12" s="27"/>
      <c r="UEL12" s="27"/>
      <c r="UEM12" s="27"/>
      <c r="UEN12" s="27"/>
      <c r="UET12" s="27"/>
      <c r="UEU12" s="27"/>
      <c r="UEV12" s="27"/>
      <c r="UFB12" s="27"/>
      <c r="UFC12" s="27"/>
      <c r="UFD12" s="27"/>
      <c r="UFJ12" s="27"/>
      <c r="UFK12" s="27"/>
      <c r="UFL12" s="27"/>
      <c r="UFR12" s="27"/>
      <c r="UFS12" s="27"/>
      <c r="UFT12" s="27"/>
      <c r="UFZ12" s="27"/>
      <c r="UGA12" s="27"/>
      <c r="UGB12" s="27"/>
      <c r="UGH12" s="27"/>
      <c r="UGI12" s="27"/>
      <c r="UGJ12" s="27"/>
      <c r="UGP12" s="27"/>
      <c r="UGQ12" s="27"/>
      <c r="UGR12" s="27"/>
      <c r="UGX12" s="27"/>
      <c r="UGY12" s="27"/>
      <c r="UGZ12" s="27"/>
      <c r="UHF12" s="27"/>
      <c r="UHG12" s="27"/>
      <c r="UHH12" s="27"/>
      <c r="UHN12" s="27"/>
      <c r="UHO12" s="27"/>
      <c r="UHP12" s="27"/>
      <c r="UHV12" s="27"/>
      <c r="UHW12" s="27"/>
      <c r="UHX12" s="27"/>
      <c r="UID12" s="27"/>
      <c r="UIE12" s="27"/>
      <c r="UIF12" s="27"/>
      <c r="UIL12" s="27"/>
      <c r="UIM12" s="27"/>
      <c r="UIN12" s="27"/>
      <c r="UIT12" s="27"/>
      <c r="UIU12" s="27"/>
      <c r="UIV12" s="27"/>
      <c r="UJB12" s="27"/>
      <c r="UJC12" s="27"/>
      <c r="UJD12" s="27"/>
      <c r="UJJ12" s="27"/>
      <c r="UJK12" s="27"/>
      <c r="UJL12" s="27"/>
      <c r="UJR12" s="27"/>
      <c r="UJS12" s="27"/>
      <c r="UJT12" s="27"/>
      <c r="UJZ12" s="27"/>
      <c r="UKA12" s="27"/>
      <c r="UKB12" s="27"/>
      <c r="UKH12" s="27"/>
      <c r="UKI12" s="27"/>
      <c r="UKJ12" s="27"/>
      <c r="UKP12" s="27"/>
      <c r="UKQ12" s="27"/>
      <c r="UKR12" s="27"/>
      <c r="UKX12" s="27"/>
      <c r="UKY12" s="27"/>
      <c r="UKZ12" s="27"/>
      <c r="ULF12" s="27"/>
      <c r="ULG12" s="27"/>
      <c r="ULH12" s="27"/>
      <c r="ULN12" s="27"/>
      <c r="ULO12" s="27"/>
      <c r="ULP12" s="27"/>
      <c r="ULV12" s="27"/>
      <c r="ULW12" s="27"/>
      <c r="ULX12" s="27"/>
      <c r="UMD12" s="27"/>
      <c r="UME12" s="27"/>
      <c r="UMF12" s="27"/>
      <c r="UML12" s="27"/>
      <c r="UMM12" s="27"/>
      <c r="UMN12" s="27"/>
      <c r="UMT12" s="27"/>
      <c r="UMU12" s="27"/>
      <c r="UMV12" s="27"/>
      <c r="UNB12" s="27"/>
      <c r="UNC12" s="27"/>
      <c r="UND12" s="27"/>
      <c r="UNJ12" s="27"/>
      <c r="UNK12" s="27"/>
      <c r="UNL12" s="27"/>
      <c r="UNR12" s="27"/>
      <c r="UNS12" s="27"/>
      <c r="UNT12" s="27"/>
      <c r="UNZ12" s="27"/>
      <c r="UOA12" s="27"/>
      <c r="UOB12" s="27"/>
      <c r="UOH12" s="27"/>
      <c r="UOI12" s="27"/>
      <c r="UOJ12" s="27"/>
      <c r="UOP12" s="27"/>
      <c r="UOQ12" s="27"/>
      <c r="UOR12" s="27"/>
      <c r="UOX12" s="27"/>
      <c r="UOY12" s="27"/>
      <c r="UOZ12" s="27"/>
      <c r="UPF12" s="27"/>
      <c r="UPG12" s="27"/>
      <c r="UPH12" s="27"/>
      <c r="UPN12" s="27"/>
      <c r="UPO12" s="27"/>
      <c r="UPP12" s="27"/>
      <c r="UPV12" s="27"/>
      <c r="UPW12" s="27"/>
      <c r="UPX12" s="27"/>
      <c r="UQD12" s="27"/>
      <c r="UQE12" s="27"/>
      <c r="UQF12" s="27"/>
      <c r="UQL12" s="27"/>
      <c r="UQM12" s="27"/>
      <c r="UQN12" s="27"/>
      <c r="UQT12" s="27"/>
      <c r="UQU12" s="27"/>
      <c r="UQV12" s="27"/>
      <c r="URB12" s="27"/>
      <c r="URC12" s="27"/>
      <c r="URD12" s="27"/>
      <c r="URJ12" s="27"/>
      <c r="URK12" s="27"/>
      <c r="URL12" s="27"/>
      <c r="URR12" s="27"/>
      <c r="URS12" s="27"/>
      <c r="URT12" s="27"/>
      <c r="URZ12" s="27"/>
      <c r="USA12" s="27"/>
      <c r="USB12" s="27"/>
      <c r="USH12" s="27"/>
      <c r="USI12" s="27"/>
      <c r="USJ12" s="27"/>
      <c r="USP12" s="27"/>
      <c r="USQ12" s="27"/>
      <c r="USR12" s="27"/>
      <c r="USX12" s="27"/>
      <c r="USY12" s="27"/>
      <c r="USZ12" s="27"/>
      <c r="UTF12" s="27"/>
      <c r="UTG12" s="27"/>
      <c r="UTH12" s="27"/>
      <c r="UTN12" s="27"/>
      <c r="UTO12" s="27"/>
      <c r="UTP12" s="27"/>
      <c r="UTV12" s="27"/>
      <c r="UTW12" s="27"/>
      <c r="UTX12" s="27"/>
      <c r="UUD12" s="27"/>
      <c r="UUE12" s="27"/>
      <c r="UUF12" s="27"/>
      <c r="UUL12" s="27"/>
      <c r="UUM12" s="27"/>
      <c r="UUN12" s="27"/>
      <c r="UUT12" s="27"/>
      <c r="UUU12" s="27"/>
      <c r="UUV12" s="27"/>
      <c r="UVB12" s="27"/>
      <c r="UVC12" s="27"/>
      <c r="UVD12" s="27"/>
      <c r="UVJ12" s="27"/>
      <c r="UVK12" s="27"/>
      <c r="UVL12" s="27"/>
      <c r="UVR12" s="27"/>
      <c r="UVS12" s="27"/>
      <c r="UVT12" s="27"/>
      <c r="UVZ12" s="27"/>
      <c r="UWA12" s="27"/>
      <c r="UWB12" s="27"/>
      <c r="UWH12" s="27"/>
      <c r="UWI12" s="27"/>
      <c r="UWJ12" s="27"/>
      <c r="UWP12" s="27"/>
      <c r="UWQ12" s="27"/>
      <c r="UWR12" s="27"/>
      <c r="UWX12" s="27"/>
      <c r="UWY12" s="27"/>
      <c r="UWZ12" s="27"/>
      <c r="UXF12" s="27"/>
      <c r="UXG12" s="27"/>
      <c r="UXH12" s="27"/>
      <c r="UXN12" s="27"/>
      <c r="UXO12" s="27"/>
      <c r="UXP12" s="27"/>
      <c r="UXV12" s="27"/>
      <c r="UXW12" s="27"/>
      <c r="UXX12" s="27"/>
      <c r="UYD12" s="27"/>
      <c r="UYE12" s="27"/>
      <c r="UYF12" s="27"/>
      <c r="UYL12" s="27"/>
      <c r="UYM12" s="27"/>
      <c r="UYN12" s="27"/>
      <c r="UYT12" s="27"/>
      <c r="UYU12" s="27"/>
      <c r="UYV12" s="27"/>
      <c r="UZB12" s="27"/>
      <c r="UZC12" s="27"/>
      <c r="UZD12" s="27"/>
      <c r="UZJ12" s="27"/>
      <c r="UZK12" s="27"/>
      <c r="UZL12" s="27"/>
      <c r="UZR12" s="27"/>
      <c r="UZS12" s="27"/>
      <c r="UZT12" s="27"/>
      <c r="UZZ12" s="27"/>
      <c r="VAA12" s="27"/>
      <c r="VAB12" s="27"/>
      <c r="VAH12" s="27"/>
      <c r="VAI12" s="27"/>
      <c r="VAJ12" s="27"/>
      <c r="VAP12" s="27"/>
      <c r="VAQ12" s="27"/>
      <c r="VAR12" s="27"/>
      <c r="VAX12" s="27"/>
      <c r="VAY12" s="27"/>
      <c r="VAZ12" s="27"/>
      <c r="VBF12" s="27"/>
      <c r="VBG12" s="27"/>
      <c r="VBH12" s="27"/>
      <c r="VBN12" s="27"/>
      <c r="VBO12" s="27"/>
      <c r="VBP12" s="27"/>
      <c r="VBV12" s="27"/>
      <c r="VBW12" s="27"/>
      <c r="VBX12" s="27"/>
      <c r="VCD12" s="27"/>
      <c r="VCE12" s="27"/>
      <c r="VCF12" s="27"/>
      <c r="VCL12" s="27"/>
      <c r="VCM12" s="27"/>
      <c r="VCN12" s="27"/>
      <c r="VCT12" s="27"/>
      <c r="VCU12" s="27"/>
      <c r="VCV12" s="27"/>
      <c r="VDB12" s="27"/>
      <c r="VDC12" s="27"/>
      <c r="VDD12" s="27"/>
      <c r="VDJ12" s="27"/>
      <c r="VDK12" s="27"/>
      <c r="VDL12" s="27"/>
      <c r="VDR12" s="27"/>
      <c r="VDS12" s="27"/>
      <c r="VDT12" s="27"/>
      <c r="VDZ12" s="27"/>
      <c r="VEA12" s="27"/>
      <c r="VEB12" s="27"/>
      <c r="VEH12" s="27"/>
      <c r="VEI12" s="27"/>
      <c r="VEJ12" s="27"/>
      <c r="VEP12" s="27"/>
      <c r="VEQ12" s="27"/>
      <c r="VER12" s="27"/>
      <c r="VEX12" s="27"/>
      <c r="VEY12" s="27"/>
      <c r="VEZ12" s="27"/>
      <c r="VFF12" s="27"/>
      <c r="VFG12" s="27"/>
      <c r="VFH12" s="27"/>
      <c r="VFN12" s="27"/>
      <c r="VFO12" s="27"/>
      <c r="VFP12" s="27"/>
      <c r="VFV12" s="27"/>
      <c r="VFW12" s="27"/>
      <c r="VFX12" s="27"/>
      <c r="VGD12" s="27"/>
      <c r="VGE12" s="27"/>
      <c r="VGF12" s="27"/>
      <c r="VGL12" s="27"/>
      <c r="VGM12" s="27"/>
      <c r="VGN12" s="27"/>
      <c r="VGT12" s="27"/>
      <c r="VGU12" s="27"/>
      <c r="VGV12" s="27"/>
      <c r="VHB12" s="27"/>
      <c r="VHC12" s="27"/>
      <c r="VHD12" s="27"/>
      <c r="VHJ12" s="27"/>
      <c r="VHK12" s="27"/>
      <c r="VHL12" s="27"/>
      <c r="VHR12" s="27"/>
      <c r="VHS12" s="27"/>
      <c r="VHT12" s="27"/>
      <c r="VHZ12" s="27"/>
      <c r="VIA12" s="27"/>
      <c r="VIB12" s="27"/>
      <c r="VIH12" s="27"/>
      <c r="VII12" s="27"/>
      <c r="VIJ12" s="27"/>
      <c r="VIP12" s="27"/>
      <c r="VIQ12" s="27"/>
      <c r="VIR12" s="27"/>
      <c r="VIX12" s="27"/>
      <c r="VIY12" s="27"/>
      <c r="VIZ12" s="27"/>
      <c r="VJF12" s="27"/>
      <c r="VJG12" s="27"/>
      <c r="VJH12" s="27"/>
      <c r="VJN12" s="27"/>
      <c r="VJO12" s="27"/>
      <c r="VJP12" s="27"/>
      <c r="VJV12" s="27"/>
      <c r="VJW12" s="27"/>
      <c r="VJX12" s="27"/>
      <c r="VKD12" s="27"/>
      <c r="VKE12" s="27"/>
      <c r="VKF12" s="27"/>
      <c r="VKL12" s="27"/>
      <c r="VKM12" s="27"/>
      <c r="VKN12" s="27"/>
      <c r="VKT12" s="27"/>
      <c r="VKU12" s="27"/>
      <c r="VKV12" s="27"/>
      <c r="VLB12" s="27"/>
      <c r="VLC12" s="27"/>
      <c r="VLD12" s="27"/>
      <c r="VLJ12" s="27"/>
      <c r="VLK12" s="27"/>
      <c r="VLL12" s="27"/>
      <c r="VLR12" s="27"/>
      <c r="VLS12" s="27"/>
      <c r="VLT12" s="27"/>
      <c r="VLZ12" s="27"/>
      <c r="VMA12" s="27"/>
      <c r="VMB12" s="27"/>
      <c r="VMH12" s="27"/>
      <c r="VMI12" s="27"/>
      <c r="VMJ12" s="27"/>
      <c r="VMP12" s="27"/>
      <c r="VMQ12" s="27"/>
      <c r="VMR12" s="27"/>
      <c r="VMX12" s="27"/>
      <c r="VMY12" s="27"/>
      <c r="VMZ12" s="27"/>
      <c r="VNF12" s="27"/>
      <c r="VNG12" s="27"/>
      <c r="VNH12" s="27"/>
      <c r="VNN12" s="27"/>
      <c r="VNO12" s="27"/>
      <c r="VNP12" s="27"/>
      <c r="VNV12" s="27"/>
      <c r="VNW12" s="27"/>
      <c r="VNX12" s="27"/>
      <c r="VOD12" s="27"/>
      <c r="VOE12" s="27"/>
      <c r="VOF12" s="27"/>
      <c r="VOL12" s="27"/>
      <c r="VOM12" s="27"/>
      <c r="VON12" s="27"/>
      <c r="VOT12" s="27"/>
      <c r="VOU12" s="27"/>
      <c r="VOV12" s="27"/>
      <c r="VPB12" s="27"/>
      <c r="VPC12" s="27"/>
      <c r="VPD12" s="27"/>
      <c r="VPJ12" s="27"/>
      <c r="VPK12" s="27"/>
      <c r="VPL12" s="27"/>
      <c r="VPR12" s="27"/>
      <c r="VPS12" s="27"/>
      <c r="VPT12" s="27"/>
      <c r="VPZ12" s="27"/>
      <c r="VQA12" s="27"/>
      <c r="VQB12" s="27"/>
      <c r="VQH12" s="27"/>
      <c r="VQI12" s="27"/>
      <c r="VQJ12" s="27"/>
      <c r="VQP12" s="27"/>
      <c r="VQQ12" s="27"/>
      <c r="VQR12" s="27"/>
      <c r="VQX12" s="27"/>
      <c r="VQY12" s="27"/>
      <c r="VQZ12" s="27"/>
      <c r="VRF12" s="27"/>
      <c r="VRG12" s="27"/>
      <c r="VRH12" s="27"/>
      <c r="VRN12" s="27"/>
      <c r="VRO12" s="27"/>
      <c r="VRP12" s="27"/>
      <c r="VRV12" s="27"/>
      <c r="VRW12" s="27"/>
      <c r="VRX12" s="27"/>
      <c r="VSD12" s="27"/>
      <c r="VSE12" s="27"/>
      <c r="VSF12" s="27"/>
      <c r="VSL12" s="27"/>
      <c r="VSM12" s="27"/>
      <c r="VSN12" s="27"/>
      <c r="VST12" s="27"/>
      <c r="VSU12" s="27"/>
      <c r="VSV12" s="27"/>
      <c r="VTB12" s="27"/>
      <c r="VTC12" s="27"/>
      <c r="VTD12" s="27"/>
      <c r="VTJ12" s="27"/>
      <c r="VTK12" s="27"/>
      <c r="VTL12" s="27"/>
      <c r="VTR12" s="27"/>
      <c r="VTS12" s="27"/>
      <c r="VTT12" s="27"/>
      <c r="VTZ12" s="27"/>
      <c r="VUA12" s="27"/>
      <c r="VUB12" s="27"/>
      <c r="VUH12" s="27"/>
      <c r="VUI12" s="27"/>
      <c r="VUJ12" s="27"/>
      <c r="VUP12" s="27"/>
      <c r="VUQ12" s="27"/>
      <c r="VUR12" s="27"/>
      <c r="VUX12" s="27"/>
      <c r="VUY12" s="27"/>
      <c r="VUZ12" s="27"/>
      <c r="VVF12" s="27"/>
      <c r="VVG12" s="27"/>
      <c r="VVH12" s="27"/>
      <c r="VVN12" s="27"/>
      <c r="VVO12" s="27"/>
      <c r="VVP12" s="27"/>
      <c r="VVV12" s="27"/>
      <c r="VVW12" s="27"/>
      <c r="VVX12" s="27"/>
      <c r="VWD12" s="27"/>
      <c r="VWE12" s="27"/>
      <c r="VWF12" s="27"/>
      <c r="VWL12" s="27"/>
      <c r="VWM12" s="27"/>
      <c r="VWN12" s="27"/>
      <c r="VWT12" s="27"/>
      <c r="VWU12" s="27"/>
      <c r="VWV12" s="27"/>
      <c r="VXB12" s="27"/>
      <c r="VXC12" s="27"/>
      <c r="VXD12" s="27"/>
      <c r="VXJ12" s="27"/>
      <c r="VXK12" s="27"/>
      <c r="VXL12" s="27"/>
      <c r="VXR12" s="27"/>
      <c r="VXS12" s="27"/>
      <c r="VXT12" s="27"/>
      <c r="VXZ12" s="27"/>
      <c r="VYA12" s="27"/>
      <c r="VYB12" s="27"/>
      <c r="VYH12" s="27"/>
      <c r="VYI12" s="27"/>
      <c r="VYJ12" s="27"/>
      <c r="VYP12" s="27"/>
      <c r="VYQ12" s="27"/>
      <c r="VYR12" s="27"/>
      <c r="VYX12" s="27"/>
      <c r="VYY12" s="27"/>
      <c r="VYZ12" s="27"/>
      <c r="VZF12" s="27"/>
      <c r="VZG12" s="27"/>
      <c r="VZH12" s="27"/>
      <c r="VZN12" s="27"/>
      <c r="VZO12" s="27"/>
      <c r="VZP12" s="27"/>
      <c r="VZV12" s="27"/>
      <c r="VZW12" s="27"/>
      <c r="VZX12" s="27"/>
      <c r="WAD12" s="27"/>
      <c r="WAE12" s="27"/>
      <c r="WAF12" s="27"/>
      <c r="WAL12" s="27"/>
      <c r="WAM12" s="27"/>
      <c r="WAN12" s="27"/>
      <c r="WAT12" s="27"/>
      <c r="WAU12" s="27"/>
      <c r="WAV12" s="27"/>
      <c r="WBB12" s="27"/>
      <c r="WBC12" s="27"/>
      <c r="WBD12" s="27"/>
      <c r="WBJ12" s="27"/>
      <c r="WBK12" s="27"/>
      <c r="WBL12" s="27"/>
      <c r="WBR12" s="27"/>
      <c r="WBS12" s="27"/>
      <c r="WBT12" s="27"/>
      <c r="WBZ12" s="27"/>
      <c r="WCA12" s="27"/>
      <c r="WCB12" s="27"/>
      <c r="WCH12" s="27"/>
      <c r="WCI12" s="27"/>
      <c r="WCJ12" s="27"/>
      <c r="WCP12" s="27"/>
      <c r="WCQ12" s="27"/>
      <c r="WCR12" s="27"/>
      <c r="WCX12" s="27"/>
      <c r="WCY12" s="27"/>
      <c r="WCZ12" s="27"/>
      <c r="WDF12" s="27"/>
      <c r="WDG12" s="27"/>
      <c r="WDH12" s="27"/>
      <c r="WDN12" s="27"/>
      <c r="WDO12" s="27"/>
      <c r="WDP12" s="27"/>
      <c r="WDV12" s="27"/>
      <c r="WDW12" s="27"/>
      <c r="WDX12" s="27"/>
      <c r="WED12" s="27"/>
      <c r="WEE12" s="27"/>
      <c r="WEF12" s="27"/>
      <c r="WEL12" s="27"/>
      <c r="WEM12" s="27"/>
      <c r="WEN12" s="27"/>
      <c r="WET12" s="27"/>
      <c r="WEU12" s="27"/>
      <c r="WEV12" s="27"/>
      <c r="WFB12" s="27"/>
      <c r="WFC12" s="27"/>
      <c r="WFD12" s="27"/>
      <c r="WFJ12" s="27"/>
      <c r="WFK12" s="27"/>
      <c r="WFL12" s="27"/>
      <c r="WFR12" s="27"/>
      <c r="WFS12" s="27"/>
      <c r="WFT12" s="27"/>
      <c r="WFZ12" s="27"/>
      <c r="WGA12" s="27"/>
      <c r="WGB12" s="27"/>
      <c r="WGH12" s="27"/>
      <c r="WGI12" s="27"/>
      <c r="WGJ12" s="27"/>
      <c r="WGP12" s="27"/>
      <c r="WGQ12" s="27"/>
      <c r="WGR12" s="27"/>
      <c r="WGX12" s="27"/>
      <c r="WGY12" s="27"/>
      <c r="WGZ12" s="27"/>
      <c r="WHF12" s="27"/>
      <c r="WHG12" s="27"/>
      <c r="WHH12" s="27"/>
      <c r="WHN12" s="27"/>
      <c r="WHO12" s="27"/>
      <c r="WHP12" s="27"/>
      <c r="WHV12" s="27"/>
      <c r="WHW12" s="27"/>
      <c r="WHX12" s="27"/>
      <c r="WID12" s="27"/>
      <c r="WIE12" s="27"/>
      <c r="WIF12" s="27"/>
      <c r="WIL12" s="27"/>
      <c r="WIM12" s="27"/>
      <c r="WIN12" s="27"/>
      <c r="WIT12" s="27"/>
      <c r="WIU12" s="27"/>
      <c r="WIV12" s="27"/>
      <c r="WJB12" s="27"/>
      <c r="WJC12" s="27"/>
      <c r="WJD12" s="27"/>
      <c r="WJJ12" s="27"/>
      <c r="WJK12" s="27"/>
      <c r="WJL12" s="27"/>
      <c r="WJR12" s="27"/>
      <c r="WJS12" s="27"/>
      <c r="WJT12" s="27"/>
      <c r="WJZ12" s="27"/>
      <c r="WKA12" s="27"/>
      <c r="WKB12" s="27"/>
      <c r="WKH12" s="27"/>
      <c r="WKI12" s="27"/>
      <c r="WKJ12" s="27"/>
      <c r="WKP12" s="27"/>
      <c r="WKQ12" s="27"/>
      <c r="WKR12" s="27"/>
      <c r="WKX12" s="27"/>
      <c r="WKY12" s="27"/>
      <c r="WKZ12" s="27"/>
      <c r="WLF12" s="27"/>
      <c r="WLG12" s="27"/>
      <c r="WLH12" s="27"/>
      <c r="WLN12" s="27"/>
      <c r="WLO12" s="27"/>
      <c r="WLP12" s="27"/>
      <c r="WLV12" s="27"/>
      <c r="WLW12" s="27"/>
      <c r="WLX12" s="27"/>
      <c r="WMD12" s="27"/>
      <c r="WME12" s="27"/>
      <c r="WMF12" s="27"/>
      <c r="WML12" s="27"/>
      <c r="WMM12" s="27"/>
      <c r="WMN12" s="27"/>
      <c r="WMT12" s="27"/>
      <c r="WMU12" s="27"/>
      <c r="WMV12" s="27"/>
      <c r="WNB12" s="27"/>
      <c r="WNC12" s="27"/>
      <c r="WND12" s="27"/>
      <c r="WNJ12" s="27"/>
      <c r="WNK12" s="27"/>
      <c r="WNL12" s="27"/>
      <c r="WNR12" s="27"/>
      <c r="WNS12" s="27"/>
      <c r="WNT12" s="27"/>
      <c r="WNZ12" s="27"/>
      <c r="WOA12" s="27"/>
      <c r="WOB12" s="27"/>
      <c r="WOH12" s="27"/>
      <c r="WOI12" s="27"/>
      <c r="WOJ12" s="27"/>
      <c r="WOP12" s="27"/>
      <c r="WOQ12" s="27"/>
      <c r="WOR12" s="27"/>
      <c r="WOX12" s="27"/>
      <c r="WOY12" s="27"/>
      <c r="WOZ12" s="27"/>
      <c r="WPF12" s="27"/>
      <c r="WPG12" s="27"/>
      <c r="WPH12" s="27"/>
      <c r="WPN12" s="27"/>
      <c r="WPO12" s="27"/>
      <c r="WPP12" s="27"/>
      <c r="WPV12" s="27"/>
      <c r="WPW12" s="27"/>
      <c r="WPX12" s="27"/>
      <c r="WQD12" s="27"/>
      <c r="WQE12" s="27"/>
      <c r="WQF12" s="27"/>
      <c r="WQL12" s="27"/>
      <c r="WQM12" s="27"/>
      <c r="WQN12" s="27"/>
      <c r="WQT12" s="27"/>
      <c r="WQU12" s="27"/>
      <c r="WQV12" s="27"/>
      <c r="WRB12" s="27"/>
      <c r="WRC12" s="27"/>
      <c r="WRD12" s="27"/>
      <c r="WRJ12" s="27"/>
      <c r="WRK12" s="27"/>
      <c r="WRL12" s="27"/>
      <c r="WRR12" s="27"/>
      <c r="WRS12" s="27"/>
      <c r="WRT12" s="27"/>
      <c r="WRZ12" s="27"/>
      <c r="WSA12" s="27"/>
      <c r="WSB12" s="27"/>
      <c r="WSH12" s="27"/>
      <c r="WSI12" s="27"/>
      <c r="WSJ12" s="27"/>
      <c r="WSP12" s="27"/>
      <c r="WSQ12" s="27"/>
      <c r="WSR12" s="27"/>
      <c r="WSX12" s="27"/>
      <c r="WSY12" s="27"/>
      <c r="WSZ12" s="27"/>
      <c r="WTF12" s="27"/>
      <c r="WTG12" s="27"/>
      <c r="WTH12" s="27"/>
      <c r="WTN12" s="27"/>
      <c r="WTO12" s="27"/>
      <c r="WTP12" s="27"/>
      <c r="WTV12" s="27"/>
      <c r="WTW12" s="27"/>
      <c r="WTX12" s="27"/>
      <c r="WUD12" s="27"/>
      <c r="WUE12" s="27"/>
      <c r="WUF12" s="27"/>
      <c r="WUL12" s="27"/>
      <c r="WUM12" s="27"/>
      <c r="WUN12" s="27"/>
      <c r="WUT12" s="27"/>
      <c r="WUU12" s="27"/>
      <c r="WUV12" s="27"/>
      <c r="WVB12" s="27"/>
      <c r="WVC12" s="27"/>
      <c r="WVD12" s="27"/>
      <c r="WVJ12" s="27"/>
      <c r="WVK12" s="27"/>
      <c r="WVL12" s="27"/>
      <c r="WVR12" s="27"/>
      <c r="WVS12" s="27"/>
      <c r="WVT12" s="27"/>
      <c r="WVZ12" s="27"/>
      <c r="WWA12" s="27"/>
      <c r="WWB12" s="27"/>
      <c r="WWH12" s="27"/>
      <c r="WWI12" s="27"/>
      <c r="WWJ12" s="27"/>
      <c r="WWP12" s="27"/>
      <c r="WWQ12" s="27"/>
      <c r="WWR12" s="27"/>
      <c r="WWX12" s="27"/>
      <c r="WWY12" s="27"/>
      <c r="WWZ12" s="27"/>
      <c r="WXF12" s="27"/>
      <c r="WXG12" s="27"/>
      <c r="WXH12" s="27"/>
      <c r="WXN12" s="27"/>
      <c r="WXO12" s="27"/>
      <c r="WXP12" s="27"/>
      <c r="WXV12" s="27"/>
      <c r="WXW12" s="27"/>
      <c r="WXX12" s="27"/>
      <c r="WYD12" s="27"/>
      <c r="WYE12" s="27"/>
      <c r="WYF12" s="27"/>
      <c r="WYL12" s="27"/>
      <c r="WYM12" s="27"/>
      <c r="WYN12" s="27"/>
      <c r="WYT12" s="27"/>
      <c r="WYU12" s="27"/>
      <c r="WYV12" s="27"/>
      <c r="WZB12" s="27"/>
      <c r="WZC12" s="27"/>
      <c r="WZD12" s="27"/>
      <c r="WZJ12" s="27"/>
      <c r="WZK12" s="27"/>
      <c r="WZL12" s="27"/>
      <c r="WZR12" s="27"/>
      <c r="WZS12" s="27"/>
      <c r="WZT12" s="27"/>
      <c r="WZZ12" s="27"/>
      <c r="XAA12" s="27"/>
      <c r="XAB12" s="27"/>
      <c r="XAH12" s="27"/>
      <c r="XAI12" s="27"/>
      <c r="XAJ12" s="27"/>
      <c r="XAP12" s="27"/>
      <c r="XAQ12" s="27"/>
      <c r="XAR12" s="27"/>
      <c r="XAX12" s="27"/>
      <c r="XAY12" s="27"/>
      <c r="XAZ12" s="27"/>
      <c r="XBF12" s="27"/>
      <c r="XBG12" s="27"/>
      <c r="XBH12" s="27"/>
      <c r="XBN12" s="27"/>
      <c r="XBO12" s="27"/>
      <c r="XBP12" s="27"/>
      <c r="XBV12" s="27"/>
      <c r="XBW12" s="27"/>
      <c r="XBX12" s="27"/>
      <c r="XCD12" s="27"/>
      <c r="XCE12" s="27"/>
      <c r="XCF12" s="27"/>
      <c r="XCL12" s="27"/>
      <c r="XCM12" s="27"/>
      <c r="XCN12" s="27"/>
      <c r="XCT12" s="27"/>
      <c r="XCU12" s="27"/>
      <c r="XCV12" s="27"/>
      <c r="XDB12" s="27"/>
      <c r="XDC12" s="27"/>
      <c r="XDD12" s="27"/>
      <c r="XDJ12" s="27"/>
      <c r="XDK12" s="27"/>
      <c r="XDL12" s="27"/>
      <c r="XDR12" s="27"/>
      <c r="XDS12" s="27"/>
      <c r="XDT12" s="27"/>
      <c r="XDZ12" s="27"/>
      <c r="XEA12" s="27"/>
      <c r="XEB12" s="27"/>
      <c r="XEH12" s="27"/>
      <c r="XEI12" s="27"/>
      <c r="XEJ12" s="27"/>
      <c r="XEP12" s="27"/>
      <c r="XEQ12" s="27"/>
      <c r="XER12" s="27"/>
      <c r="XEX12" s="27"/>
      <c r="XEY12" s="27"/>
      <c r="XEZ12" s="27"/>
    </row>
    <row r="13" s="1" customFormat="true" ht="15" hidden="false" customHeight="false" outlineLevel="0" collapsed="false">
      <c r="A13" s="1" t="n">
        <v>1024</v>
      </c>
      <c r="B13" s="27" t="s">
        <v>118</v>
      </c>
      <c r="C13" s="27" t="s">
        <v>119</v>
      </c>
      <c r="D13" s="27" t="s">
        <v>120</v>
      </c>
      <c r="E13" s="1" t="n">
        <v>50</v>
      </c>
      <c r="F13" s="1" t="n">
        <v>30</v>
      </c>
      <c r="G13" s="1" t="n">
        <v>31</v>
      </c>
      <c r="H13" s="1" t="n">
        <v>33</v>
      </c>
      <c r="I13" s="1" t="n">
        <v>35</v>
      </c>
      <c r="J13" s="27"/>
      <c r="K13" s="27"/>
      <c r="L13" s="27"/>
      <c r="R13" s="27"/>
      <c r="S13" s="27"/>
      <c r="T13" s="27"/>
      <c r="Z13" s="27"/>
      <c r="AA13" s="27"/>
      <c r="AB13" s="27"/>
      <c r="AH13" s="27"/>
      <c r="AI13" s="27"/>
      <c r="AJ13" s="27"/>
      <c r="AP13" s="27"/>
      <c r="AQ13" s="27"/>
      <c r="AR13" s="27"/>
      <c r="AX13" s="27"/>
      <c r="AY13" s="27"/>
      <c r="AZ13" s="27"/>
      <c r="BF13" s="27"/>
      <c r="BG13" s="27"/>
      <c r="BH13" s="27"/>
      <c r="BN13" s="27"/>
      <c r="BO13" s="27"/>
      <c r="BP13" s="27"/>
      <c r="BV13" s="27"/>
      <c r="BW13" s="27"/>
      <c r="BX13" s="27"/>
      <c r="CD13" s="27"/>
      <c r="CE13" s="27"/>
      <c r="CF13" s="27"/>
      <c r="CL13" s="27"/>
      <c r="CM13" s="27"/>
      <c r="CN13" s="27"/>
      <c r="CT13" s="27"/>
      <c r="CU13" s="27"/>
      <c r="CV13" s="27"/>
      <c r="DB13" s="27"/>
      <c r="DC13" s="27"/>
      <c r="DD13" s="27"/>
      <c r="DJ13" s="27"/>
      <c r="DK13" s="27"/>
      <c r="DL13" s="27"/>
      <c r="DR13" s="27"/>
      <c r="DS13" s="27"/>
      <c r="DT13" s="27"/>
      <c r="DZ13" s="27"/>
      <c r="EA13" s="27"/>
      <c r="EB13" s="27"/>
      <c r="EH13" s="27"/>
      <c r="EI13" s="27"/>
      <c r="EJ13" s="27"/>
      <c r="EP13" s="27"/>
      <c r="EQ13" s="27"/>
      <c r="ER13" s="27"/>
      <c r="EX13" s="27"/>
      <c r="EY13" s="27"/>
      <c r="EZ13" s="27"/>
      <c r="FF13" s="27"/>
      <c r="FG13" s="27"/>
      <c r="FH13" s="27"/>
      <c r="FN13" s="27"/>
      <c r="FO13" s="27"/>
      <c r="FP13" s="27"/>
      <c r="FV13" s="27"/>
      <c r="FW13" s="27"/>
      <c r="FX13" s="27"/>
      <c r="GD13" s="27"/>
      <c r="GE13" s="27"/>
      <c r="GF13" s="27"/>
      <c r="GL13" s="27"/>
      <c r="GM13" s="27"/>
      <c r="GN13" s="27"/>
      <c r="GT13" s="27"/>
      <c r="GU13" s="27"/>
      <c r="GV13" s="27"/>
      <c r="HB13" s="27"/>
      <c r="HC13" s="27"/>
      <c r="HD13" s="27"/>
      <c r="HJ13" s="27"/>
      <c r="HK13" s="27"/>
      <c r="HL13" s="27"/>
      <c r="HR13" s="27"/>
      <c r="HS13" s="27"/>
      <c r="HT13" s="27"/>
      <c r="HZ13" s="27"/>
      <c r="IA13" s="27"/>
      <c r="IB13" s="27"/>
      <c r="IH13" s="27"/>
      <c r="II13" s="27"/>
      <c r="IJ13" s="27"/>
      <c r="IP13" s="27"/>
      <c r="IQ13" s="27"/>
      <c r="IR13" s="27"/>
      <c r="IX13" s="27"/>
      <c r="IY13" s="27"/>
      <c r="IZ13" s="27"/>
      <c r="JF13" s="27"/>
      <c r="JG13" s="27"/>
      <c r="JH13" s="27"/>
      <c r="JN13" s="27"/>
      <c r="JO13" s="27"/>
      <c r="JP13" s="27"/>
      <c r="JV13" s="27"/>
      <c r="JW13" s="27"/>
      <c r="JX13" s="27"/>
      <c r="KD13" s="27"/>
      <c r="KE13" s="27"/>
      <c r="KF13" s="27"/>
      <c r="KL13" s="27"/>
      <c r="KM13" s="27"/>
      <c r="KN13" s="27"/>
      <c r="KT13" s="27"/>
      <c r="KU13" s="27"/>
      <c r="KV13" s="27"/>
      <c r="LB13" s="27"/>
      <c r="LC13" s="27"/>
      <c r="LD13" s="27"/>
      <c r="LJ13" s="27"/>
      <c r="LK13" s="27"/>
      <c r="LL13" s="27"/>
      <c r="LR13" s="27"/>
      <c r="LS13" s="27"/>
      <c r="LT13" s="27"/>
      <c r="LZ13" s="27"/>
      <c r="MA13" s="27"/>
      <c r="MB13" s="27"/>
      <c r="MH13" s="27"/>
      <c r="MI13" s="27"/>
      <c r="MJ13" s="27"/>
      <c r="MP13" s="27"/>
      <c r="MQ13" s="27"/>
      <c r="MR13" s="27"/>
      <c r="MX13" s="27"/>
      <c r="MY13" s="27"/>
      <c r="MZ13" s="27"/>
      <c r="NF13" s="27"/>
      <c r="NG13" s="27"/>
      <c r="NH13" s="27"/>
      <c r="NN13" s="27"/>
      <c r="NO13" s="27"/>
      <c r="NP13" s="27"/>
      <c r="NV13" s="27"/>
      <c r="NW13" s="27"/>
      <c r="NX13" s="27"/>
      <c r="OD13" s="27"/>
      <c r="OE13" s="27"/>
      <c r="OF13" s="27"/>
      <c r="OL13" s="27"/>
      <c r="OM13" s="27"/>
      <c r="ON13" s="27"/>
      <c r="OT13" s="27"/>
      <c r="OU13" s="27"/>
      <c r="OV13" s="27"/>
      <c r="PB13" s="27"/>
      <c r="PC13" s="27"/>
      <c r="PD13" s="27"/>
      <c r="PJ13" s="27"/>
      <c r="PK13" s="27"/>
      <c r="PL13" s="27"/>
      <c r="PR13" s="27"/>
      <c r="PS13" s="27"/>
      <c r="PT13" s="27"/>
      <c r="PZ13" s="27"/>
      <c r="QA13" s="27"/>
      <c r="QB13" s="27"/>
      <c r="QH13" s="27"/>
      <c r="QI13" s="27"/>
      <c r="QJ13" s="27"/>
      <c r="QP13" s="27"/>
      <c r="QQ13" s="27"/>
      <c r="QR13" s="27"/>
      <c r="QX13" s="27"/>
      <c r="QY13" s="27"/>
      <c r="QZ13" s="27"/>
      <c r="RF13" s="27"/>
      <c r="RG13" s="27"/>
      <c r="RH13" s="27"/>
      <c r="RN13" s="27"/>
      <c r="RO13" s="27"/>
      <c r="RP13" s="27"/>
      <c r="RV13" s="27"/>
      <c r="RW13" s="27"/>
      <c r="RX13" s="27"/>
      <c r="SD13" s="27"/>
      <c r="SE13" s="27"/>
      <c r="SF13" s="27"/>
      <c r="SL13" s="27"/>
      <c r="SM13" s="27"/>
      <c r="SN13" s="27"/>
      <c r="ST13" s="27"/>
      <c r="SU13" s="27"/>
      <c r="SV13" s="27"/>
      <c r="TB13" s="27"/>
      <c r="TC13" s="27"/>
      <c r="TD13" s="27"/>
      <c r="TJ13" s="27"/>
      <c r="TK13" s="27"/>
      <c r="TL13" s="27"/>
      <c r="TR13" s="27"/>
      <c r="TS13" s="27"/>
      <c r="TT13" s="27"/>
      <c r="TZ13" s="27"/>
      <c r="UA13" s="27"/>
      <c r="UB13" s="27"/>
      <c r="UH13" s="27"/>
      <c r="UI13" s="27"/>
      <c r="UJ13" s="27"/>
      <c r="UP13" s="27"/>
      <c r="UQ13" s="27"/>
      <c r="UR13" s="27"/>
      <c r="UX13" s="27"/>
      <c r="UY13" s="27"/>
      <c r="UZ13" s="27"/>
      <c r="VF13" s="27"/>
      <c r="VG13" s="27"/>
      <c r="VH13" s="27"/>
      <c r="VN13" s="27"/>
      <c r="VO13" s="27"/>
      <c r="VP13" s="27"/>
      <c r="VV13" s="27"/>
      <c r="VW13" s="27"/>
      <c r="VX13" s="27"/>
      <c r="WD13" s="27"/>
      <c r="WE13" s="27"/>
      <c r="WF13" s="27"/>
      <c r="WL13" s="27"/>
      <c r="WM13" s="27"/>
      <c r="WN13" s="27"/>
      <c r="WT13" s="27"/>
      <c r="WU13" s="27"/>
      <c r="WV13" s="27"/>
      <c r="XB13" s="27"/>
      <c r="XC13" s="27"/>
      <c r="XD13" s="27"/>
      <c r="XJ13" s="27"/>
      <c r="XK13" s="27"/>
      <c r="XL13" s="27"/>
      <c r="XR13" s="27"/>
      <c r="XS13" s="27"/>
      <c r="XT13" s="27"/>
      <c r="XZ13" s="27"/>
      <c r="YA13" s="27"/>
      <c r="YB13" s="27"/>
      <c r="YH13" s="27"/>
      <c r="YI13" s="27"/>
      <c r="YJ13" s="27"/>
      <c r="YP13" s="27"/>
      <c r="YQ13" s="27"/>
      <c r="YR13" s="27"/>
      <c r="YX13" s="27"/>
      <c r="YY13" s="27"/>
      <c r="YZ13" s="27"/>
      <c r="ZF13" s="27"/>
      <c r="ZG13" s="27"/>
      <c r="ZH13" s="27"/>
      <c r="ZN13" s="27"/>
      <c r="ZO13" s="27"/>
      <c r="ZP13" s="27"/>
      <c r="ZV13" s="27"/>
      <c r="ZW13" s="27"/>
      <c r="ZX13" s="27"/>
      <c r="AAD13" s="27"/>
      <c r="AAE13" s="27"/>
      <c r="AAF13" s="27"/>
      <c r="AAL13" s="27"/>
      <c r="AAM13" s="27"/>
      <c r="AAN13" s="27"/>
      <c r="AAT13" s="27"/>
      <c r="AAU13" s="27"/>
      <c r="AAV13" s="27"/>
      <c r="ABB13" s="27"/>
      <c r="ABC13" s="27"/>
      <c r="ABD13" s="27"/>
      <c r="ABJ13" s="27"/>
      <c r="ABK13" s="27"/>
      <c r="ABL13" s="27"/>
      <c r="ABR13" s="27"/>
      <c r="ABS13" s="27"/>
      <c r="ABT13" s="27"/>
      <c r="ABZ13" s="27"/>
      <c r="ACA13" s="27"/>
      <c r="ACB13" s="27"/>
      <c r="ACH13" s="27"/>
      <c r="ACI13" s="27"/>
      <c r="ACJ13" s="27"/>
      <c r="ACP13" s="27"/>
      <c r="ACQ13" s="27"/>
      <c r="ACR13" s="27"/>
      <c r="ACX13" s="27"/>
      <c r="ACY13" s="27"/>
      <c r="ACZ13" s="27"/>
      <c r="ADF13" s="27"/>
      <c r="ADG13" s="27"/>
      <c r="ADH13" s="27"/>
      <c r="ADN13" s="27"/>
      <c r="ADO13" s="27"/>
      <c r="ADP13" s="27"/>
      <c r="ADV13" s="27"/>
      <c r="ADW13" s="27"/>
      <c r="ADX13" s="27"/>
      <c r="AED13" s="27"/>
      <c r="AEE13" s="27"/>
      <c r="AEF13" s="27"/>
      <c r="AEL13" s="27"/>
      <c r="AEM13" s="27"/>
      <c r="AEN13" s="27"/>
      <c r="AET13" s="27"/>
      <c r="AEU13" s="27"/>
      <c r="AEV13" s="27"/>
      <c r="AFB13" s="27"/>
      <c r="AFC13" s="27"/>
      <c r="AFD13" s="27"/>
      <c r="AFJ13" s="27"/>
      <c r="AFK13" s="27"/>
      <c r="AFL13" s="27"/>
      <c r="AFR13" s="27"/>
      <c r="AFS13" s="27"/>
      <c r="AFT13" s="27"/>
      <c r="AFZ13" s="27"/>
      <c r="AGA13" s="27"/>
      <c r="AGB13" s="27"/>
      <c r="AGH13" s="27"/>
      <c r="AGI13" s="27"/>
      <c r="AGJ13" s="27"/>
      <c r="AGP13" s="27"/>
      <c r="AGQ13" s="27"/>
      <c r="AGR13" s="27"/>
      <c r="AGX13" s="27"/>
      <c r="AGY13" s="27"/>
      <c r="AGZ13" s="27"/>
      <c r="AHF13" s="27"/>
      <c r="AHG13" s="27"/>
      <c r="AHH13" s="27"/>
      <c r="AHN13" s="27"/>
      <c r="AHO13" s="27"/>
      <c r="AHP13" s="27"/>
      <c r="AHV13" s="27"/>
      <c r="AHW13" s="27"/>
      <c r="AHX13" s="27"/>
      <c r="AID13" s="27"/>
      <c r="AIE13" s="27"/>
      <c r="AIF13" s="27"/>
      <c r="AIL13" s="27"/>
      <c r="AIM13" s="27"/>
      <c r="AIN13" s="27"/>
      <c r="AIT13" s="27"/>
      <c r="AIU13" s="27"/>
      <c r="AIV13" s="27"/>
      <c r="AJB13" s="27"/>
      <c r="AJC13" s="27"/>
      <c r="AJD13" s="27"/>
      <c r="AJJ13" s="27"/>
      <c r="AJK13" s="27"/>
      <c r="AJL13" s="27"/>
      <c r="AJR13" s="27"/>
      <c r="AJS13" s="27"/>
      <c r="AJT13" s="27"/>
      <c r="AJZ13" s="27"/>
      <c r="AKA13" s="27"/>
      <c r="AKB13" s="27"/>
      <c r="AKH13" s="27"/>
      <c r="AKI13" s="27"/>
      <c r="AKJ13" s="27"/>
      <c r="AKP13" s="27"/>
      <c r="AKQ13" s="27"/>
      <c r="AKR13" s="27"/>
      <c r="AKX13" s="27"/>
      <c r="AKY13" s="27"/>
      <c r="AKZ13" s="27"/>
      <c r="ALF13" s="27"/>
      <c r="ALG13" s="27"/>
      <c r="ALH13" s="27"/>
      <c r="ALN13" s="27"/>
      <c r="ALO13" s="27"/>
      <c r="ALP13" s="27"/>
      <c r="ALV13" s="27"/>
      <c r="ALW13" s="27"/>
      <c r="ALX13" s="27"/>
      <c r="AMD13" s="27"/>
      <c r="AME13" s="27"/>
      <c r="AMF13" s="27"/>
      <c r="AML13" s="27"/>
      <c r="AMM13" s="27"/>
      <c r="AMN13" s="27"/>
      <c r="AMT13" s="27"/>
      <c r="AMU13" s="27"/>
      <c r="AMV13" s="27"/>
      <c r="ANB13" s="27"/>
      <c r="ANC13" s="27"/>
      <c r="AND13" s="27"/>
      <c r="ANJ13" s="27"/>
      <c r="ANK13" s="27"/>
      <c r="ANL13" s="27"/>
      <c r="ANR13" s="27"/>
      <c r="ANS13" s="27"/>
      <c r="ANT13" s="27"/>
      <c r="ANZ13" s="27"/>
      <c r="AOA13" s="27"/>
      <c r="AOB13" s="27"/>
      <c r="AOH13" s="27"/>
      <c r="AOI13" s="27"/>
      <c r="AOJ13" s="27"/>
      <c r="AOP13" s="27"/>
      <c r="AOQ13" s="27"/>
      <c r="AOR13" s="27"/>
      <c r="AOX13" s="27"/>
      <c r="AOY13" s="27"/>
      <c r="AOZ13" s="27"/>
      <c r="APF13" s="27"/>
      <c r="APG13" s="27"/>
      <c r="APH13" s="27"/>
      <c r="APN13" s="27"/>
      <c r="APO13" s="27"/>
      <c r="APP13" s="27"/>
      <c r="APV13" s="27"/>
      <c r="APW13" s="27"/>
      <c r="APX13" s="27"/>
      <c r="AQD13" s="27"/>
      <c r="AQE13" s="27"/>
      <c r="AQF13" s="27"/>
      <c r="AQL13" s="27"/>
      <c r="AQM13" s="27"/>
      <c r="AQN13" s="27"/>
      <c r="AQT13" s="27"/>
      <c r="AQU13" s="27"/>
      <c r="AQV13" s="27"/>
      <c r="ARB13" s="27"/>
      <c r="ARC13" s="27"/>
      <c r="ARD13" s="27"/>
      <c r="ARJ13" s="27"/>
      <c r="ARK13" s="27"/>
      <c r="ARL13" s="27"/>
      <c r="ARR13" s="27"/>
      <c r="ARS13" s="27"/>
      <c r="ART13" s="27"/>
      <c r="ARZ13" s="27"/>
      <c r="ASA13" s="27"/>
      <c r="ASB13" s="27"/>
      <c r="ASH13" s="27"/>
      <c r="ASI13" s="27"/>
      <c r="ASJ13" s="27"/>
      <c r="ASP13" s="27"/>
      <c r="ASQ13" s="27"/>
      <c r="ASR13" s="27"/>
      <c r="ASX13" s="27"/>
      <c r="ASY13" s="27"/>
      <c r="ASZ13" s="27"/>
      <c r="ATF13" s="27"/>
      <c r="ATG13" s="27"/>
      <c r="ATH13" s="27"/>
      <c r="ATN13" s="27"/>
      <c r="ATO13" s="27"/>
      <c r="ATP13" s="27"/>
      <c r="ATV13" s="27"/>
      <c r="ATW13" s="27"/>
      <c r="ATX13" s="27"/>
      <c r="AUD13" s="27"/>
      <c r="AUE13" s="27"/>
      <c r="AUF13" s="27"/>
      <c r="AUL13" s="27"/>
      <c r="AUM13" s="27"/>
      <c r="AUN13" s="27"/>
      <c r="AUT13" s="27"/>
      <c r="AUU13" s="27"/>
      <c r="AUV13" s="27"/>
      <c r="AVB13" s="27"/>
      <c r="AVC13" s="27"/>
      <c r="AVD13" s="27"/>
      <c r="AVJ13" s="27"/>
      <c r="AVK13" s="27"/>
      <c r="AVL13" s="27"/>
      <c r="AVR13" s="27"/>
      <c r="AVS13" s="27"/>
      <c r="AVT13" s="27"/>
      <c r="AVZ13" s="27"/>
      <c r="AWA13" s="27"/>
      <c r="AWB13" s="27"/>
      <c r="AWH13" s="27"/>
      <c r="AWI13" s="27"/>
      <c r="AWJ13" s="27"/>
      <c r="AWP13" s="27"/>
      <c r="AWQ13" s="27"/>
      <c r="AWR13" s="27"/>
      <c r="AWX13" s="27"/>
      <c r="AWY13" s="27"/>
      <c r="AWZ13" s="27"/>
      <c r="AXF13" s="27"/>
      <c r="AXG13" s="27"/>
      <c r="AXH13" s="27"/>
      <c r="AXN13" s="27"/>
      <c r="AXO13" s="27"/>
      <c r="AXP13" s="27"/>
      <c r="AXV13" s="27"/>
      <c r="AXW13" s="27"/>
      <c r="AXX13" s="27"/>
      <c r="AYD13" s="27"/>
      <c r="AYE13" s="27"/>
      <c r="AYF13" s="27"/>
      <c r="AYL13" s="27"/>
      <c r="AYM13" s="27"/>
      <c r="AYN13" s="27"/>
      <c r="AYT13" s="27"/>
      <c r="AYU13" s="27"/>
      <c r="AYV13" s="27"/>
      <c r="AZB13" s="27"/>
      <c r="AZC13" s="27"/>
      <c r="AZD13" s="27"/>
      <c r="AZJ13" s="27"/>
      <c r="AZK13" s="27"/>
      <c r="AZL13" s="27"/>
      <c r="AZR13" s="27"/>
      <c r="AZS13" s="27"/>
      <c r="AZT13" s="27"/>
      <c r="AZZ13" s="27"/>
      <c r="BAA13" s="27"/>
      <c r="BAB13" s="27"/>
      <c r="BAH13" s="27"/>
      <c r="BAI13" s="27"/>
      <c r="BAJ13" s="27"/>
      <c r="BAP13" s="27"/>
      <c r="BAQ13" s="27"/>
      <c r="BAR13" s="27"/>
      <c r="BAX13" s="27"/>
      <c r="BAY13" s="27"/>
      <c r="BAZ13" s="27"/>
      <c r="BBF13" s="27"/>
      <c r="BBG13" s="27"/>
      <c r="BBH13" s="27"/>
      <c r="BBN13" s="27"/>
      <c r="BBO13" s="27"/>
      <c r="BBP13" s="27"/>
      <c r="BBV13" s="27"/>
      <c r="BBW13" s="27"/>
      <c r="BBX13" s="27"/>
      <c r="BCD13" s="27"/>
      <c r="BCE13" s="27"/>
      <c r="BCF13" s="27"/>
      <c r="BCL13" s="27"/>
      <c r="BCM13" s="27"/>
      <c r="BCN13" s="27"/>
      <c r="BCT13" s="27"/>
      <c r="BCU13" s="27"/>
      <c r="BCV13" s="27"/>
      <c r="BDB13" s="27"/>
      <c r="BDC13" s="27"/>
      <c r="BDD13" s="27"/>
      <c r="BDJ13" s="27"/>
      <c r="BDK13" s="27"/>
      <c r="BDL13" s="27"/>
      <c r="BDR13" s="27"/>
      <c r="BDS13" s="27"/>
      <c r="BDT13" s="27"/>
      <c r="BDZ13" s="27"/>
      <c r="BEA13" s="27"/>
      <c r="BEB13" s="27"/>
      <c r="BEH13" s="27"/>
      <c r="BEI13" s="27"/>
      <c r="BEJ13" s="27"/>
      <c r="BEP13" s="27"/>
      <c r="BEQ13" s="27"/>
      <c r="BER13" s="27"/>
      <c r="BEX13" s="27"/>
      <c r="BEY13" s="27"/>
      <c r="BEZ13" s="27"/>
      <c r="BFF13" s="27"/>
      <c r="BFG13" s="27"/>
      <c r="BFH13" s="27"/>
      <c r="BFN13" s="27"/>
      <c r="BFO13" s="27"/>
      <c r="BFP13" s="27"/>
      <c r="BFV13" s="27"/>
      <c r="BFW13" s="27"/>
      <c r="BFX13" s="27"/>
      <c r="BGD13" s="27"/>
      <c r="BGE13" s="27"/>
      <c r="BGF13" s="27"/>
      <c r="BGL13" s="27"/>
      <c r="BGM13" s="27"/>
      <c r="BGN13" s="27"/>
      <c r="BGT13" s="27"/>
      <c r="BGU13" s="27"/>
      <c r="BGV13" s="27"/>
      <c r="BHB13" s="27"/>
      <c r="BHC13" s="27"/>
      <c r="BHD13" s="27"/>
      <c r="BHJ13" s="27"/>
      <c r="BHK13" s="27"/>
      <c r="BHL13" s="27"/>
      <c r="BHR13" s="27"/>
      <c r="BHS13" s="27"/>
      <c r="BHT13" s="27"/>
      <c r="BHZ13" s="27"/>
      <c r="BIA13" s="27"/>
      <c r="BIB13" s="27"/>
      <c r="BIH13" s="27"/>
      <c r="BII13" s="27"/>
      <c r="BIJ13" s="27"/>
      <c r="BIP13" s="27"/>
      <c r="BIQ13" s="27"/>
      <c r="BIR13" s="27"/>
      <c r="BIX13" s="27"/>
      <c r="BIY13" s="27"/>
      <c r="BIZ13" s="27"/>
      <c r="BJF13" s="27"/>
      <c r="BJG13" s="27"/>
      <c r="BJH13" s="27"/>
      <c r="BJN13" s="27"/>
      <c r="BJO13" s="27"/>
      <c r="BJP13" s="27"/>
      <c r="BJV13" s="27"/>
      <c r="BJW13" s="27"/>
      <c r="BJX13" s="27"/>
      <c r="BKD13" s="27"/>
      <c r="BKE13" s="27"/>
      <c r="BKF13" s="27"/>
      <c r="BKL13" s="27"/>
      <c r="BKM13" s="27"/>
      <c r="BKN13" s="27"/>
      <c r="BKT13" s="27"/>
      <c r="BKU13" s="27"/>
      <c r="BKV13" s="27"/>
      <c r="BLB13" s="27"/>
      <c r="BLC13" s="27"/>
      <c r="BLD13" s="27"/>
      <c r="BLJ13" s="27"/>
      <c r="BLK13" s="27"/>
      <c r="BLL13" s="27"/>
      <c r="BLR13" s="27"/>
      <c r="BLS13" s="27"/>
      <c r="BLT13" s="27"/>
      <c r="BLZ13" s="27"/>
      <c r="BMA13" s="27"/>
      <c r="BMB13" s="27"/>
      <c r="BMH13" s="27"/>
      <c r="BMI13" s="27"/>
      <c r="BMJ13" s="27"/>
      <c r="BMP13" s="27"/>
      <c r="BMQ13" s="27"/>
      <c r="BMR13" s="27"/>
      <c r="BMX13" s="27"/>
      <c r="BMY13" s="27"/>
      <c r="BMZ13" s="27"/>
      <c r="BNF13" s="27"/>
      <c r="BNG13" s="27"/>
      <c r="BNH13" s="27"/>
      <c r="BNN13" s="27"/>
      <c r="BNO13" s="27"/>
      <c r="BNP13" s="27"/>
      <c r="BNV13" s="27"/>
      <c r="BNW13" s="27"/>
      <c r="BNX13" s="27"/>
      <c r="BOD13" s="27"/>
      <c r="BOE13" s="27"/>
      <c r="BOF13" s="27"/>
      <c r="BOL13" s="27"/>
      <c r="BOM13" s="27"/>
      <c r="BON13" s="27"/>
      <c r="BOT13" s="27"/>
      <c r="BOU13" s="27"/>
      <c r="BOV13" s="27"/>
      <c r="BPB13" s="27"/>
      <c r="BPC13" s="27"/>
      <c r="BPD13" s="27"/>
      <c r="BPJ13" s="27"/>
      <c r="BPK13" s="27"/>
      <c r="BPL13" s="27"/>
      <c r="BPR13" s="27"/>
      <c r="BPS13" s="27"/>
      <c r="BPT13" s="27"/>
      <c r="BPZ13" s="27"/>
      <c r="BQA13" s="27"/>
      <c r="BQB13" s="27"/>
      <c r="BQH13" s="27"/>
      <c r="BQI13" s="27"/>
      <c r="BQJ13" s="27"/>
      <c r="BQP13" s="27"/>
      <c r="BQQ13" s="27"/>
      <c r="BQR13" s="27"/>
      <c r="BQX13" s="27"/>
      <c r="BQY13" s="27"/>
      <c r="BQZ13" s="27"/>
      <c r="BRF13" s="27"/>
      <c r="BRG13" s="27"/>
      <c r="BRH13" s="27"/>
      <c r="BRN13" s="27"/>
      <c r="BRO13" s="27"/>
      <c r="BRP13" s="27"/>
      <c r="BRV13" s="27"/>
      <c r="BRW13" s="27"/>
      <c r="BRX13" s="27"/>
      <c r="BSD13" s="27"/>
      <c r="BSE13" s="27"/>
      <c r="BSF13" s="27"/>
      <c r="BSL13" s="27"/>
      <c r="BSM13" s="27"/>
      <c r="BSN13" s="27"/>
      <c r="BST13" s="27"/>
      <c r="BSU13" s="27"/>
      <c r="BSV13" s="27"/>
      <c r="BTB13" s="27"/>
      <c r="BTC13" s="27"/>
      <c r="BTD13" s="27"/>
      <c r="BTJ13" s="27"/>
      <c r="BTK13" s="27"/>
      <c r="BTL13" s="27"/>
      <c r="BTR13" s="27"/>
      <c r="BTS13" s="27"/>
      <c r="BTT13" s="27"/>
      <c r="BTZ13" s="27"/>
      <c r="BUA13" s="27"/>
      <c r="BUB13" s="27"/>
      <c r="BUH13" s="27"/>
      <c r="BUI13" s="27"/>
      <c r="BUJ13" s="27"/>
      <c r="BUP13" s="27"/>
      <c r="BUQ13" s="27"/>
      <c r="BUR13" s="27"/>
      <c r="BUX13" s="27"/>
      <c r="BUY13" s="27"/>
      <c r="BUZ13" s="27"/>
      <c r="BVF13" s="27"/>
      <c r="BVG13" s="27"/>
      <c r="BVH13" s="27"/>
      <c r="BVN13" s="27"/>
      <c r="BVO13" s="27"/>
      <c r="BVP13" s="27"/>
      <c r="BVV13" s="27"/>
      <c r="BVW13" s="27"/>
      <c r="BVX13" s="27"/>
      <c r="BWD13" s="27"/>
      <c r="BWE13" s="27"/>
      <c r="BWF13" s="27"/>
      <c r="BWL13" s="27"/>
      <c r="BWM13" s="27"/>
      <c r="BWN13" s="27"/>
      <c r="BWT13" s="27"/>
      <c r="BWU13" s="27"/>
      <c r="BWV13" s="27"/>
      <c r="BXB13" s="27"/>
      <c r="BXC13" s="27"/>
      <c r="BXD13" s="27"/>
      <c r="BXJ13" s="27"/>
      <c r="BXK13" s="27"/>
      <c r="BXL13" s="27"/>
      <c r="BXR13" s="27"/>
      <c r="BXS13" s="27"/>
      <c r="BXT13" s="27"/>
      <c r="BXZ13" s="27"/>
      <c r="BYA13" s="27"/>
      <c r="BYB13" s="27"/>
      <c r="BYH13" s="27"/>
      <c r="BYI13" s="27"/>
      <c r="BYJ13" s="27"/>
      <c r="BYP13" s="27"/>
      <c r="BYQ13" s="27"/>
      <c r="BYR13" s="27"/>
      <c r="BYX13" s="27"/>
      <c r="BYY13" s="27"/>
      <c r="BYZ13" s="27"/>
      <c r="BZF13" s="27"/>
      <c r="BZG13" s="27"/>
      <c r="BZH13" s="27"/>
      <c r="BZN13" s="27"/>
      <c r="BZO13" s="27"/>
      <c r="BZP13" s="27"/>
      <c r="BZV13" s="27"/>
      <c r="BZW13" s="27"/>
      <c r="BZX13" s="27"/>
      <c r="CAD13" s="27"/>
      <c r="CAE13" s="27"/>
      <c r="CAF13" s="27"/>
      <c r="CAL13" s="27"/>
      <c r="CAM13" s="27"/>
      <c r="CAN13" s="27"/>
      <c r="CAT13" s="27"/>
      <c r="CAU13" s="27"/>
      <c r="CAV13" s="27"/>
      <c r="CBB13" s="27"/>
      <c r="CBC13" s="27"/>
      <c r="CBD13" s="27"/>
      <c r="CBJ13" s="27"/>
      <c r="CBK13" s="27"/>
      <c r="CBL13" s="27"/>
      <c r="CBR13" s="27"/>
      <c r="CBS13" s="27"/>
      <c r="CBT13" s="27"/>
      <c r="CBZ13" s="27"/>
      <c r="CCA13" s="27"/>
      <c r="CCB13" s="27"/>
      <c r="CCH13" s="27"/>
      <c r="CCI13" s="27"/>
      <c r="CCJ13" s="27"/>
      <c r="CCP13" s="27"/>
      <c r="CCQ13" s="27"/>
      <c r="CCR13" s="27"/>
      <c r="CCX13" s="27"/>
      <c r="CCY13" s="27"/>
      <c r="CCZ13" s="27"/>
      <c r="CDF13" s="27"/>
      <c r="CDG13" s="27"/>
      <c r="CDH13" s="27"/>
      <c r="CDN13" s="27"/>
      <c r="CDO13" s="27"/>
      <c r="CDP13" s="27"/>
      <c r="CDV13" s="27"/>
      <c r="CDW13" s="27"/>
      <c r="CDX13" s="27"/>
      <c r="CED13" s="27"/>
      <c r="CEE13" s="27"/>
      <c r="CEF13" s="27"/>
      <c r="CEL13" s="27"/>
      <c r="CEM13" s="27"/>
      <c r="CEN13" s="27"/>
      <c r="CET13" s="27"/>
      <c r="CEU13" s="27"/>
      <c r="CEV13" s="27"/>
      <c r="CFB13" s="27"/>
      <c r="CFC13" s="27"/>
      <c r="CFD13" s="27"/>
      <c r="CFJ13" s="27"/>
      <c r="CFK13" s="27"/>
      <c r="CFL13" s="27"/>
      <c r="CFR13" s="27"/>
      <c r="CFS13" s="27"/>
      <c r="CFT13" s="27"/>
      <c r="CFZ13" s="27"/>
      <c r="CGA13" s="27"/>
      <c r="CGB13" s="27"/>
      <c r="CGH13" s="27"/>
      <c r="CGI13" s="27"/>
      <c r="CGJ13" s="27"/>
      <c r="CGP13" s="27"/>
      <c r="CGQ13" s="27"/>
      <c r="CGR13" s="27"/>
      <c r="CGX13" s="27"/>
      <c r="CGY13" s="27"/>
      <c r="CGZ13" s="27"/>
      <c r="CHF13" s="27"/>
      <c r="CHG13" s="27"/>
      <c r="CHH13" s="27"/>
      <c r="CHN13" s="27"/>
      <c r="CHO13" s="27"/>
      <c r="CHP13" s="27"/>
      <c r="CHV13" s="27"/>
      <c r="CHW13" s="27"/>
      <c r="CHX13" s="27"/>
      <c r="CID13" s="27"/>
      <c r="CIE13" s="27"/>
      <c r="CIF13" s="27"/>
      <c r="CIL13" s="27"/>
      <c r="CIM13" s="27"/>
      <c r="CIN13" s="27"/>
      <c r="CIT13" s="27"/>
      <c r="CIU13" s="27"/>
      <c r="CIV13" s="27"/>
      <c r="CJB13" s="27"/>
      <c r="CJC13" s="27"/>
      <c r="CJD13" s="27"/>
      <c r="CJJ13" s="27"/>
      <c r="CJK13" s="27"/>
      <c r="CJL13" s="27"/>
      <c r="CJR13" s="27"/>
      <c r="CJS13" s="27"/>
      <c r="CJT13" s="27"/>
      <c r="CJZ13" s="27"/>
      <c r="CKA13" s="27"/>
      <c r="CKB13" s="27"/>
      <c r="CKH13" s="27"/>
      <c r="CKI13" s="27"/>
      <c r="CKJ13" s="27"/>
      <c r="CKP13" s="27"/>
      <c r="CKQ13" s="27"/>
      <c r="CKR13" s="27"/>
      <c r="CKX13" s="27"/>
      <c r="CKY13" s="27"/>
      <c r="CKZ13" s="27"/>
      <c r="CLF13" s="27"/>
      <c r="CLG13" s="27"/>
      <c r="CLH13" s="27"/>
      <c r="CLN13" s="27"/>
      <c r="CLO13" s="27"/>
      <c r="CLP13" s="27"/>
      <c r="CLV13" s="27"/>
      <c r="CLW13" s="27"/>
      <c r="CLX13" s="27"/>
      <c r="CMD13" s="27"/>
      <c r="CME13" s="27"/>
      <c r="CMF13" s="27"/>
      <c r="CML13" s="27"/>
      <c r="CMM13" s="27"/>
      <c r="CMN13" s="27"/>
      <c r="CMT13" s="27"/>
      <c r="CMU13" s="27"/>
      <c r="CMV13" s="27"/>
      <c r="CNB13" s="27"/>
      <c r="CNC13" s="27"/>
      <c r="CND13" s="27"/>
      <c r="CNJ13" s="27"/>
      <c r="CNK13" s="27"/>
      <c r="CNL13" s="27"/>
      <c r="CNR13" s="27"/>
      <c r="CNS13" s="27"/>
      <c r="CNT13" s="27"/>
      <c r="CNZ13" s="27"/>
      <c r="COA13" s="27"/>
      <c r="COB13" s="27"/>
      <c r="COH13" s="27"/>
      <c r="COI13" s="27"/>
      <c r="COJ13" s="27"/>
      <c r="COP13" s="27"/>
      <c r="COQ13" s="27"/>
      <c r="COR13" s="27"/>
      <c r="COX13" s="27"/>
      <c r="COY13" s="27"/>
      <c r="COZ13" s="27"/>
      <c r="CPF13" s="27"/>
      <c r="CPG13" s="27"/>
      <c r="CPH13" s="27"/>
      <c r="CPN13" s="27"/>
      <c r="CPO13" s="27"/>
      <c r="CPP13" s="27"/>
      <c r="CPV13" s="27"/>
      <c r="CPW13" s="27"/>
      <c r="CPX13" s="27"/>
      <c r="CQD13" s="27"/>
      <c r="CQE13" s="27"/>
      <c r="CQF13" s="27"/>
      <c r="CQL13" s="27"/>
      <c r="CQM13" s="27"/>
      <c r="CQN13" s="27"/>
      <c r="CQT13" s="27"/>
      <c r="CQU13" s="27"/>
      <c r="CQV13" s="27"/>
      <c r="CRB13" s="27"/>
      <c r="CRC13" s="27"/>
      <c r="CRD13" s="27"/>
      <c r="CRJ13" s="27"/>
      <c r="CRK13" s="27"/>
      <c r="CRL13" s="27"/>
      <c r="CRR13" s="27"/>
      <c r="CRS13" s="27"/>
      <c r="CRT13" s="27"/>
      <c r="CRZ13" s="27"/>
      <c r="CSA13" s="27"/>
      <c r="CSB13" s="27"/>
      <c r="CSH13" s="27"/>
      <c r="CSI13" s="27"/>
      <c r="CSJ13" s="27"/>
      <c r="CSP13" s="27"/>
      <c r="CSQ13" s="27"/>
      <c r="CSR13" s="27"/>
      <c r="CSX13" s="27"/>
      <c r="CSY13" s="27"/>
      <c r="CSZ13" s="27"/>
      <c r="CTF13" s="27"/>
      <c r="CTG13" s="27"/>
      <c r="CTH13" s="27"/>
      <c r="CTN13" s="27"/>
      <c r="CTO13" s="27"/>
      <c r="CTP13" s="27"/>
      <c r="CTV13" s="27"/>
      <c r="CTW13" s="27"/>
      <c r="CTX13" s="27"/>
      <c r="CUD13" s="27"/>
      <c r="CUE13" s="27"/>
      <c r="CUF13" s="27"/>
      <c r="CUL13" s="27"/>
      <c r="CUM13" s="27"/>
      <c r="CUN13" s="27"/>
      <c r="CUT13" s="27"/>
      <c r="CUU13" s="27"/>
      <c r="CUV13" s="27"/>
      <c r="CVB13" s="27"/>
      <c r="CVC13" s="27"/>
      <c r="CVD13" s="27"/>
      <c r="CVJ13" s="27"/>
      <c r="CVK13" s="27"/>
      <c r="CVL13" s="27"/>
      <c r="CVR13" s="27"/>
      <c r="CVS13" s="27"/>
      <c r="CVT13" s="27"/>
      <c r="CVZ13" s="27"/>
      <c r="CWA13" s="27"/>
      <c r="CWB13" s="27"/>
      <c r="CWH13" s="27"/>
      <c r="CWI13" s="27"/>
      <c r="CWJ13" s="27"/>
      <c r="CWP13" s="27"/>
      <c r="CWQ13" s="27"/>
      <c r="CWR13" s="27"/>
      <c r="CWX13" s="27"/>
      <c r="CWY13" s="27"/>
      <c r="CWZ13" s="27"/>
      <c r="CXF13" s="27"/>
      <c r="CXG13" s="27"/>
      <c r="CXH13" s="27"/>
      <c r="CXN13" s="27"/>
      <c r="CXO13" s="27"/>
      <c r="CXP13" s="27"/>
      <c r="CXV13" s="27"/>
      <c r="CXW13" s="27"/>
      <c r="CXX13" s="27"/>
      <c r="CYD13" s="27"/>
      <c r="CYE13" s="27"/>
      <c r="CYF13" s="27"/>
      <c r="CYL13" s="27"/>
      <c r="CYM13" s="27"/>
      <c r="CYN13" s="27"/>
      <c r="CYT13" s="27"/>
      <c r="CYU13" s="27"/>
      <c r="CYV13" s="27"/>
      <c r="CZB13" s="27"/>
      <c r="CZC13" s="27"/>
      <c r="CZD13" s="27"/>
      <c r="CZJ13" s="27"/>
      <c r="CZK13" s="27"/>
      <c r="CZL13" s="27"/>
      <c r="CZR13" s="27"/>
      <c r="CZS13" s="27"/>
      <c r="CZT13" s="27"/>
      <c r="CZZ13" s="27"/>
      <c r="DAA13" s="27"/>
      <c r="DAB13" s="27"/>
      <c r="DAH13" s="27"/>
      <c r="DAI13" s="27"/>
      <c r="DAJ13" s="27"/>
      <c r="DAP13" s="27"/>
      <c r="DAQ13" s="27"/>
      <c r="DAR13" s="27"/>
      <c r="DAX13" s="27"/>
      <c r="DAY13" s="27"/>
      <c r="DAZ13" s="27"/>
      <c r="DBF13" s="27"/>
      <c r="DBG13" s="27"/>
      <c r="DBH13" s="27"/>
      <c r="DBN13" s="27"/>
      <c r="DBO13" s="27"/>
      <c r="DBP13" s="27"/>
      <c r="DBV13" s="27"/>
      <c r="DBW13" s="27"/>
      <c r="DBX13" s="27"/>
      <c r="DCD13" s="27"/>
      <c r="DCE13" s="27"/>
      <c r="DCF13" s="27"/>
      <c r="DCL13" s="27"/>
      <c r="DCM13" s="27"/>
      <c r="DCN13" s="27"/>
      <c r="DCT13" s="27"/>
      <c r="DCU13" s="27"/>
      <c r="DCV13" s="27"/>
      <c r="DDB13" s="27"/>
      <c r="DDC13" s="27"/>
      <c r="DDD13" s="27"/>
      <c r="DDJ13" s="27"/>
      <c r="DDK13" s="27"/>
      <c r="DDL13" s="27"/>
      <c r="DDR13" s="27"/>
      <c r="DDS13" s="27"/>
      <c r="DDT13" s="27"/>
      <c r="DDZ13" s="27"/>
      <c r="DEA13" s="27"/>
      <c r="DEB13" s="27"/>
      <c r="DEH13" s="27"/>
      <c r="DEI13" s="27"/>
      <c r="DEJ13" s="27"/>
      <c r="DEP13" s="27"/>
      <c r="DEQ13" s="27"/>
      <c r="DER13" s="27"/>
      <c r="DEX13" s="27"/>
      <c r="DEY13" s="27"/>
      <c r="DEZ13" s="27"/>
      <c r="DFF13" s="27"/>
      <c r="DFG13" s="27"/>
      <c r="DFH13" s="27"/>
      <c r="DFN13" s="27"/>
      <c r="DFO13" s="27"/>
      <c r="DFP13" s="27"/>
      <c r="DFV13" s="27"/>
      <c r="DFW13" s="27"/>
      <c r="DFX13" s="27"/>
      <c r="DGD13" s="27"/>
      <c r="DGE13" s="27"/>
      <c r="DGF13" s="27"/>
      <c r="DGL13" s="27"/>
      <c r="DGM13" s="27"/>
      <c r="DGN13" s="27"/>
      <c r="DGT13" s="27"/>
      <c r="DGU13" s="27"/>
      <c r="DGV13" s="27"/>
      <c r="DHB13" s="27"/>
      <c r="DHC13" s="27"/>
      <c r="DHD13" s="27"/>
      <c r="DHJ13" s="27"/>
      <c r="DHK13" s="27"/>
      <c r="DHL13" s="27"/>
      <c r="DHR13" s="27"/>
      <c r="DHS13" s="27"/>
      <c r="DHT13" s="27"/>
      <c r="DHZ13" s="27"/>
      <c r="DIA13" s="27"/>
      <c r="DIB13" s="27"/>
      <c r="DIH13" s="27"/>
      <c r="DII13" s="27"/>
      <c r="DIJ13" s="27"/>
      <c r="DIP13" s="27"/>
      <c r="DIQ13" s="27"/>
      <c r="DIR13" s="27"/>
      <c r="DIX13" s="27"/>
      <c r="DIY13" s="27"/>
      <c r="DIZ13" s="27"/>
      <c r="DJF13" s="27"/>
      <c r="DJG13" s="27"/>
      <c r="DJH13" s="27"/>
      <c r="DJN13" s="27"/>
      <c r="DJO13" s="27"/>
      <c r="DJP13" s="27"/>
      <c r="DJV13" s="27"/>
      <c r="DJW13" s="27"/>
      <c r="DJX13" s="27"/>
      <c r="DKD13" s="27"/>
      <c r="DKE13" s="27"/>
      <c r="DKF13" s="27"/>
      <c r="DKL13" s="27"/>
      <c r="DKM13" s="27"/>
      <c r="DKN13" s="27"/>
      <c r="DKT13" s="27"/>
      <c r="DKU13" s="27"/>
      <c r="DKV13" s="27"/>
      <c r="DLB13" s="27"/>
      <c r="DLC13" s="27"/>
      <c r="DLD13" s="27"/>
      <c r="DLJ13" s="27"/>
      <c r="DLK13" s="27"/>
      <c r="DLL13" s="27"/>
      <c r="DLR13" s="27"/>
      <c r="DLS13" s="27"/>
      <c r="DLT13" s="27"/>
      <c r="DLZ13" s="27"/>
      <c r="DMA13" s="27"/>
      <c r="DMB13" s="27"/>
      <c r="DMH13" s="27"/>
      <c r="DMI13" s="27"/>
      <c r="DMJ13" s="27"/>
      <c r="DMP13" s="27"/>
      <c r="DMQ13" s="27"/>
      <c r="DMR13" s="27"/>
      <c r="DMX13" s="27"/>
      <c r="DMY13" s="27"/>
      <c r="DMZ13" s="27"/>
      <c r="DNF13" s="27"/>
      <c r="DNG13" s="27"/>
      <c r="DNH13" s="27"/>
      <c r="DNN13" s="27"/>
      <c r="DNO13" s="27"/>
      <c r="DNP13" s="27"/>
      <c r="DNV13" s="27"/>
      <c r="DNW13" s="27"/>
      <c r="DNX13" s="27"/>
      <c r="DOD13" s="27"/>
      <c r="DOE13" s="27"/>
      <c r="DOF13" s="27"/>
      <c r="DOL13" s="27"/>
      <c r="DOM13" s="27"/>
      <c r="DON13" s="27"/>
      <c r="DOT13" s="27"/>
      <c r="DOU13" s="27"/>
      <c r="DOV13" s="27"/>
      <c r="DPB13" s="27"/>
      <c r="DPC13" s="27"/>
      <c r="DPD13" s="27"/>
      <c r="DPJ13" s="27"/>
      <c r="DPK13" s="27"/>
      <c r="DPL13" s="27"/>
      <c r="DPR13" s="27"/>
      <c r="DPS13" s="27"/>
      <c r="DPT13" s="27"/>
      <c r="DPZ13" s="27"/>
      <c r="DQA13" s="27"/>
      <c r="DQB13" s="27"/>
      <c r="DQH13" s="27"/>
      <c r="DQI13" s="27"/>
      <c r="DQJ13" s="27"/>
      <c r="DQP13" s="27"/>
      <c r="DQQ13" s="27"/>
      <c r="DQR13" s="27"/>
      <c r="DQX13" s="27"/>
      <c r="DQY13" s="27"/>
      <c r="DQZ13" s="27"/>
      <c r="DRF13" s="27"/>
      <c r="DRG13" s="27"/>
      <c r="DRH13" s="27"/>
      <c r="DRN13" s="27"/>
      <c r="DRO13" s="27"/>
      <c r="DRP13" s="27"/>
      <c r="DRV13" s="27"/>
      <c r="DRW13" s="27"/>
      <c r="DRX13" s="27"/>
      <c r="DSD13" s="27"/>
      <c r="DSE13" s="27"/>
      <c r="DSF13" s="27"/>
      <c r="DSL13" s="27"/>
      <c r="DSM13" s="27"/>
      <c r="DSN13" s="27"/>
      <c r="DST13" s="27"/>
      <c r="DSU13" s="27"/>
      <c r="DSV13" s="27"/>
      <c r="DTB13" s="27"/>
      <c r="DTC13" s="27"/>
      <c r="DTD13" s="27"/>
      <c r="DTJ13" s="27"/>
      <c r="DTK13" s="27"/>
      <c r="DTL13" s="27"/>
      <c r="DTR13" s="27"/>
      <c r="DTS13" s="27"/>
      <c r="DTT13" s="27"/>
      <c r="DTZ13" s="27"/>
      <c r="DUA13" s="27"/>
      <c r="DUB13" s="27"/>
      <c r="DUH13" s="27"/>
      <c r="DUI13" s="27"/>
      <c r="DUJ13" s="27"/>
      <c r="DUP13" s="27"/>
      <c r="DUQ13" s="27"/>
      <c r="DUR13" s="27"/>
      <c r="DUX13" s="27"/>
      <c r="DUY13" s="27"/>
      <c r="DUZ13" s="27"/>
      <c r="DVF13" s="27"/>
      <c r="DVG13" s="27"/>
      <c r="DVH13" s="27"/>
      <c r="DVN13" s="27"/>
      <c r="DVO13" s="27"/>
      <c r="DVP13" s="27"/>
      <c r="DVV13" s="27"/>
      <c r="DVW13" s="27"/>
      <c r="DVX13" s="27"/>
      <c r="DWD13" s="27"/>
      <c r="DWE13" s="27"/>
      <c r="DWF13" s="27"/>
      <c r="DWL13" s="27"/>
      <c r="DWM13" s="27"/>
      <c r="DWN13" s="27"/>
      <c r="DWT13" s="27"/>
      <c r="DWU13" s="27"/>
      <c r="DWV13" s="27"/>
      <c r="DXB13" s="27"/>
      <c r="DXC13" s="27"/>
      <c r="DXD13" s="27"/>
      <c r="DXJ13" s="27"/>
      <c r="DXK13" s="27"/>
      <c r="DXL13" s="27"/>
      <c r="DXR13" s="27"/>
      <c r="DXS13" s="27"/>
      <c r="DXT13" s="27"/>
      <c r="DXZ13" s="27"/>
      <c r="DYA13" s="27"/>
      <c r="DYB13" s="27"/>
      <c r="DYH13" s="27"/>
      <c r="DYI13" s="27"/>
      <c r="DYJ13" s="27"/>
      <c r="DYP13" s="27"/>
      <c r="DYQ13" s="27"/>
      <c r="DYR13" s="27"/>
      <c r="DYX13" s="27"/>
      <c r="DYY13" s="27"/>
      <c r="DYZ13" s="27"/>
      <c r="DZF13" s="27"/>
      <c r="DZG13" s="27"/>
      <c r="DZH13" s="27"/>
      <c r="DZN13" s="27"/>
      <c r="DZO13" s="27"/>
      <c r="DZP13" s="27"/>
      <c r="DZV13" s="27"/>
      <c r="DZW13" s="27"/>
      <c r="DZX13" s="27"/>
      <c r="EAD13" s="27"/>
      <c r="EAE13" s="27"/>
      <c r="EAF13" s="27"/>
      <c r="EAL13" s="27"/>
      <c r="EAM13" s="27"/>
      <c r="EAN13" s="27"/>
      <c r="EAT13" s="27"/>
      <c r="EAU13" s="27"/>
      <c r="EAV13" s="27"/>
      <c r="EBB13" s="27"/>
      <c r="EBC13" s="27"/>
      <c r="EBD13" s="27"/>
      <c r="EBJ13" s="27"/>
      <c r="EBK13" s="27"/>
      <c r="EBL13" s="27"/>
      <c r="EBR13" s="27"/>
      <c r="EBS13" s="27"/>
      <c r="EBT13" s="27"/>
      <c r="EBZ13" s="27"/>
      <c r="ECA13" s="27"/>
      <c r="ECB13" s="27"/>
      <c r="ECH13" s="27"/>
      <c r="ECI13" s="27"/>
      <c r="ECJ13" s="27"/>
      <c r="ECP13" s="27"/>
      <c r="ECQ13" s="27"/>
      <c r="ECR13" s="27"/>
      <c r="ECX13" s="27"/>
      <c r="ECY13" s="27"/>
      <c r="ECZ13" s="27"/>
      <c r="EDF13" s="27"/>
      <c r="EDG13" s="27"/>
      <c r="EDH13" s="27"/>
      <c r="EDN13" s="27"/>
      <c r="EDO13" s="27"/>
      <c r="EDP13" s="27"/>
      <c r="EDV13" s="27"/>
      <c r="EDW13" s="27"/>
      <c r="EDX13" s="27"/>
      <c r="EED13" s="27"/>
      <c r="EEE13" s="27"/>
      <c r="EEF13" s="27"/>
      <c r="EEL13" s="27"/>
      <c r="EEM13" s="27"/>
      <c r="EEN13" s="27"/>
      <c r="EET13" s="27"/>
      <c r="EEU13" s="27"/>
      <c r="EEV13" s="27"/>
      <c r="EFB13" s="27"/>
      <c r="EFC13" s="27"/>
      <c r="EFD13" s="27"/>
      <c r="EFJ13" s="27"/>
      <c r="EFK13" s="27"/>
      <c r="EFL13" s="27"/>
      <c r="EFR13" s="27"/>
      <c r="EFS13" s="27"/>
      <c r="EFT13" s="27"/>
      <c r="EFZ13" s="27"/>
      <c r="EGA13" s="27"/>
      <c r="EGB13" s="27"/>
      <c r="EGH13" s="27"/>
      <c r="EGI13" s="27"/>
      <c r="EGJ13" s="27"/>
      <c r="EGP13" s="27"/>
      <c r="EGQ13" s="27"/>
      <c r="EGR13" s="27"/>
      <c r="EGX13" s="27"/>
      <c r="EGY13" s="27"/>
      <c r="EGZ13" s="27"/>
      <c r="EHF13" s="27"/>
      <c r="EHG13" s="27"/>
      <c r="EHH13" s="27"/>
      <c r="EHN13" s="27"/>
      <c r="EHO13" s="27"/>
      <c r="EHP13" s="27"/>
      <c r="EHV13" s="27"/>
      <c r="EHW13" s="27"/>
      <c r="EHX13" s="27"/>
      <c r="EID13" s="27"/>
      <c r="EIE13" s="27"/>
      <c r="EIF13" s="27"/>
      <c r="EIL13" s="27"/>
      <c r="EIM13" s="27"/>
      <c r="EIN13" s="27"/>
      <c r="EIT13" s="27"/>
      <c r="EIU13" s="27"/>
      <c r="EIV13" s="27"/>
      <c r="EJB13" s="27"/>
      <c r="EJC13" s="27"/>
      <c r="EJD13" s="27"/>
      <c r="EJJ13" s="27"/>
      <c r="EJK13" s="27"/>
      <c r="EJL13" s="27"/>
      <c r="EJR13" s="27"/>
      <c r="EJS13" s="27"/>
      <c r="EJT13" s="27"/>
      <c r="EJZ13" s="27"/>
      <c r="EKA13" s="27"/>
      <c r="EKB13" s="27"/>
      <c r="EKH13" s="27"/>
      <c r="EKI13" s="27"/>
      <c r="EKJ13" s="27"/>
      <c r="EKP13" s="27"/>
      <c r="EKQ13" s="27"/>
      <c r="EKR13" s="27"/>
      <c r="EKX13" s="27"/>
      <c r="EKY13" s="27"/>
      <c r="EKZ13" s="27"/>
      <c r="ELF13" s="27"/>
      <c r="ELG13" s="27"/>
      <c r="ELH13" s="27"/>
      <c r="ELN13" s="27"/>
      <c r="ELO13" s="27"/>
      <c r="ELP13" s="27"/>
      <c r="ELV13" s="27"/>
      <c r="ELW13" s="27"/>
      <c r="ELX13" s="27"/>
      <c r="EMD13" s="27"/>
      <c r="EME13" s="27"/>
      <c r="EMF13" s="27"/>
      <c r="EML13" s="27"/>
      <c r="EMM13" s="27"/>
      <c r="EMN13" s="27"/>
      <c r="EMT13" s="27"/>
      <c r="EMU13" s="27"/>
      <c r="EMV13" s="27"/>
      <c r="ENB13" s="27"/>
      <c r="ENC13" s="27"/>
      <c r="END13" s="27"/>
      <c r="ENJ13" s="27"/>
      <c r="ENK13" s="27"/>
      <c r="ENL13" s="27"/>
      <c r="ENR13" s="27"/>
      <c r="ENS13" s="27"/>
      <c r="ENT13" s="27"/>
      <c r="ENZ13" s="27"/>
      <c r="EOA13" s="27"/>
      <c r="EOB13" s="27"/>
      <c r="EOH13" s="27"/>
      <c r="EOI13" s="27"/>
      <c r="EOJ13" s="27"/>
      <c r="EOP13" s="27"/>
      <c r="EOQ13" s="27"/>
      <c r="EOR13" s="27"/>
      <c r="EOX13" s="27"/>
      <c r="EOY13" s="27"/>
      <c r="EOZ13" s="27"/>
      <c r="EPF13" s="27"/>
      <c r="EPG13" s="27"/>
      <c r="EPH13" s="27"/>
      <c r="EPN13" s="27"/>
      <c r="EPO13" s="27"/>
      <c r="EPP13" s="27"/>
      <c r="EPV13" s="27"/>
      <c r="EPW13" s="27"/>
      <c r="EPX13" s="27"/>
      <c r="EQD13" s="27"/>
      <c r="EQE13" s="27"/>
      <c r="EQF13" s="27"/>
      <c r="EQL13" s="27"/>
      <c r="EQM13" s="27"/>
      <c r="EQN13" s="27"/>
      <c r="EQT13" s="27"/>
      <c r="EQU13" s="27"/>
      <c r="EQV13" s="27"/>
      <c r="ERB13" s="27"/>
      <c r="ERC13" s="27"/>
      <c r="ERD13" s="27"/>
      <c r="ERJ13" s="27"/>
      <c r="ERK13" s="27"/>
      <c r="ERL13" s="27"/>
      <c r="ERR13" s="27"/>
      <c r="ERS13" s="27"/>
      <c r="ERT13" s="27"/>
      <c r="ERZ13" s="27"/>
      <c r="ESA13" s="27"/>
      <c r="ESB13" s="27"/>
      <c r="ESH13" s="27"/>
      <c r="ESI13" s="27"/>
      <c r="ESJ13" s="27"/>
      <c r="ESP13" s="27"/>
      <c r="ESQ13" s="27"/>
      <c r="ESR13" s="27"/>
      <c r="ESX13" s="27"/>
      <c r="ESY13" s="27"/>
      <c r="ESZ13" s="27"/>
      <c r="ETF13" s="27"/>
      <c r="ETG13" s="27"/>
      <c r="ETH13" s="27"/>
      <c r="ETN13" s="27"/>
      <c r="ETO13" s="27"/>
      <c r="ETP13" s="27"/>
      <c r="ETV13" s="27"/>
      <c r="ETW13" s="27"/>
      <c r="ETX13" s="27"/>
      <c r="EUD13" s="27"/>
      <c r="EUE13" s="27"/>
      <c r="EUF13" s="27"/>
      <c r="EUL13" s="27"/>
      <c r="EUM13" s="27"/>
      <c r="EUN13" s="27"/>
      <c r="EUT13" s="27"/>
      <c r="EUU13" s="27"/>
      <c r="EUV13" s="27"/>
      <c r="EVB13" s="27"/>
      <c r="EVC13" s="27"/>
      <c r="EVD13" s="27"/>
      <c r="EVJ13" s="27"/>
      <c r="EVK13" s="27"/>
      <c r="EVL13" s="27"/>
      <c r="EVR13" s="27"/>
      <c r="EVS13" s="27"/>
      <c r="EVT13" s="27"/>
      <c r="EVZ13" s="27"/>
      <c r="EWA13" s="27"/>
      <c r="EWB13" s="27"/>
      <c r="EWH13" s="27"/>
      <c r="EWI13" s="27"/>
      <c r="EWJ13" s="27"/>
      <c r="EWP13" s="27"/>
      <c r="EWQ13" s="27"/>
      <c r="EWR13" s="27"/>
      <c r="EWX13" s="27"/>
      <c r="EWY13" s="27"/>
      <c r="EWZ13" s="27"/>
      <c r="EXF13" s="27"/>
      <c r="EXG13" s="27"/>
      <c r="EXH13" s="27"/>
      <c r="EXN13" s="27"/>
      <c r="EXO13" s="27"/>
      <c r="EXP13" s="27"/>
      <c r="EXV13" s="27"/>
      <c r="EXW13" s="27"/>
      <c r="EXX13" s="27"/>
      <c r="EYD13" s="27"/>
      <c r="EYE13" s="27"/>
      <c r="EYF13" s="27"/>
      <c r="EYL13" s="27"/>
      <c r="EYM13" s="27"/>
      <c r="EYN13" s="27"/>
      <c r="EYT13" s="27"/>
      <c r="EYU13" s="27"/>
      <c r="EYV13" s="27"/>
      <c r="EZB13" s="27"/>
      <c r="EZC13" s="27"/>
      <c r="EZD13" s="27"/>
      <c r="EZJ13" s="27"/>
      <c r="EZK13" s="27"/>
      <c r="EZL13" s="27"/>
      <c r="EZR13" s="27"/>
      <c r="EZS13" s="27"/>
      <c r="EZT13" s="27"/>
      <c r="EZZ13" s="27"/>
      <c r="FAA13" s="27"/>
      <c r="FAB13" s="27"/>
      <c r="FAH13" s="27"/>
      <c r="FAI13" s="27"/>
      <c r="FAJ13" s="27"/>
      <c r="FAP13" s="27"/>
      <c r="FAQ13" s="27"/>
      <c r="FAR13" s="27"/>
      <c r="FAX13" s="27"/>
      <c r="FAY13" s="27"/>
      <c r="FAZ13" s="27"/>
      <c r="FBF13" s="27"/>
      <c r="FBG13" s="27"/>
      <c r="FBH13" s="27"/>
      <c r="FBN13" s="27"/>
      <c r="FBO13" s="27"/>
      <c r="FBP13" s="27"/>
      <c r="FBV13" s="27"/>
      <c r="FBW13" s="27"/>
      <c r="FBX13" s="27"/>
      <c r="FCD13" s="27"/>
      <c r="FCE13" s="27"/>
      <c r="FCF13" s="27"/>
      <c r="FCL13" s="27"/>
      <c r="FCM13" s="27"/>
      <c r="FCN13" s="27"/>
      <c r="FCT13" s="27"/>
      <c r="FCU13" s="27"/>
      <c r="FCV13" s="27"/>
      <c r="FDB13" s="27"/>
      <c r="FDC13" s="27"/>
      <c r="FDD13" s="27"/>
      <c r="FDJ13" s="27"/>
      <c r="FDK13" s="27"/>
      <c r="FDL13" s="27"/>
      <c r="FDR13" s="27"/>
      <c r="FDS13" s="27"/>
      <c r="FDT13" s="27"/>
      <c r="FDZ13" s="27"/>
      <c r="FEA13" s="27"/>
      <c r="FEB13" s="27"/>
      <c r="FEH13" s="27"/>
      <c r="FEI13" s="27"/>
      <c r="FEJ13" s="27"/>
      <c r="FEP13" s="27"/>
      <c r="FEQ13" s="27"/>
      <c r="FER13" s="27"/>
      <c r="FEX13" s="27"/>
      <c r="FEY13" s="27"/>
      <c r="FEZ13" s="27"/>
      <c r="FFF13" s="27"/>
      <c r="FFG13" s="27"/>
      <c r="FFH13" s="27"/>
      <c r="FFN13" s="27"/>
      <c r="FFO13" s="27"/>
      <c r="FFP13" s="27"/>
      <c r="FFV13" s="27"/>
      <c r="FFW13" s="27"/>
      <c r="FFX13" s="27"/>
      <c r="FGD13" s="27"/>
      <c r="FGE13" s="27"/>
      <c r="FGF13" s="27"/>
      <c r="FGL13" s="27"/>
      <c r="FGM13" s="27"/>
      <c r="FGN13" s="27"/>
      <c r="FGT13" s="27"/>
      <c r="FGU13" s="27"/>
      <c r="FGV13" s="27"/>
      <c r="FHB13" s="27"/>
      <c r="FHC13" s="27"/>
      <c r="FHD13" s="27"/>
      <c r="FHJ13" s="27"/>
      <c r="FHK13" s="27"/>
      <c r="FHL13" s="27"/>
      <c r="FHR13" s="27"/>
      <c r="FHS13" s="27"/>
      <c r="FHT13" s="27"/>
      <c r="FHZ13" s="27"/>
      <c r="FIA13" s="27"/>
      <c r="FIB13" s="27"/>
      <c r="FIH13" s="27"/>
      <c r="FII13" s="27"/>
      <c r="FIJ13" s="27"/>
      <c r="FIP13" s="27"/>
      <c r="FIQ13" s="27"/>
      <c r="FIR13" s="27"/>
      <c r="FIX13" s="27"/>
      <c r="FIY13" s="27"/>
      <c r="FIZ13" s="27"/>
      <c r="FJF13" s="27"/>
      <c r="FJG13" s="27"/>
      <c r="FJH13" s="27"/>
      <c r="FJN13" s="27"/>
      <c r="FJO13" s="27"/>
      <c r="FJP13" s="27"/>
      <c r="FJV13" s="27"/>
      <c r="FJW13" s="27"/>
      <c r="FJX13" s="27"/>
      <c r="FKD13" s="27"/>
      <c r="FKE13" s="27"/>
      <c r="FKF13" s="27"/>
      <c r="FKL13" s="27"/>
      <c r="FKM13" s="27"/>
      <c r="FKN13" s="27"/>
      <c r="FKT13" s="27"/>
      <c r="FKU13" s="27"/>
      <c r="FKV13" s="27"/>
      <c r="FLB13" s="27"/>
      <c r="FLC13" s="27"/>
      <c r="FLD13" s="27"/>
      <c r="FLJ13" s="27"/>
      <c r="FLK13" s="27"/>
      <c r="FLL13" s="27"/>
      <c r="FLR13" s="27"/>
      <c r="FLS13" s="27"/>
      <c r="FLT13" s="27"/>
      <c r="FLZ13" s="27"/>
      <c r="FMA13" s="27"/>
      <c r="FMB13" s="27"/>
      <c r="FMH13" s="27"/>
      <c r="FMI13" s="27"/>
      <c r="FMJ13" s="27"/>
      <c r="FMP13" s="27"/>
      <c r="FMQ13" s="27"/>
      <c r="FMR13" s="27"/>
      <c r="FMX13" s="27"/>
      <c r="FMY13" s="27"/>
      <c r="FMZ13" s="27"/>
      <c r="FNF13" s="27"/>
      <c r="FNG13" s="27"/>
      <c r="FNH13" s="27"/>
      <c r="FNN13" s="27"/>
      <c r="FNO13" s="27"/>
      <c r="FNP13" s="27"/>
      <c r="FNV13" s="27"/>
      <c r="FNW13" s="27"/>
      <c r="FNX13" s="27"/>
      <c r="FOD13" s="27"/>
      <c r="FOE13" s="27"/>
      <c r="FOF13" s="27"/>
      <c r="FOL13" s="27"/>
      <c r="FOM13" s="27"/>
      <c r="FON13" s="27"/>
      <c r="FOT13" s="27"/>
      <c r="FOU13" s="27"/>
      <c r="FOV13" s="27"/>
      <c r="FPB13" s="27"/>
      <c r="FPC13" s="27"/>
      <c r="FPD13" s="27"/>
      <c r="FPJ13" s="27"/>
      <c r="FPK13" s="27"/>
      <c r="FPL13" s="27"/>
      <c r="FPR13" s="27"/>
      <c r="FPS13" s="27"/>
      <c r="FPT13" s="27"/>
      <c r="FPZ13" s="27"/>
      <c r="FQA13" s="27"/>
      <c r="FQB13" s="27"/>
      <c r="FQH13" s="27"/>
      <c r="FQI13" s="27"/>
      <c r="FQJ13" s="27"/>
      <c r="FQP13" s="27"/>
      <c r="FQQ13" s="27"/>
      <c r="FQR13" s="27"/>
      <c r="FQX13" s="27"/>
      <c r="FQY13" s="27"/>
      <c r="FQZ13" s="27"/>
      <c r="FRF13" s="27"/>
      <c r="FRG13" s="27"/>
      <c r="FRH13" s="27"/>
      <c r="FRN13" s="27"/>
      <c r="FRO13" s="27"/>
      <c r="FRP13" s="27"/>
      <c r="FRV13" s="27"/>
      <c r="FRW13" s="27"/>
      <c r="FRX13" s="27"/>
      <c r="FSD13" s="27"/>
      <c r="FSE13" s="27"/>
      <c r="FSF13" s="27"/>
      <c r="FSL13" s="27"/>
      <c r="FSM13" s="27"/>
      <c r="FSN13" s="27"/>
      <c r="FST13" s="27"/>
      <c r="FSU13" s="27"/>
      <c r="FSV13" s="27"/>
      <c r="FTB13" s="27"/>
      <c r="FTC13" s="27"/>
      <c r="FTD13" s="27"/>
      <c r="FTJ13" s="27"/>
      <c r="FTK13" s="27"/>
      <c r="FTL13" s="27"/>
      <c r="FTR13" s="27"/>
      <c r="FTS13" s="27"/>
      <c r="FTT13" s="27"/>
      <c r="FTZ13" s="27"/>
      <c r="FUA13" s="27"/>
      <c r="FUB13" s="27"/>
      <c r="FUH13" s="27"/>
      <c r="FUI13" s="27"/>
      <c r="FUJ13" s="27"/>
      <c r="FUP13" s="27"/>
      <c r="FUQ13" s="27"/>
      <c r="FUR13" s="27"/>
      <c r="FUX13" s="27"/>
      <c r="FUY13" s="27"/>
      <c r="FUZ13" s="27"/>
      <c r="FVF13" s="27"/>
      <c r="FVG13" s="27"/>
      <c r="FVH13" s="27"/>
      <c r="FVN13" s="27"/>
      <c r="FVO13" s="27"/>
      <c r="FVP13" s="27"/>
      <c r="FVV13" s="27"/>
      <c r="FVW13" s="27"/>
      <c r="FVX13" s="27"/>
      <c r="FWD13" s="27"/>
      <c r="FWE13" s="27"/>
      <c r="FWF13" s="27"/>
      <c r="FWL13" s="27"/>
      <c r="FWM13" s="27"/>
      <c r="FWN13" s="27"/>
      <c r="FWT13" s="27"/>
      <c r="FWU13" s="27"/>
      <c r="FWV13" s="27"/>
      <c r="FXB13" s="27"/>
      <c r="FXC13" s="27"/>
      <c r="FXD13" s="27"/>
      <c r="FXJ13" s="27"/>
      <c r="FXK13" s="27"/>
      <c r="FXL13" s="27"/>
      <c r="FXR13" s="27"/>
      <c r="FXS13" s="27"/>
      <c r="FXT13" s="27"/>
      <c r="FXZ13" s="27"/>
      <c r="FYA13" s="27"/>
      <c r="FYB13" s="27"/>
      <c r="FYH13" s="27"/>
      <c r="FYI13" s="27"/>
      <c r="FYJ13" s="27"/>
      <c r="FYP13" s="27"/>
      <c r="FYQ13" s="27"/>
      <c r="FYR13" s="27"/>
      <c r="FYX13" s="27"/>
      <c r="FYY13" s="27"/>
      <c r="FYZ13" s="27"/>
      <c r="FZF13" s="27"/>
      <c r="FZG13" s="27"/>
      <c r="FZH13" s="27"/>
      <c r="FZN13" s="27"/>
      <c r="FZO13" s="27"/>
      <c r="FZP13" s="27"/>
      <c r="FZV13" s="27"/>
      <c r="FZW13" s="27"/>
      <c r="FZX13" s="27"/>
      <c r="GAD13" s="27"/>
      <c r="GAE13" s="27"/>
      <c r="GAF13" s="27"/>
      <c r="GAL13" s="27"/>
      <c r="GAM13" s="27"/>
      <c r="GAN13" s="27"/>
      <c r="GAT13" s="27"/>
      <c r="GAU13" s="27"/>
      <c r="GAV13" s="27"/>
      <c r="GBB13" s="27"/>
      <c r="GBC13" s="27"/>
      <c r="GBD13" s="27"/>
      <c r="GBJ13" s="27"/>
      <c r="GBK13" s="27"/>
      <c r="GBL13" s="27"/>
      <c r="GBR13" s="27"/>
      <c r="GBS13" s="27"/>
      <c r="GBT13" s="27"/>
      <c r="GBZ13" s="27"/>
      <c r="GCA13" s="27"/>
      <c r="GCB13" s="27"/>
      <c r="GCH13" s="27"/>
      <c r="GCI13" s="27"/>
      <c r="GCJ13" s="27"/>
      <c r="GCP13" s="27"/>
      <c r="GCQ13" s="27"/>
      <c r="GCR13" s="27"/>
      <c r="GCX13" s="27"/>
      <c r="GCY13" s="27"/>
      <c r="GCZ13" s="27"/>
      <c r="GDF13" s="27"/>
      <c r="GDG13" s="27"/>
      <c r="GDH13" s="27"/>
      <c r="GDN13" s="27"/>
      <c r="GDO13" s="27"/>
      <c r="GDP13" s="27"/>
      <c r="GDV13" s="27"/>
      <c r="GDW13" s="27"/>
      <c r="GDX13" s="27"/>
      <c r="GED13" s="27"/>
      <c r="GEE13" s="27"/>
      <c r="GEF13" s="27"/>
      <c r="GEL13" s="27"/>
      <c r="GEM13" s="27"/>
      <c r="GEN13" s="27"/>
      <c r="GET13" s="27"/>
      <c r="GEU13" s="27"/>
      <c r="GEV13" s="27"/>
      <c r="GFB13" s="27"/>
      <c r="GFC13" s="27"/>
      <c r="GFD13" s="27"/>
      <c r="GFJ13" s="27"/>
      <c r="GFK13" s="27"/>
      <c r="GFL13" s="27"/>
      <c r="GFR13" s="27"/>
      <c r="GFS13" s="27"/>
      <c r="GFT13" s="27"/>
      <c r="GFZ13" s="27"/>
      <c r="GGA13" s="27"/>
      <c r="GGB13" s="27"/>
      <c r="GGH13" s="27"/>
      <c r="GGI13" s="27"/>
      <c r="GGJ13" s="27"/>
      <c r="GGP13" s="27"/>
      <c r="GGQ13" s="27"/>
      <c r="GGR13" s="27"/>
      <c r="GGX13" s="27"/>
      <c r="GGY13" s="27"/>
      <c r="GGZ13" s="27"/>
      <c r="GHF13" s="27"/>
      <c r="GHG13" s="27"/>
      <c r="GHH13" s="27"/>
      <c r="GHN13" s="27"/>
      <c r="GHO13" s="27"/>
      <c r="GHP13" s="27"/>
      <c r="GHV13" s="27"/>
      <c r="GHW13" s="27"/>
      <c r="GHX13" s="27"/>
      <c r="GID13" s="27"/>
      <c r="GIE13" s="27"/>
      <c r="GIF13" s="27"/>
      <c r="GIL13" s="27"/>
      <c r="GIM13" s="27"/>
      <c r="GIN13" s="27"/>
      <c r="GIT13" s="27"/>
      <c r="GIU13" s="27"/>
      <c r="GIV13" s="27"/>
      <c r="GJB13" s="27"/>
      <c r="GJC13" s="27"/>
      <c r="GJD13" s="27"/>
      <c r="GJJ13" s="27"/>
      <c r="GJK13" s="27"/>
      <c r="GJL13" s="27"/>
      <c r="GJR13" s="27"/>
      <c r="GJS13" s="27"/>
      <c r="GJT13" s="27"/>
      <c r="GJZ13" s="27"/>
      <c r="GKA13" s="27"/>
      <c r="GKB13" s="27"/>
      <c r="GKH13" s="27"/>
      <c r="GKI13" s="27"/>
      <c r="GKJ13" s="27"/>
      <c r="GKP13" s="27"/>
      <c r="GKQ13" s="27"/>
      <c r="GKR13" s="27"/>
      <c r="GKX13" s="27"/>
      <c r="GKY13" s="27"/>
      <c r="GKZ13" s="27"/>
      <c r="GLF13" s="27"/>
      <c r="GLG13" s="27"/>
      <c r="GLH13" s="27"/>
      <c r="GLN13" s="27"/>
      <c r="GLO13" s="27"/>
      <c r="GLP13" s="27"/>
      <c r="GLV13" s="27"/>
      <c r="GLW13" s="27"/>
      <c r="GLX13" s="27"/>
      <c r="GMD13" s="27"/>
      <c r="GME13" s="27"/>
      <c r="GMF13" s="27"/>
      <c r="GML13" s="27"/>
      <c r="GMM13" s="27"/>
      <c r="GMN13" s="27"/>
      <c r="GMT13" s="27"/>
      <c r="GMU13" s="27"/>
      <c r="GMV13" s="27"/>
      <c r="GNB13" s="27"/>
      <c r="GNC13" s="27"/>
      <c r="GND13" s="27"/>
      <c r="GNJ13" s="27"/>
      <c r="GNK13" s="27"/>
      <c r="GNL13" s="27"/>
      <c r="GNR13" s="27"/>
      <c r="GNS13" s="27"/>
      <c r="GNT13" s="27"/>
      <c r="GNZ13" s="27"/>
      <c r="GOA13" s="27"/>
      <c r="GOB13" s="27"/>
      <c r="GOH13" s="27"/>
      <c r="GOI13" s="27"/>
      <c r="GOJ13" s="27"/>
      <c r="GOP13" s="27"/>
      <c r="GOQ13" s="27"/>
      <c r="GOR13" s="27"/>
      <c r="GOX13" s="27"/>
      <c r="GOY13" s="27"/>
      <c r="GOZ13" s="27"/>
      <c r="GPF13" s="27"/>
      <c r="GPG13" s="27"/>
      <c r="GPH13" s="27"/>
      <c r="GPN13" s="27"/>
      <c r="GPO13" s="27"/>
      <c r="GPP13" s="27"/>
      <c r="GPV13" s="27"/>
      <c r="GPW13" s="27"/>
      <c r="GPX13" s="27"/>
      <c r="GQD13" s="27"/>
      <c r="GQE13" s="27"/>
      <c r="GQF13" s="27"/>
      <c r="GQL13" s="27"/>
      <c r="GQM13" s="27"/>
      <c r="GQN13" s="27"/>
      <c r="GQT13" s="27"/>
      <c r="GQU13" s="27"/>
      <c r="GQV13" s="27"/>
      <c r="GRB13" s="27"/>
      <c r="GRC13" s="27"/>
      <c r="GRD13" s="27"/>
      <c r="GRJ13" s="27"/>
      <c r="GRK13" s="27"/>
      <c r="GRL13" s="27"/>
      <c r="GRR13" s="27"/>
      <c r="GRS13" s="27"/>
      <c r="GRT13" s="27"/>
      <c r="GRZ13" s="27"/>
      <c r="GSA13" s="27"/>
      <c r="GSB13" s="27"/>
      <c r="GSH13" s="27"/>
      <c r="GSI13" s="27"/>
      <c r="GSJ13" s="27"/>
      <c r="GSP13" s="27"/>
      <c r="GSQ13" s="27"/>
      <c r="GSR13" s="27"/>
      <c r="GSX13" s="27"/>
      <c r="GSY13" s="27"/>
      <c r="GSZ13" s="27"/>
      <c r="GTF13" s="27"/>
      <c r="GTG13" s="27"/>
      <c r="GTH13" s="27"/>
      <c r="GTN13" s="27"/>
      <c r="GTO13" s="27"/>
      <c r="GTP13" s="27"/>
      <c r="GTV13" s="27"/>
      <c r="GTW13" s="27"/>
      <c r="GTX13" s="27"/>
      <c r="GUD13" s="27"/>
      <c r="GUE13" s="27"/>
      <c r="GUF13" s="27"/>
      <c r="GUL13" s="27"/>
      <c r="GUM13" s="27"/>
      <c r="GUN13" s="27"/>
      <c r="GUT13" s="27"/>
      <c r="GUU13" s="27"/>
      <c r="GUV13" s="27"/>
      <c r="GVB13" s="27"/>
      <c r="GVC13" s="27"/>
      <c r="GVD13" s="27"/>
      <c r="GVJ13" s="27"/>
      <c r="GVK13" s="27"/>
      <c r="GVL13" s="27"/>
      <c r="GVR13" s="27"/>
      <c r="GVS13" s="27"/>
      <c r="GVT13" s="27"/>
      <c r="GVZ13" s="27"/>
      <c r="GWA13" s="27"/>
      <c r="GWB13" s="27"/>
      <c r="GWH13" s="27"/>
      <c r="GWI13" s="27"/>
      <c r="GWJ13" s="27"/>
      <c r="GWP13" s="27"/>
      <c r="GWQ13" s="27"/>
      <c r="GWR13" s="27"/>
      <c r="GWX13" s="27"/>
      <c r="GWY13" s="27"/>
      <c r="GWZ13" s="27"/>
      <c r="GXF13" s="27"/>
      <c r="GXG13" s="27"/>
      <c r="GXH13" s="27"/>
      <c r="GXN13" s="27"/>
      <c r="GXO13" s="27"/>
      <c r="GXP13" s="27"/>
      <c r="GXV13" s="27"/>
      <c r="GXW13" s="27"/>
      <c r="GXX13" s="27"/>
      <c r="GYD13" s="27"/>
      <c r="GYE13" s="27"/>
      <c r="GYF13" s="27"/>
      <c r="GYL13" s="27"/>
      <c r="GYM13" s="27"/>
      <c r="GYN13" s="27"/>
      <c r="GYT13" s="27"/>
      <c r="GYU13" s="27"/>
      <c r="GYV13" s="27"/>
      <c r="GZB13" s="27"/>
      <c r="GZC13" s="27"/>
      <c r="GZD13" s="27"/>
      <c r="GZJ13" s="27"/>
      <c r="GZK13" s="27"/>
      <c r="GZL13" s="27"/>
      <c r="GZR13" s="27"/>
      <c r="GZS13" s="27"/>
      <c r="GZT13" s="27"/>
      <c r="GZZ13" s="27"/>
      <c r="HAA13" s="27"/>
      <c r="HAB13" s="27"/>
      <c r="HAH13" s="27"/>
      <c r="HAI13" s="27"/>
      <c r="HAJ13" s="27"/>
      <c r="HAP13" s="27"/>
      <c r="HAQ13" s="27"/>
      <c r="HAR13" s="27"/>
      <c r="HAX13" s="27"/>
      <c r="HAY13" s="27"/>
      <c r="HAZ13" s="27"/>
      <c r="HBF13" s="27"/>
      <c r="HBG13" s="27"/>
      <c r="HBH13" s="27"/>
      <c r="HBN13" s="27"/>
      <c r="HBO13" s="27"/>
      <c r="HBP13" s="27"/>
      <c r="HBV13" s="27"/>
      <c r="HBW13" s="27"/>
      <c r="HBX13" s="27"/>
      <c r="HCD13" s="27"/>
      <c r="HCE13" s="27"/>
      <c r="HCF13" s="27"/>
      <c r="HCL13" s="27"/>
      <c r="HCM13" s="27"/>
      <c r="HCN13" s="27"/>
      <c r="HCT13" s="27"/>
      <c r="HCU13" s="27"/>
      <c r="HCV13" s="27"/>
      <c r="HDB13" s="27"/>
      <c r="HDC13" s="27"/>
      <c r="HDD13" s="27"/>
      <c r="HDJ13" s="27"/>
      <c r="HDK13" s="27"/>
      <c r="HDL13" s="27"/>
      <c r="HDR13" s="27"/>
      <c r="HDS13" s="27"/>
      <c r="HDT13" s="27"/>
      <c r="HDZ13" s="27"/>
      <c r="HEA13" s="27"/>
      <c r="HEB13" s="27"/>
      <c r="HEH13" s="27"/>
      <c r="HEI13" s="27"/>
      <c r="HEJ13" s="27"/>
      <c r="HEP13" s="27"/>
      <c r="HEQ13" s="27"/>
      <c r="HER13" s="27"/>
      <c r="HEX13" s="27"/>
      <c r="HEY13" s="27"/>
      <c r="HEZ13" s="27"/>
      <c r="HFF13" s="27"/>
      <c r="HFG13" s="27"/>
      <c r="HFH13" s="27"/>
      <c r="HFN13" s="27"/>
      <c r="HFO13" s="27"/>
      <c r="HFP13" s="27"/>
      <c r="HFV13" s="27"/>
      <c r="HFW13" s="27"/>
      <c r="HFX13" s="27"/>
      <c r="HGD13" s="27"/>
      <c r="HGE13" s="27"/>
      <c r="HGF13" s="27"/>
      <c r="HGL13" s="27"/>
      <c r="HGM13" s="27"/>
      <c r="HGN13" s="27"/>
      <c r="HGT13" s="27"/>
      <c r="HGU13" s="27"/>
      <c r="HGV13" s="27"/>
      <c r="HHB13" s="27"/>
      <c r="HHC13" s="27"/>
      <c r="HHD13" s="27"/>
      <c r="HHJ13" s="27"/>
      <c r="HHK13" s="27"/>
      <c r="HHL13" s="27"/>
      <c r="HHR13" s="27"/>
      <c r="HHS13" s="27"/>
      <c r="HHT13" s="27"/>
      <c r="HHZ13" s="27"/>
      <c r="HIA13" s="27"/>
      <c r="HIB13" s="27"/>
      <c r="HIH13" s="27"/>
      <c r="HII13" s="27"/>
      <c r="HIJ13" s="27"/>
      <c r="HIP13" s="27"/>
      <c r="HIQ13" s="27"/>
      <c r="HIR13" s="27"/>
      <c r="HIX13" s="27"/>
      <c r="HIY13" s="27"/>
      <c r="HIZ13" s="27"/>
      <c r="HJF13" s="27"/>
      <c r="HJG13" s="27"/>
      <c r="HJH13" s="27"/>
      <c r="HJN13" s="27"/>
      <c r="HJO13" s="27"/>
      <c r="HJP13" s="27"/>
      <c r="HJV13" s="27"/>
      <c r="HJW13" s="27"/>
      <c r="HJX13" s="27"/>
      <c r="HKD13" s="27"/>
      <c r="HKE13" s="27"/>
      <c r="HKF13" s="27"/>
      <c r="HKL13" s="27"/>
      <c r="HKM13" s="27"/>
      <c r="HKN13" s="27"/>
      <c r="HKT13" s="27"/>
      <c r="HKU13" s="27"/>
      <c r="HKV13" s="27"/>
      <c r="HLB13" s="27"/>
      <c r="HLC13" s="27"/>
      <c r="HLD13" s="27"/>
      <c r="HLJ13" s="27"/>
      <c r="HLK13" s="27"/>
      <c r="HLL13" s="27"/>
      <c r="HLR13" s="27"/>
      <c r="HLS13" s="27"/>
      <c r="HLT13" s="27"/>
      <c r="HLZ13" s="27"/>
      <c r="HMA13" s="27"/>
      <c r="HMB13" s="27"/>
      <c r="HMH13" s="27"/>
      <c r="HMI13" s="27"/>
      <c r="HMJ13" s="27"/>
      <c r="HMP13" s="27"/>
      <c r="HMQ13" s="27"/>
      <c r="HMR13" s="27"/>
      <c r="HMX13" s="27"/>
      <c r="HMY13" s="27"/>
      <c r="HMZ13" s="27"/>
      <c r="HNF13" s="27"/>
      <c r="HNG13" s="27"/>
      <c r="HNH13" s="27"/>
      <c r="HNN13" s="27"/>
      <c r="HNO13" s="27"/>
      <c r="HNP13" s="27"/>
      <c r="HNV13" s="27"/>
      <c r="HNW13" s="27"/>
      <c r="HNX13" s="27"/>
      <c r="HOD13" s="27"/>
      <c r="HOE13" s="27"/>
      <c r="HOF13" s="27"/>
      <c r="HOL13" s="27"/>
      <c r="HOM13" s="27"/>
      <c r="HON13" s="27"/>
      <c r="HOT13" s="27"/>
      <c r="HOU13" s="27"/>
      <c r="HOV13" s="27"/>
      <c r="HPB13" s="27"/>
      <c r="HPC13" s="27"/>
      <c r="HPD13" s="27"/>
      <c r="HPJ13" s="27"/>
      <c r="HPK13" s="27"/>
      <c r="HPL13" s="27"/>
      <c r="HPR13" s="27"/>
      <c r="HPS13" s="27"/>
      <c r="HPT13" s="27"/>
      <c r="HPZ13" s="27"/>
      <c r="HQA13" s="27"/>
      <c r="HQB13" s="27"/>
      <c r="HQH13" s="27"/>
      <c r="HQI13" s="27"/>
      <c r="HQJ13" s="27"/>
      <c r="HQP13" s="27"/>
      <c r="HQQ13" s="27"/>
      <c r="HQR13" s="27"/>
      <c r="HQX13" s="27"/>
      <c r="HQY13" s="27"/>
      <c r="HQZ13" s="27"/>
      <c r="HRF13" s="27"/>
      <c r="HRG13" s="27"/>
      <c r="HRH13" s="27"/>
      <c r="HRN13" s="27"/>
      <c r="HRO13" s="27"/>
      <c r="HRP13" s="27"/>
      <c r="HRV13" s="27"/>
      <c r="HRW13" s="27"/>
      <c r="HRX13" s="27"/>
      <c r="HSD13" s="27"/>
      <c r="HSE13" s="27"/>
      <c r="HSF13" s="27"/>
      <c r="HSL13" s="27"/>
      <c r="HSM13" s="27"/>
      <c r="HSN13" s="27"/>
      <c r="HST13" s="27"/>
      <c r="HSU13" s="27"/>
      <c r="HSV13" s="27"/>
      <c r="HTB13" s="27"/>
      <c r="HTC13" s="27"/>
      <c r="HTD13" s="27"/>
      <c r="HTJ13" s="27"/>
      <c r="HTK13" s="27"/>
      <c r="HTL13" s="27"/>
      <c r="HTR13" s="27"/>
      <c r="HTS13" s="27"/>
      <c r="HTT13" s="27"/>
      <c r="HTZ13" s="27"/>
      <c r="HUA13" s="27"/>
      <c r="HUB13" s="27"/>
      <c r="HUH13" s="27"/>
      <c r="HUI13" s="27"/>
      <c r="HUJ13" s="27"/>
      <c r="HUP13" s="27"/>
      <c r="HUQ13" s="27"/>
      <c r="HUR13" s="27"/>
      <c r="HUX13" s="27"/>
      <c r="HUY13" s="27"/>
      <c r="HUZ13" s="27"/>
      <c r="HVF13" s="27"/>
      <c r="HVG13" s="27"/>
      <c r="HVH13" s="27"/>
      <c r="HVN13" s="27"/>
      <c r="HVO13" s="27"/>
      <c r="HVP13" s="27"/>
      <c r="HVV13" s="27"/>
      <c r="HVW13" s="27"/>
      <c r="HVX13" s="27"/>
      <c r="HWD13" s="27"/>
      <c r="HWE13" s="27"/>
      <c r="HWF13" s="27"/>
      <c r="HWL13" s="27"/>
      <c r="HWM13" s="27"/>
      <c r="HWN13" s="27"/>
      <c r="HWT13" s="27"/>
      <c r="HWU13" s="27"/>
      <c r="HWV13" s="27"/>
      <c r="HXB13" s="27"/>
      <c r="HXC13" s="27"/>
      <c r="HXD13" s="27"/>
      <c r="HXJ13" s="27"/>
      <c r="HXK13" s="27"/>
      <c r="HXL13" s="27"/>
      <c r="HXR13" s="27"/>
      <c r="HXS13" s="27"/>
      <c r="HXT13" s="27"/>
      <c r="HXZ13" s="27"/>
      <c r="HYA13" s="27"/>
      <c r="HYB13" s="27"/>
      <c r="HYH13" s="27"/>
      <c r="HYI13" s="27"/>
      <c r="HYJ13" s="27"/>
      <c r="HYP13" s="27"/>
      <c r="HYQ13" s="27"/>
      <c r="HYR13" s="27"/>
      <c r="HYX13" s="27"/>
      <c r="HYY13" s="27"/>
      <c r="HYZ13" s="27"/>
      <c r="HZF13" s="27"/>
      <c r="HZG13" s="27"/>
      <c r="HZH13" s="27"/>
      <c r="HZN13" s="27"/>
      <c r="HZO13" s="27"/>
      <c r="HZP13" s="27"/>
      <c r="HZV13" s="27"/>
      <c r="HZW13" s="27"/>
      <c r="HZX13" s="27"/>
      <c r="IAD13" s="27"/>
      <c r="IAE13" s="27"/>
      <c r="IAF13" s="27"/>
      <c r="IAL13" s="27"/>
      <c r="IAM13" s="27"/>
      <c r="IAN13" s="27"/>
      <c r="IAT13" s="27"/>
      <c r="IAU13" s="27"/>
      <c r="IAV13" s="27"/>
      <c r="IBB13" s="27"/>
      <c r="IBC13" s="27"/>
      <c r="IBD13" s="27"/>
      <c r="IBJ13" s="27"/>
      <c r="IBK13" s="27"/>
      <c r="IBL13" s="27"/>
      <c r="IBR13" s="27"/>
      <c r="IBS13" s="27"/>
      <c r="IBT13" s="27"/>
      <c r="IBZ13" s="27"/>
      <c r="ICA13" s="27"/>
      <c r="ICB13" s="27"/>
      <c r="ICH13" s="27"/>
      <c r="ICI13" s="27"/>
      <c r="ICJ13" s="27"/>
      <c r="ICP13" s="27"/>
      <c r="ICQ13" s="27"/>
      <c r="ICR13" s="27"/>
      <c r="ICX13" s="27"/>
      <c r="ICY13" s="27"/>
      <c r="ICZ13" s="27"/>
      <c r="IDF13" s="27"/>
      <c r="IDG13" s="27"/>
      <c r="IDH13" s="27"/>
      <c r="IDN13" s="27"/>
      <c r="IDO13" s="27"/>
      <c r="IDP13" s="27"/>
      <c r="IDV13" s="27"/>
      <c r="IDW13" s="27"/>
      <c r="IDX13" s="27"/>
      <c r="IED13" s="27"/>
      <c r="IEE13" s="27"/>
      <c r="IEF13" s="27"/>
      <c r="IEL13" s="27"/>
      <c r="IEM13" s="27"/>
      <c r="IEN13" s="27"/>
      <c r="IET13" s="27"/>
      <c r="IEU13" s="27"/>
      <c r="IEV13" s="27"/>
      <c r="IFB13" s="27"/>
      <c r="IFC13" s="27"/>
      <c r="IFD13" s="27"/>
      <c r="IFJ13" s="27"/>
      <c r="IFK13" s="27"/>
      <c r="IFL13" s="27"/>
      <c r="IFR13" s="27"/>
      <c r="IFS13" s="27"/>
      <c r="IFT13" s="27"/>
      <c r="IFZ13" s="27"/>
      <c r="IGA13" s="27"/>
      <c r="IGB13" s="27"/>
      <c r="IGH13" s="27"/>
      <c r="IGI13" s="27"/>
      <c r="IGJ13" s="27"/>
      <c r="IGP13" s="27"/>
      <c r="IGQ13" s="27"/>
      <c r="IGR13" s="27"/>
      <c r="IGX13" s="27"/>
      <c r="IGY13" s="27"/>
      <c r="IGZ13" s="27"/>
      <c r="IHF13" s="27"/>
      <c r="IHG13" s="27"/>
      <c r="IHH13" s="27"/>
      <c r="IHN13" s="27"/>
      <c r="IHO13" s="27"/>
      <c r="IHP13" s="27"/>
      <c r="IHV13" s="27"/>
      <c r="IHW13" s="27"/>
      <c r="IHX13" s="27"/>
      <c r="IID13" s="27"/>
      <c r="IIE13" s="27"/>
      <c r="IIF13" s="27"/>
      <c r="IIL13" s="27"/>
      <c r="IIM13" s="27"/>
      <c r="IIN13" s="27"/>
      <c r="IIT13" s="27"/>
      <c r="IIU13" s="27"/>
      <c r="IIV13" s="27"/>
      <c r="IJB13" s="27"/>
      <c r="IJC13" s="27"/>
      <c r="IJD13" s="27"/>
      <c r="IJJ13" s="27"/>
      <c r="IJK13" s="27"/>
      <c r="IJL13" s="27"/>
      <c r="IJR13" s="27"/>
      <c r="IJS13" s="27"/>
      <c r="IJT13" s="27"/>
      <c r="IJZ13" s="27"/>
      <c r="IKA13" s="27"/>
      <c r="IKB13" s="27"/>
      <c r="IKH13" s="27"/>
      <c r="IKI13" s="27"/>
      <c r="IKJ13" s="27"/>
      <c r="IKP13" s="27"/>
      <c r="IKQ13" s="27"/>
      <c r="IKR13" s="27"/>
      <c r="IKX13" s="27"/>
      <c r="IKY13" s="27"/>
      <c r="IKZ13" s="27"/>
      <c r="ILF13" s="27"/>
      <c r="ILG13" s="27"/>
      <c r="ILH13" s="27"/>
      <c r="ILN13" s="27"/>
      <c r="ILO13" s="27"/>
      <c r="ILP13" s="27"/>
      <c r="ILV13" s="27"/>
      <c r="ILW13" s="27"/>
      <c r="ILX13" s="27"/>
      <c r="IMD13" s="27"/>
      <c r="IME13" s="27"/>
      <c r="IMF13" s="27"/>
      <c r="IML13" s="27"/>
      <c r="IMM13" s="27"/>
      <c r="IMN13" s="27"/>
      <c r="IMT13" s="27"/>
      <c r="IMU13" s="27"/>
      <c r="IMV13" s="27"/>
      <c r="INB13" s="27"/>
      <c r="INC13" s="27"/>
      <c r="IND13" s="27"/>
      <c r="INJ13" s="27"/>
      <c r="INK13" s="27"/>
      <c r="INL13" s="27"/>
      <c r="INR13" s="27"/>
      <c r="INS13" s="27"/>
      <c r="INT13" s="27"/>
      <c r="INZ13" s="27"/>
      <c r="IOA13" s="27"/>
      <c r="IOB13" s="27"/>
      <c r="IOH13" s="27"/>
      <c r="IOI13" s="27"/>
      <c r="IOJ13" s="27"/>
      <c r="IOP13" s="27"/>
      <c r="IOQ13" s="27"/>
      <c r="IOR13" s="27"/>
      <c r="IOX13" s="27"/>
      <c r="IOY13" s="27"/>
      <c r="IOZ13" s="27"/>
      <c r="IPF13" s="27"/>
      <c r="IPG13" s="27"/>
      <c r="IPH13" s="27"/>
      <c r="IPN13" s="27"/>
      <c r="IPO13" s="27"/>
      <c r="IPP13" s="27"/>
      <c r="IPV13" s="27"/>
      <c r="IPW13" s="27"/>
      <c r="IPX13" s="27"/>
      <c r="IQD13" s="27"/>
      <c r="IQE13" s="27"/>
      <c r="IQF13" s="27"/>
      <c r="IQL13" s="27"/>
      <c r="IQM13" s="27"/>
      <c r="IQN13" s="27"/>
      <c r="IQT13" s="27"/>
      <c r="IQU13" s="27"/>
      <c r="IQV13" s="27"/>
      <c r="IRB13" s="27"/>
      <c r="IRC13" s="27"/>
      <c r="IRD13" s="27"/>
      <c r="IRJ13" s="27"/>
      <c r="IRK13" s="27"/>
      <c r="IRL13" s="27"/>
      <c r="IRR13" s="27"/>
      <c r="IRS13" s="27"/>
      <c r="IRT13" s="27"/>
      <c r="IRZ13" s="27"/>
      <c r="ISA13" s="27"/>
      <c r="ISB13" s="27"/>
      <c r="ISH13" s="27"/>
      <c r="ISI13" s="27"/>
      <c r="ISJ13" s="27"/>
      <c r="ISP13" s="27"/>
      <c r="ISQ13" s="27"/>
      <c r="ISR13" s="27"/>
      <c r="ISX13" s="27"/>
      <c r="ISY13" s="27"/>
      <c r="ISZ13" s="27"/>
      <c r="ITF13" s="27"/>
      <c r="ITG13" s="27"/>
      <c r="ITH13" s="27"/>
      <c r="ITN13" s="27"/>
      <c r="ITO13" s="27"/>
      <c r="ITP13" s="27"/>
      <c r="ITV13" s="27"/>
      <c r="ITW13" s="27"/>
      <c r="ITX13" s="27"/>
      <c r="IUD13" s="27"/>
      <c r="IUE13" s="27"/>
      <c r="IUF13" s="27"/>
      <c r="IUL13" s="27"/>
      <c r="IUM13" s="27"/>
      <c r="IUN13" s="27"/>
      <c r="IUT13" s="27"/>
      <c r="IUU13" s="27"/>
      <c r="IUV13" s="27"/>
      <c r="IVB13" s="27"/>
      <c r="IVC13" s="27"/>
      <c r="IVD13" s="27"/>
      <c r="IVJ13" s="27"/>
      <c r="IVK13" s="27"/>
      <c r="IVL13" s="27"/>
      <c r="IVR13" s="27"/>
      <c r="IVS13" s="27"/>
      <c r="IVT13" s="27"/>
      <c r="IVZ13" s="27"/>
      <c r="IWA13" s="27"/>
      <c r="IWB13" s="27"/>
      <c r="IWH13" s="27"/>
      <c r="IWI13" s="27"/>
      <c r="IWJ13" s="27"/>
      <c r="IWP13" s="27"/>
      <c r="IWQ13" s="27"/>
      <c r="IWR13" s="27"/>
      <c r="IWX13" s="27"/>
      <c r="IWY13" s="27"/>
      <c r="IWZ13" s="27"/>
      <c r="IXF13" s="27"/>
      <c r="IXG13" s="27"/>
      <c r="IXH13" s="27"/>
      <c r="IXN13" s="27"/>
      <c r="IXO13" s="27"/>
      <c r="IXP13" s="27"/>
      <c r="IXV13" s="27"/>
      <c r="IXW13" s="27"/>
      <c r="IXX13" s="27"/>
      <c r="IYD13" s="27"/>
      <c r="IYE13" s="27"/>
      <c r="IYF13" s="27"/>
      <c r="IYL13" s="27"/>
      <c r="IYM13" s="27"/>
      <c r="IYN13" s="27"/>
      <c r="IYT13" s="27"/>
      <c r="IYU13" s="27"/>
      <c r="IYV13" s="27"/>
      <c r="IZB13" s="27"/>
      <c r="IZC13" s="27"/>
      <c r="IZD13" s="27"/>
      <c r="IZJ13" s="27"/>
      <c r="IZK13" s="27"/>
      <c r="IZL13" s="27"/>
      <c r="IZR13" s="27"/>
      <c r="IZS13" s="27"/>
      <c r="IZT13" s="27"/>
      <c r="IZZ13" s="27"/>
      <c r="JAA13" s="27"/>
      <c r="JAB13" s="27"/>
      <c r="JAH13" s="27"/>
      <c r="JAI13" s="27"/>
      <c r="JAJ13" s="27"/>
      <c r="JAP13" s="27"/>
      <c r="JAQ13" s="27"/>
      <c r="JAR13" s="27"/>
      <c r="JAX13" s="27"/>
      <c r="JAY13" s="27"/>
      <c r="JAZ13" s="27"/>
      <c r="JBF13" s="27"/>
      <c r="JBG13" s="27"/>
      <c r="JBH13" s="27"/>
      <c r="JBN13" s="27"/>
      <c r="JBO13" s="27"/>
      <c r="JBP13" s="27"/>
      <c r="JBV13" s="27"/>
      <c r="JBW13" s="27"/>
      <c r="JBX13" s="27"/>
      <c r="JCD13" s="27"/>
      <c r="JCE13" s="27"/>
      <c r="JCF13" s="27"/>
      <c r="JCL13" s="27"/>
      <c r="JCM13" s="27"/>
      <c r="JCN13" s="27"/>
      <c r="JCT13" s="27"/>
      <c r="JCU13" s="27"/>
      <c r="JCV13" s="27"/>
      <c r="JDB13" s="27"/>
      <c r="JDC13" s="27"/>
      <c r="JDD13" s="27"/>
      <c r="JDJ13" s="27"/>
      <c r="JDK13" s="27"/>
      <c r="JDL13" s="27"/>
      <c r="JDR13" s="27"/>
      <c r="JDS13" s="27"/>
      <c r="JDT13" s="27"/>
      <c r="JDZ13" s="27"/>
      <c r="JEA13" s="27"/>
      <c r="JEB13" s="27"/>
      <c r="JEH13" s="27"/>
      <c r="JEI13" s="27"/>
      <c r="JEJ13" s="27"/>
      <c r="JEP13" s="27"/>
      <c r="JEQ13" s="27"/>
      <c r="JER13" s="27"/>
      <c r="JEX13" s="27"/>
      <c r="JEY13" s="27"/>
      <c r="JEZ13" s="27"/>
      <c r="JFF13" s="27"/>
      <c r="JFG13" s="27"/>
      <c r="JFH13" s="27"/>
      <c r="JFN13" s="27"/>
      <c r="JFO13" s="27"/>
      <c r="JFP13" s="27"/>
      <c r="JFV13" s="27"/>
      <c r="JFW13" s="27"/>
      <c r="JFX13" s="27"/>
      <c r="JGD13" s="27"/>
      <c r="JGE13" s="27"/>
      <c r="JGF13" s="27"/>
      <c r="JGL13" s="27"/>
      <c r="JGM13" s="27"/>
      <c r="JGN13" s="27"/>
      <c r="JGT13" s="27"/>
      <c r="JGU13" s="27"/>
      <c r="JGV13" s="27"/>
      <c r="JHB13" s="27"/>
      <c r="JHC13" s="27"/>
      <c r="JHD13" s="27"/>
      <c r="JHJ13" s="27"/>
      <c r="JHK13" s="27"/>
      <c r="JHL13" s="27"/>
      <c r="JHR13" s="27"/>
      <c r="JHS13" s="27"/>
      <c r="JHT13" s="27"/>
      <c r="JHZ13" s="27"/>
      <c r="JIA13" s="27"/>
      <c r="JIB13" s="27"/>
      <c r="JIH13" s="27"/>
      <c r="JII13" s="27"/>
      <c r="JIJ13" s="27"/>
      <c r="JIP13" s="27"/>
      <c r="JIQ13" s="27"/>
      <c r="JIR13" s="27"/>
      <c r="JIX13" s="27"/>
      <c r="JIY13" s="27"/>
      <c r="JIZ13" s="27"/>
      <c r="JJF13" s="27"/>
      <c r="JJG13" s="27"/>
      <c r="JJH13" s="27"/>
      <c r="JJN13" s="27"/>
      <c r="JJO13" s="27"/>
      <c r="JJP13" s="27"/>
      <c r="JJV13" s="27"/>
      <c r="JJW13" s="27"/>
      <c r="JJX13" s="27"/>
      <c r="JKD13" s="27"/>
      <c r="JKE13" s="27"/>
      <c r="JKF13" s="27"/>
      <c r="JKL13" s="27"/>
      <c r="JKM13" s="27"/>
      <c r="JKN13" s="27"/>
      <c r="JKT13" s="27"/>
      <c r="JKU13" s="27"/>
      <c r="JKV13" s="27"/>
      <c r="JLB13" s="27"/>
      <c r="JLC13" s="27"/>
      <c r="JLD13" s="27"/>
      <c r="JLJ13" s="27"/>
      <c r="JLK13" s="27"/>
      <c r="JLL13" s="27"/>
      <c r="JLR13" s="27"/>
      <c r="JLS13" s="27"/>
      <c r="JLT13" s="27"/>
      <c r="JLZ13" s="27"/>
      <c r="JMA13" s="27"/>
      <c r="JMB13" s="27"/>
      <c r="JMH13" s="27"/>
      <c r="JMI13" s="27"/>
      <c r="JMJ13" s="27"/>
      <c r="JMP13" s="27"/>
      <c r="JMQ13" s="27"/>
      <c r="JMR13" s="27"/>
      <c r="JMX13" s="27"/>
      <c r="JMY13" s="27"/>
      <c r="JMZ13" s="27"/>
      <c r="JNF13" s="27"/>
      <c r="JNG13" s="27"/>
      <c r="JNH13" s="27"/>
      <c r="JNN13" s="27"/>
      <c r="JNO13" s="27"/>
      <c r="JNP13" s="27"/>
      <c r="JNV13" s="27"/>
      <c r="JNW13" s="27"/>
      <c r="JNX13" s="27"/>
      <c r="JOD13" s="27"/>
      <c r="JOE13" s="27"/>
      <c r="JOF13" s="27"/>
      <c r="JOL13" s="27"/>
      <c r="JOM13" s="27"/>
      <c r="JON13" s="27"/>
      <c r="JOT13" s="27"/>
      <c r="JOU13" s="27"/>
      <c r="JOV13" s="27"/>
      <c r="JPB13" s="27"/>
      <c r="JPC13" s="27"/>
      <c r="JPD13" s="27"/>
      <c r="JPJ13" s="27"/>
      <c r="JPK13" s="27"/>
      <c r="JPL13" s="27"/>
      <c r="JPR13" s="27"/>
      <c r="JPS13" s="27"/>
      <c r="JPT13" s="27"/>
      <c r="JPZ13" s="27"/>
      <c r="JQA13" s="27"/>
      <c r="JQB13" s="27"/>
      <c r="JQH13" s="27"/>
      <c r="JQI13" s="27"/>
      <c r="JQJ13" s="27"/>
      <c r="JQP13" s="27"/>
      <c r="JQQ13" s="27"/>
      <c r="JQR13" s="27"/>
      <c r="JQX13" s="27"/>
      <c r="JQY13" s="27"/>
      <c r="JQZ13" s="27"/>
      <c r="JRF13" s="27"/>
      <c r="JRG13" s="27"/>
      <c r="JRH13" s="27"/>
      <c r="JRN13" s="27"/>
      <c r="JRO13" s="27"/>
      <c r="JRP13" s="27"/>
      <c r="JRV13" s="27"/>
      <c r="JRW13" s="27"/>
      <c r="JRX13" s="27"/>
      <c r="JSD13" s="27"/>
      <c r="JSE13" s="27"/>
      <c r="JSF13" s="27"/>
      <c r="JSL13" s="27"/>
      <c r="JSM13" s="27"/>
      <c r="JSN13" s="27"/>
      <c r="JST13" s="27"/>
      <c r="JSU13" s="27"/>
      <c r="JSV13" s="27"/>
      <c r="JTB13" s="27"/>
      <c r="JTC13" s="27"/>
      <c r="JTD13" s="27"/>
      <c r="JTJ13" s="27"/>
      <c r="JTK13" s="27"/>
      <c r="JTL13" s="27"/>
      <c r="JTR13" s="27"/>
      <c r="JTS13" s="27"/>
      <c r="JTT13" s="27"/>
      <c r="JTZ13" s="27"/>
      <c r="JUA13" s="27"/>
      <c r="JUB13" s="27"/>
      <c r="JUH13" s="27"/>
      <c r="JUI13" s="27"/>
      <c r="JUJ13" s="27"/>
      <c r="JUP13" s="27"/>
      <c r="JUQ13" s="27"/>
      <c r="JUR13" s="27"/>
      <c r="JUX13" s="27"/>
      <c r="JUY13" s="27"/>
      <c r="JUZ13" s="27"/>
      <c r="JVF13" s="27"/>
      <c r="JVG13" s="27"/>
      <c r="JVH13" s="27"/>
      <c r="JVN13" s="27"/>
      <c r="JVO13" s="27"/>
      <c r="JVP13" s="27"/>
      <c r="JVV13" s="27"/>
      <c r="JVW13" s="27"/>
      <c r="JVX13" s="27"/>
      <c r="JWD13" s="27"/>
      <c r="JWE13" s="27"/>
      <c r="JWF13" s="27"/>
      <c r="JWL13" s="27"/>
      <c r="JWM13" s="27"/>
      <c r="JWN13" s="27"/>
      <c r="JWT13" s="27"/>
      <c r="JWU13" s="27"/>
      <c r="JWV13" s="27"/>
      <c r="JXB13" s="27"/>
      <c r="JXC13" s="27"/>
      <c r="JXD13" s="27"/>
      <c r="JXJ13" s="27"/>
      <c r="JXK13" s="27"/>
      <c r="JXL13" s="27"/>
      <c r="JXR13" s="27"/>
      <c r="JXS13" s="27"/>
      <c r="JXT13" s="27"/>
      <c r="JXZ13" s="27"/>
      <c r="JYA13" s="27"/>
      <c r="JYB13" s="27"/>
      <c r="JYH13" s="27"/>
      <c r="JYI13" s="27"/>
      <c r="JYJ13" s="27"/>
      <c r="JYP13" s="27"/>
      <c r="JYQ13" s="27"/>
      <c r="JYR13" s="27"/>
      <c r="JYX13" s="27"/>
      <c r="JYY13" s="27"/>
      <c r="JYZ13" s="27"/>
      <c r="JZF13" s="27"/>
      <c r="JZG13" s="27"/>
      <c r="JZH13" s="27"/>
      <c r="JZN13" s="27"/>
      <c r="JZO13" s="27"/>
      <c r="JZP13" s="27"/>
      <c r="JZV13" s="27"/>
      <c r="JZW13" s="27"/>
      <c r="JZX13" s="27"/>
      <c r="KAD13" s="27"/>
      <c r="KAE13" s="27"/>
      <c r="KAF13" s="27"/>
      <c r="KAL13" s="27"/>
      <c r="KAM13" s="27"/>
      <c r="KAN13" s="27"/>
      <c r="KAT13" s="27"/>
      <c r="KAU13" s="27"/>
      <c r="KAV13" s="27"/>
      <c r="KBB13" s="27"/>
      <c r="KBC13" s="27"/>
      <c r="KBD13" s="27"/>
      <c r="KBJ13" s="27"/>
      <c r="KBK13" s="27"/>
      <c r="KBL13" s="27"/>
      <c r="KBR13" s="27"/>
      <c r="KBS13" s="27"/>
      <c r="KBT13" s="27"/>
      <c r="KBZ13" s="27"/>
      <c r="KCA13" s="27"/>
      <c r="KCB13" s="27"/>
      <c r="KCH13" s="27"/>
      <c r="KCI13" s="27"/>
      <c r="KCJ13" s="27"/>
      <c r="KCP13" s="27"/>
      <c r="KCQ13" s="27"/>
      <c r="KCR13" s="27"/>
      <c r="KCX13" s="27"/>
      <c r="KCY13" s="27"/>
      <c r="KCZ13" s="27"/>
      <c r="KDF13" s="27"/>
      <c r="KDG13" s="27"/>
      <c r="KDH13" s="27"/>
      <c r="KDN13" s="27"/>
      <c r="KDO13" s="27"/>
      <c r="KDP13" s="27"/>
      <c r="KDV13" s="27"/>
      <c r="KDW13" s="27"/>
      <c r="KDX13" s="27"/>
      <c r="KED13" s="27"/>
      <c r="KEE13" s="27"/>
      <c r="KEF13" s="27"/>
      <c r="KEL13" s="27"/>
      <c r="KEM13" s="27"/>
      <c r="KEN13" s="27"/>
      <c r="KET13" s="27"/>
      <c r="KEU13" s="27"/>
      <c r="KEV13" s="27"/>
      <c r="KFB13" s="27"/>
      <c r="KFC13" s="27"/>
      <c r="KFD13" s="27"/>
      <c r="KFJ13" s="27"/>
      <c r="KFK13" s="27"/>
      <c r="KFL13" s="27"/>
      <c r="KFR13" s="27"/>
      <c r="KFS13" s="27"/>
      <c r="KFT13" s="27"/>
      <c r="KFZ13" s="27"/>
      <c r="KGA13" s="27"/>
      <c r="KGB13" s="27"/>
      <c r="KGH13" s="27"/>
      <c r="KGI13" s="27"/>
      <c r="KGJ13" s="27"/>
      <c r="KGP13" s="27"/>
      <c r="KGQ13" s="27"/>
      <c r="KGR13" s="27"/>
      <c r="KGX13" s="27"/>
      <c r="KGY13" s="27"/>
      <c r="KGZ13" s="27"/>
      <c r="KHF13" s="27"/>
      <c r="KHG13" s="27"/>
      <c r="KHH13" s="27"/>
      <c r="KHN13" s="27"/>
      <c r="KHO13" s="27"/>
      <c r="KHP13" s="27"/>
      <c r="KHV13" s="27"/>
      <c r="KHW13" s="27"/>
      <c r="KHX13" s="27"/>
      <c r="KID13" s="27"/>
      <c r="KIE13" s="27"/>
      <c r="KIF13" s="27"/>
      <c r="KIL13" s="27"/>
      <c r="KIM13" s="27"/>
      <c r="KIN13" s="27"/>
      <c r="KIT13" s="27"/>
      <c r="KIU13" s="27"/>
      <c r="KIV13" s="27"/>
      <c r="KJB13" s="27"/>
      <c r="KJC13" s="27"/>
      <c r="KJD13" s="27"/>
      <c r="KJJ13" s="27"/>
      <c r="KJK13" s="27"/>
      <c r="KJL13" s="27"/>
      <c r="KJR13" s="27"/>
      <c r="KJS13" s="27"/>
      <c r="KJT13" s="27"/>
      <c r="KJZ13" s="27"/>
      <c r="KKA13" s="27"/>
      <c r="KKB13" s="27"/>
      <c r="KKH13" s="27"/>
      <c r="KKI13" s="27"/>
      <c r="KKJ13" s="27"/>
      <c r="KKP13" s="27"/>
      <c r="KKQ13" s="27"/>
      <c r="KKR13" s="27"/>
      <c r="KKX13" s="27"/>
      <c r="KKY13" s="27"/>
      <c r="KKZ13" s="27"/>
      <c r="KLF13" s="27"/>
      <c r="KLG13" s="27"/>
      <c r="KLH13" s="27"/>
      <c r="KLN13" s="27"/>
      <c r="KLO13" s="27"/>
      <c r="KLP13" s="27"/>
      <c r="KLV13" s="27"/>
      <c r="KLW13" s="27"/>
      <c r="KLX13" s="27"/>
      <c r="KMD13" s="27"/>
      <c r="KME13" s="27"/>
      <c r="KMF13" s="27"/>
      <c r="KML13" s="27"/>
      <c r="KMM13" s="27"/>
      <c r="KMN13" s="27"/>
      <c r="KMT13" s="27"/>
      <c r="KMU13" s="27"/>
      <c r="KMV13" s="27"/>
      <c r="KNB13" s="27"/>
      <c r="KNC13" s="27"/>
      <c r="KND13" s="27"/>
      <c r="KNJ13" s="27"/>
      <c r="KNK13" s="27"/>
      <c r="KNL13" s="27"/>
      <c r="KNR13" s="27"/>
      <c r="KNS13" s="27"/>
      <c r="KNT13" s="27"/>
      <c r="KNZ13" s="27"/>
      <c r="KOA13" s="27"/>
      <c r="KOB13" s="27"/>
      <c r="KOH13" s="27"/>
      <c r="KOI13" s="27"/>
      <c r="KOJ13" s="27"/>
      <c r="KOP13" s="27"/>
      <c r="KOQ13" s="27"/>
      <c r="KOR13" s="27"/>
      <c r="KOX13" s="27"/>
      <c r="KOY13" s="27"/>
      <c r="KOZ13" s="27"/>
      <c r="KPF13" s="27"/>
      <c r="KPG13" s="27"/>
      <c r="KPH13" s="27"/>
      <c r="KPN13" s="27"/>
      <c r="KPO13" s="27"/>
      <c r="KPP13" s="27"/>
      <c r="KPV13" s="27"/>
      <c r="KPW13" s="27"/>
      <c r="KPX13" s="27"/>
      <c r="KQD13" s="27"/>
      <c r="KQE13" s="27"/>
      <c r="KQF13" s="27"/>
      <c r="KQL13" s="27"/>
      <c r="KQM13" s="27"/>
      <c r="KQN13" s="27"/>
      <c r="KQT13" s="27"/>
      <c r="KQU13" s="27"/>
      <c r="KQV13" s="27"/>
      <c r="KRB13" s="27"/>
      <c r="KRC13" s="27"/>
      <c r="KRD13" s="27"/>
      <c r="KRJ13" s="27"/>
      <c r="KRK13" s="27"/>
      <c r="KRL13" s="27"/>
      <c r="KRR13" s="27"/>
      <c r="KRS13" s="27"/>
      <c r="KRT13" s="27"/>
      <c r="KRZ13" s="27"/>
      <c r="KSA13" s="27"/>
      <c r="KSB13" s="27"/>
      <c r="KSH13" s="27"/>
      <c r="KSI13" s="27"/>
      <c r="KSJ13" s="27"/>
      <c r="KSP13" s="27"/>
      <c r="KSQ13" s="27"/>
      <c r="KSR13" s="27"/>
      <c r="KSX13" s="27"/>
      <c r="KSY13" s="27"/>
      <c r="KSZ13" s="27"/>
      <c r="KTF13" s="27"/>
      <c r="KTG13" s="27"/>
      <c r="KTH13" s="27"/>
      <c r="KTN13" s="27"/>
      <c r="KTO13" s="27"/>
      <c r="KTP13" s="27"/>
      <c r="KTV13" s="27"/>
      <c r="KTW13" s="27"/>
      <c r="KTX13" s="27"/>
      <c r="KUD13" s="27"/>
      <c r="KUE13" s="27"/>
      <c r="KUF13" s="27"/>
      <c r="KUL13" s="27"/>
      <c r="KUM13" s="27"/>
      <c r="KUN13" s="27"/>
      <c r="KUT13" s="27"/>
      <c r="KUU13" s="27"/>
      <c r="KUV13" s="27"/>
      <c r="KVB13" s="27"/>
      <c r="KVC13" s="27"/>
      <c r="KVD13" s="27"/>
      <c r="KVJ13" s="27"/>
      <c r="KVK13" s="27"/>
      <c r="KVL13" s="27"/>
      <c r="KVR13" s="27"/>
      <c r="KVS13" s="27"/>
      <c r="KVT13" s="27"/>
      <c r="KVZ13" s="27"/>
      <c r="KWA13" s="27"/>
      <c r="KWB13" s="27"/>
      <c r="KWH13" s="27"/>
      <c r="KWI13" s="27"/>
      <c r="KWJ13" s="27"/>
      <c r="KWP13" s="27"/>
      <c r="KWQ13" s="27"/>
      <c r="KWR13" s="27"/>
      <c r="KWX13" s="27"/>
      <c r="KWY13" s="27"/>
      <c r="KWZ13" s="27"/>
      <c r="KXF13" s="27"/>
      <c r="KXG13" s="27"/>
      <c r="KXH13" s="27"/>
      <c r="KXN13" s="27"/>
      <c r="KXO13" s="27"/>
      <c r="KXP13" s="27"/>
      <c r="KXV13" s="27"/>
      <c r="KXW13" s="27"/>
      <c r="KXX13" s="27"/>
      <c r="KYD13" s="27"/>
      <c r="KYE13" s="27"/>
      <c r="KYF13" s="27"/>
      <c r="KYL13" s="27"/>
      <c r="KYM13" s="27"/>
      <c r="KYN13" s="27"/>
      <c r="KYT13" s="27"/>
      <c r="KYU13" s="27"/>
      <c r="KYV13" s="27"/>
      <c r="KZB13" s="27"/>
      <c r="KZC13" s="27"/>
      <c r="KZD13" s="27"/>
      <c r="KZJ13" s="27"/>
      <c r="KZK13" s="27"/>
      <c r="KZL13" s="27"/>
      <c r="KZR13" s="27"/>
      <c r="KZS13" s="27"/>
      <c r="KZT13" s="27"/>
      <c r="KZZ13" s="27"/>
      <c r="LAA13" s="27"/>
      <c r="LAB13" s="27"/>
      <c r="LAH13" s="27"/>
      <c r="LAI13" s="27"/>
      <c r="LAJ13" s="27"/>
      <c r="LAP13" s="27"/>
      <c r="LAQ13" s="27"/>
      <c r="LAR13" s="27"/>
      <c r="LAX13" s="27"/>
      <c r="LAY13" s="27"/>
      <c r="LAZ13" s="27"/>
      <c r="LBF13" s="27"/>
      <c r="LBG13" s="27"/>
      <c r="LBH13" s="27"/>
      <c r="LBN13" s="27"/>
      <c r="LBO13" s="27"/>
      <c r="LBP13" s="27"/>
      <c r="LBV13" s="27"/>
      <c r="LBW13" s="27"/>
      <c r="LBX13" s="27"/>
      <c r="LCD13" s="27"/>
      <c r="LCE13" s="27"/>
      <c r="LCF13" s="27"/>
      <c r="LCL13" s="27"/>
      <c r="LCM13" s="27"/>
      <c r="LCN13" s="27"/>
      <c r="LCT13" s="27"/>
      <c r="LCU13" s="27"/>
      <c r="LCV13" s="27"/>
      <c r="LDB13" s="27"/>
      <c r="LDC13" s="27"/>
      <c r="LDD13" s="27"/>
      <c r="LDJ13" s="27"/>
      <c r="LDK13" s="27"/>
      <c r="LDL13" s="27"/>
      <c r="LDR13" s="27"/>
      <c r="LDS13" s="27"/>
      <c r="LDT13" s="27"/>
      <c r="LDZ13" s="27"/>
      <c r="LEA13" s="27"/>
      <c r="LEB13" s="27"/>
      <c r="LEH13" s="27"/>
      <c r="LEI13" s="27"/>
      <c r="LEJ13" s="27"/>
      <c r="LEP13" s="27"/>
      <c r="LEQ13" s="27"/>
      <c r="LER13" s="27"/>
      <c r="LEX13" s="27"/>
      <c r="LEY13" s="27"/>
      <c r="LEZ13" s="27"/>
      <c r="LFF13" s="27"/>
      <c r="LFG13" s="27"/>
      <c r="LFH13" s="27"/>
      <c r="LFN13" s="27"/>
      <c r="LFO13" s="27"/>
      <c r="LFP13" s="27"/>
      <c r="LFV13" s="27"/>
      <c r="LFW13" s="27"/>
      <c r="LFX13" s="27"/>
      <c r="LGD13" s="27"/>
      <c r="LGE13" s="27"/>
      <c r="LGF13" s="27"/>
      <c r="LGL13" s="27"/>
      <c r="LGM13" s="27"/>
      <c r="LGN13" s="27"/>
      <c r="LGT13" s="27"/>
      <c r="LGU13" s="27"/>
      <c r="LGV13" s="27"/>
      <c r="LHB13" s="27"/>
      <c r="LHC13" s="27"/>
      <c r="LHD13" s="27"/>
      <c r="LHJ13" s="27"/>
      <c r="LHK13" s="27"/>
      <c r="LHL13" s="27"/>
      <c r="LHR13" s="27"/>
      <c r="LHS13" s="27"/>
      <c r="LHT13" s="27"/>
      <c r="LHZ13" s="27"/>
      <c r="LIA13" s="27"/>
      <c r="LIB13" s="27"/>
      <c r="LIH13" s="27"/>
      <c r="LII13" s="27"/>
      <c r="LIJ13" s="27"/>
      <c r="LIP13" s="27"/>
      <c r="LIQ13" s="27"/>
      <c r="LIR13" s="27"/>
      <c r="LIX13" s="27"/>
      <c r="LIY13" s="27"/>
      <c r="LIZ13" s="27"/>
      <c r="LJF13" s="27"/>
      <c r="LJG13" s="27"/>
      <c r="LJH13" s="27"/>
      <c r="LJN13" s="27"/>
      <c r="LJO13" s="27"/>
      <c r="LJP13" s="27"/>
      <c r="LJV13" s="27"/>
      <c r="LJW13" s="27"/>
      <c r="LJX13" s="27"/>
      <c r="LKD13" s="27"/>
      <c r="LKE13" s="27"/>
      <c r="LKF13" s="27"/>
      <c r="LKL13" s="27"/>
      <c r="LKM13" s="27"/>
      <c r="LKN13" s="27"/>
      <c r="LKT13" s="27"/>
      <c r="LKU13" s="27"/>
      <c r="LKV13" s="27"/>
      <c r="LLB13" s="27"/>
      <c r="LLC13" s="27"/>
      <c r="LLD13" s="27"/>
      <c r="LLJ13" s="27"/>
      <c r="LLK13" s="27"/>
      <c r="LLL13" s="27"/>
      <c r="LLR13" s="27"/>
      <c r="LLS13" s="27"/>
      <c r="LLT13" s="27"/>
      <c r="LLZ13" s="27"/>
      <c r="LMA13" s="27"/>
      <c r="LMB13" s="27"/>
      <c r="LMH13" s="27"/>
      <c r="LMI13" s="27"/>
      <c r="LMJ13" s="27"/>
      <c r="LMP13" s="27"/>
      <c r="LMQ13" s="27"/>
      <c r="LMR13" s="27"/>
      <c r="LMX13" s="27"/>
      <c r="LMY13" s="27"/>
      <c r="LMZ13" s="27"/>
      <c r="LNF13" s="27"/>
      <c r="LNG13" s="27"/>
      <c r="LNH13" s="27"/>
      <c r="LNN13" s="27"/>
      <c r="LNO13" s="27"/>
      <c r="LNP13" s="27"/>
      <c r="LNV13" s="27"/>
      <c r="LNW13" s="27"/>
      <c r="LNX13" s="27"/>
      <c r="LOD13" s="27"/>
      <c r="LOE13" s="27"/>
      <c r="LOF13" s="27"/>
      <c r="LOL13" s="27"/>
      <c r="LOM13" s="27"/>
      <c r="LON13" s="27"/>
      <c r="LOT13" s="27"/>
      <c r="LOU13" s="27"/>
      <c r="LOV13" s="27"/>
      <c r="LPB13" s="27"/>
      <c r="LPC13" s="27"/>
      <c r="LPD13" s="27"/>
      <c r="LPJ13" s="27"/>
      <c r="LPK13" s="27"/>
      <c r="LPL13" s="27"/>
      <c r="LPR13" s="27"/>
      <c r="LPS13" s="27"/>
      <c r="LPT13" s="27"/>
      <c r="LPZ13" s="27"/>
      <c r="LQA13" s="27"/>
      <c r="LQB13" s="27"/>
      <c r="LQH13" s="27"/>
      <c r="LQI13" s="27"/>
      <c r="LQJ13" s="27"/>
      <c r="LQP13" s="27"/>
      <c r="LQQ13" s="27"/>
      <c r="LQR13" s="27"/>
      <c r="LQX13" s="27"/>
      <c r="LQY13" s="27"/>
      <c r="LQZ13" s="27"/>
      <c r="LRF13" s="27"/>
      <c r="LRG13" s="27"/>
      <c r="LRH13" s="27"/>
      <c r="LRN13" s="27"/>
      <c r="LRO13" s="27"/>
      <c r="LRP13" s="27"/>
      <c r="LRV13" s="27"/>
      <c r="LRW13" s="27"/>
      <c r="LRX13" s="27"/>
      <c r="LSD13" s="27"/>
      <c r="LSE13" s="27"/>
      <c r="LSF13" s="27"/>
      <c r="LSL13" s="27"/>
      <c r="LSM13" s="27"/>
      <c r="LSN13" s="27"/>
      <c r="LST13" s="27"/>
      <c r="LSU13" s="27"/>
      <c r="LSV13" s="27"/>
      <c r="LTB13" s="27"/>
      <c r="LTC13" s="27"/>
      <c r="LTD13" s="27"/>
      <c r="LTJ13" s="27"/>
      <c r="LTK13" s="27"/>
      <c r="LTL13" s="27"/>
      <c r="LTR13" s="27"/>
      <c r="LTS13" s="27"/>
      <c r="LTT13" s="27"/>
      <c r="LTZ13" s="27"/>
      <c r="LUA13" s="27"/>
      <c r="LUB13" s="27"/>
      <c r="LUH13" s="27"/>
      <c r="LUI13" s="27"/>
      <c r="LUJ13" s="27"/>
      <c r="LUP13" s="27"/>
      <c r="LUQ13" s="27"/>
      <c r="LUR13" s="27"/>
      <c r="LUX13" s="27"/>
      <c r="LUY13" s="27"/>
      <c r="LUZ13" s="27"/>
      <c r="LVF13" s="27"/>
      <c r="LVG13" s="27"/>
      <c r="LVH13" s="27"/>
      <c r="LVN13" s="27"/>
      <c r="LVO13" s="27"/>
      <c r="LVP13" s="27"/>
      <c r="LVV13" s="27"/>
      <c r="LVW13" s="27"/>
      <c r="LVX13" s="27"/>
      <c r="LWD13" s="27"/>
      <c r="LWE13" s="27"/>
      <c r="LWF13" s="27"/>
      <c r="LWL13" s="27"/>
      <c r="LWM13" s="27"/>
      <c r="LWN13" s="27"/>
      <c r="LWT13" s="27"/>
      <c r="LWU13" s="27"/>
      <c r="LWV13" s="27"/>
      <c r="LXB13" s="27"/>
      <c r="LXC13" s="27"/>
      <c r="LXD13" s="27"/>
      <c r="LXJ13" s="27"/>
      <c r="LXK13" s="27"/>
      <c r="LXL13" s="27"/>
      <c r="LXR13" s="27"/>
      <c r="LXS13" s="27"/>
      <c r="LXT13" s="27"/>
      <c r="LXZ13" s="27"/>
      <c r="LYA13" s="27"/>
      <c r="LYB13" s="27"/>
      <c r="LYH13" s="27"/>
      <c r="LYI13" s="27"/>
      <c r="LYJ13" s="27"/>
      <c r="LYP13" s="27"/>
      <c r="LYQ13" s="27"/>
      <c r="LYR13" s="27"/>
      <c r="LYX13" s="27"/>
      <c r="LYY13" s="27"/>
      <c r="LYZ13" s="27"/>
      <c r="LZF13" s="27"/>
      <c r="LZG13" s="27"/>
      <c r="LZH13" s="27"/>
      <c r="LZN13" s="27"/>
      <c r="LZO13" s="27"/>
      <c r="LZP13" s="27"/>
      <c r="LZV13" s="27"/>
      <c r="LZW13" s="27"/>
      <c r="LZX13" s="27"/>
      <c r="MAD13" s="27"/>
      <c r="MAE13" s="27"/>
      <c r="MAF13" s="27"/>
      <c r="MAL13" s="27"/>
      <c r="MAM13" s="27"/>
      <c r="MAN13" s="27"/>
      <c r="MAT13" s="27"/>
      <c r="MAU13" s="27"/>
      <c r="MAV13" s="27"/>
      <c r="MBB13" s="27"/>
      <c r="MBC13" s="27"/>
      <c r="MBD13" s="27"/>
      <c r="MBJ13" s="27"/>
      <c r="MBK13" s="27"/>
      <c r="MBL13" s="27"/>
      <c r="MBR13" s="27"/>
      <c r="MBS13" s="27"/>
      <c r="MBT13" s="27"/>
      <c r="MBZ13" s="27"/>
      <c r="MCA13" s="27"/>
      <c r="MCB13" s="27"/>
      <c r="MCH13" s="27"/>
      <c r="MCI13" s="27"/>
      <c r="MCJ13" s="27"/>
      <c r="MCP13" s="27"/>
      <c r="MCQ13" s="27"/>
      <c r="MCR13" s="27"/>
      <c r="MCX13" s="27"/>
      <c r="MCY13" s="27"/>
      <c r="MCZ13" s="27"/>
      <c r="MDF13" s="27"/>
      <c r="MDG13" s="27"/>
      <c r="MDH13" s="27"/>
      <c r="MDN13" s="27"/>
      <c r="MDO13" s="27"/>
      <c r="MDP13" s="27"/>
      <c r="MDV13" s="27"/>
      <c r="MDW13" s="27"/>
      <c r="MDX13" s="27"/>
      <c r="MED13" s="27"/>
      <c r="MEE13" s="27"/>
      <c r="MEF13" s="27"/>
      <c r="MEL13" s="27"/>
      <c r="MEM13" s="27"/>
      <c r="MEN13" s="27"/>
      <c r="MET13" s="27"/>
      <c r="MEU13" s="27"/>
      <c r="MEV13" s="27"/>
      <c r="MFB13" s="27"/>
      <c r="MFC13" s="27"/>
      <c r="MFD13" s="27"/>
      <c r="MFJ13" s="27"/>
      <c r="MFK13" s="27"/>
      <c r="MFL13" s="27"/>
      <c r="MFR13" s="27"/>
      <c r="MFS13" s="27"/>
      <c r="MFT13" s="27"/>
      <c r="MFZ13" s="27"/>
      <c r="MGA13" s="27"/>
      <c r="MGB13" s="27"/>
      <c r="MGH13" s="27"/>
      <c r="MGI13" s="27"/>
      <c r="MGJ13" s="27"/>
      <c r="MGP13" s="27"/>
      <c r="MGQ13" s="27"/>
      <c r="MGR13" s="27"/>
      <c r="MGX13" s="27"/>
      <c r="MGY13" s="27"/>
      <c r="MGZ13" s="27"/>
      <c r="MHF13" s="27"/>
      <c r="MHG13" s="27"/>
      <c r="MHH13" s="27"/>
      <c r="MHN13" s="27"/>
      <c r="MHO13" s="27"/>
      <c r="MHP13" s="27"/>
      <c r="MHV13" s="27"/>
      <c r="MHW13" s="27"/>
      <c r="MHX13" s="27"/>
      <c r="MID13" s="27"/>
      <c r="MIE13" s="27"/>
      <c r="MIF13" s="27"/>
      <c r="MIL13" s="27"/>
      <c r="MIM13" s="27"/>
      <c r="MIN13" s="27"/>
      <c r="MIT13" s="27"/>
      <c r="MIU13" s="27"/>
      <c r="MIV13" s="27"/>
      <c r="MJB13" s="27"/>
      <c r="MJC13" s="27"/>
      <c r="MJD13" s="27"/>
      <c r="MJJ13" s="27"/>
      <c r="MJK13" s="27"/>
      <c r="MJL13" s="27"/>
      <c r="MJR13" s="27"/>
      <c r="MJS13" s="27"/>
      <c r="MJT13" s="27"/>
      <c r="MJZ13" s="27"/>
      <c r="MKA13" s="27"/>
      <c r="MKB13" s="27"/>
      <c r="MKH13" s="27"/>
      <c r="MKI13" s="27"/>
      <c r="MKJ13" s="27"/>
      <c r="MKP13" s="27"/>
      <c r="MKQ13" s="27"/>
      <c r="MKR13" s="27"/>
      <c r="MKX13" s="27"/>
      <c r="MKY13" s="27"/>
      <c r="MKZ13" s="27"/>
      <c r="MLF13" s="27"/>
      <c r="MLG13" s="27"/>
      <c r="MLH13" s="27"/>
      <c r="MLN13" s="27"/>
      <c r="MLO13" s="27"/>
      <c r="MLP13" s="27"/>
      <c r="MLV13" s="27"/>
      <c r="MLW13" s="27"/>
      <c r="MLX13" s="27"/>
      <c r="MMD13" s="27"/>
      <c r="MME13" s="27"/>
      <c r="MMF13" s="27"/>
      <c r="MML13" s="27"/>
      <c r="MMM13" s="27"/>
      <c r="MMN13" s="27"/>
      <c r="MMT13" s="27"/>
      <c r="MMU13" s="27"/>
      <c r="MMV13" s="27"/>
      <c r="MNB13" s="27"/>
      <c r="MNC13" s="27"/>
      <c r="MND13" s="27"/>
      <c r="MNJ13" s="27"/>
      <c r="MNK13" s="27"/>
      <c r="MNL13" s="27"/>
      <c r="MNR13" s="27"/>
      <c r="MNS13" s="27"/>
      <c r="MNT13" s="27"/>
      <c r="MNZ13" s="27"/>
      <c r="MOA13" s="27"/>
      <c r="MOB13" s="27"/>
      <c r="MOH13" s="27"/>
      <c r="MOI13" s="27"/>
      <c r="MOJ13" s="27"/>
      <c r="MOP13" s="27"/>
      <c r="MOQ13" s="27"/>
      <c r="MOR13" s="27"/>
      <c r="MOX13" s="27"/>
      <c r="MOY13" s="27"/>
      <c r="MOZ13" s="27"/>
      <c r="MPF13" s="27"/>
      <c r="MPG13" s="27"/>
      <c r="MPH13" s="27"/>
      <c r="MPN13" s="27"/>
      <c r="MPO13" s="27"/>
      <c r="MPP13" s="27"/>
      <c r="MPV13" s="27"/>
      <c r="MPW13" s="27"/>
      <c r="MPX13" s="27"/>
      <c r="MQD13" s="27"/>
      <c r="MQE13" s="27"/>
      <c r="MQF13" s="27"/>
      <c r="MQL13" s="27"/>
      <c r="MQM13" s="27"/>
      <c r="MQN13" s="27"/>
      <c r="MQT13" s="27"/>
      <c r="MQU13" s="27"/>
      <c r="MQV13" s="27"/>
      <c r="MRB13" s="27"/>
      <c r="MRC13" s="27"/>
      <c r="MRD13" s="27"/>
      <c r="MRJ13" s="27"/>
      <c r="MRK13" s="27"/>
      <c r="MRL13" s="27"/>
      <c r="MRR13" s="27"/>
      <c r="MRS13" s="27"/>
      <c r="MRT13" s="27"/>
      <c r="MRZ13" s="27"/>
      <c r="MSA13" s="27"/>
      <c r="MSB13" s="27"/>
      <c r="MSH13" s="27"/>
      <c r="MSI13" s="27"/>
      <c r="MSJ13" s="27"/>
      <c r="MSP13" s="27"/>
      <c r="MSQ13" s="27"/>
      <c r="MSR13" s="27"/>
      <c r="MSX13" s="27"/>
      <c r="MSY13" s="27"/>
      <c r="MSZ13" s="27"/>
      <c r="MTF13" s="27"/>
      <c r="MTG13" s="27"/>
      <c r="MTH13" s="27"/>
      <c r="MTN13" s="27"/>
      <c r="MTO13" s="27"/>
      <c r="MTP13" s="27"/>
      <c r="MTV13" s="27"/>
      <c r="MTW13" s="27"/>
      <c r="MTX13" s="27"/>
      <c r="MUD13" s="27"/>
      <c r="MUE13" s="27"/>
      <c r="MUF13" s="27"/>
      <c r="MUL13" s="27"/>
      <c r="MUM13" s="27"/>
      <c r="MUN13" s="27"/>
      <c r="MUT13" s="27"/>
      <c r="MUU13" s="27"/>
      <c r="MUV13" s="27"/>
      <c r="MVB13" s="27"/>
      <c r="MVC13" s="27"/>
      <c r="MVD13" s="27"/>
      <c r="MVJ13" s="27"/>
      <c r="MVK13" s="27"/>
      <c r="MVL13" s="27"/>
      <c r="MVR13" s="27"/>
      <c r="MVS13" s="27"/>
      <c r="MVT13" s="27"/>
      <c r="MVZ13" s="27"/>
      <c r="MWA13" s="27"/>
      <c r="MWB13" s="27"/>
      <c r="MWH13" s="27"/>
      <c r="MWI13" s="27"/>
      <c r="MWJ13" s="27"/>
      <c r="MWP13" s="27"/>
      <c r="MWQ13" s="27"/>
      <c r="MWR13" s="27"/>
      <c r="MWX13" s="27"/>
      <c r="MWY13" s="27"/>
      <c r="MWZ13" s="27"/>
      <c r="MXF13" s="27"/>
      <c r="MXG13" s="27"/>
      <c r="MXH13" s="27"/>
      <c r="MXN13" s="27"/>
      <c r="MXO13" s="27"/>
      <c r="MXP13" s="27"/>
      <c r="MXV13" s="27"/>
      <c r="MXW13" s="27"/>
      <c r="MXX13" s="27"/>
      <c r="MYD13" s="27"/>
      <c r="MYE13" s="27"/>
      <c r="MYF13" s="27"/>
      <c r="MYL13" s="27"/>
      <c r="MYM13" s="27"/>
      <c r="MYN13" s="27"/>
      <c r="MYT13" s="27"/>
      <c r="MYU13" s="27"/>
      <c r="MYV13" s="27"/>
      <c r="MZB13" s="27"/>
      <c r="MZC13" s="27"/>
      <c r="MZD13" s="27"/>
      <c r="MZJ13" s="27"/>
      <c r="MZK13" s="27"/>
      <c r="MZL13" s="27"/>
      <c r="MZR13" s="27"/>
      <c r="MZS13" s="27"/>
      <c r="MZT13" s="27"/>
      <c r="MZZ13" s="27"/>
      <c r="NAA13" s="27"/>
      <c r="NAB13" s="27"/>
      <c r="NAH13" s="27"/>
      <c r="NAI13" s="27"/>
      <c r="NAJ13" s="27"/>
      <c r="NAP13" s="27"/>
      <c r="NAQ13" s="27"/>
      <c r="NAR13" s="27"/>
      <c r="NAX13" s="27"/>
      <c r="NAY13" s="27"/>
      <c r="NAZ13" s="27"/>
      <c r="NBF13" s="27"/>
      <c r="NBG13" s="27"/>
      <c r="NBH13" s="27"/>
      <c r="NBN13" s="27"/>
      <c r="NBO13" s="27"/>
      <c r="NBP13" s="27"/>
      <c r="NBV13" s="27"/>
      <c r="NBW13" s="27"/>
      <c r="NBX13" s="27"/>
      <c r="NCD13" s="27"/>
      <c r="NCE13" s="27"/>
      <c r="NCF13" s="27"/>
      <c r="NCL13" s="27"/>
      <c r="NCM13" s="27"/>
      <c r="NCN13" s="27"/>
      <c r="NCT13" s="27"/>
      <c r="NCU13" s="27"/>
      <c r="NCV13" s="27"/>
      <c r="NDB13" s="27"/>
      <c r="NDC13" s="27"/>
      <c r="NDD13" s="27"/>
      <c r="NDJ13" s="27"/>
      <c r="NDK13" s="27"/>
      <c r="NDL13" s="27"/>
      <c r="NDR13" s="27"/>
      <c r="NDS13" s="27"/>
      <c r="NDT13" s="27"/>
      <c r="NDZ13" s="27"/>
      <c r="NEA13" s="27"/>
      <c r="NEB13" s="27"/>
      <c r="NEH13" s="27"/>
      <c r="NEI13" s="27"/>
      <c r="NEJ13" s="27"/>
      <c r="NEP13" s="27"/>
      <c r="NEQ13" s="27"/>
      <c r="NER13" s="27"/>
      <c r="NEX13" s="27"/>
      <c r="NEY13" s="27"/>
      <c r="NEZ13" s="27"/>
      <c r="NFF13" s="27"/>
      <c r="NFG13" s="27"/>
      <c r="NFH13" s="27"/>
      <c r="NFN13" s="27"/>
      <c r="NFO13" s="27"/>
      <c r="NFP13" s="27"/>
      <c r="NFV13" s="27"/>
      <c r="NFW13" s="27"/>
      <c r="NFX13" s="27"/>
      <c r="NGD13" s="27"/>
      <c r="NGE13" s="27"/>
      <c r="NGF13" s="27"/>
      <c r="NGL13" s="27"/>
      <c r="NGM13" s="27"/>
      <c r="NGN13" s="27"/>
      <c r="NGT13" s="27"/>
      <c r="NGU13" s="27"/>
      <c r="NGV13" s="27"/>
      <c r="NHB13" s="27"/>
      <c r="NHC13" s="27"/>
      <c r="NHD13" s="27"/>
      <c r="NHJ13" s="27"/>
      <c r="NHK13" s="27"/>
      <c r="NHL13" s="27"/>
      <c r="NHR13" s="27"/>
      <c r="NHS13" s="27"/>
      <c r="NHT13" s="27"/>
      <c r="NHZ13" s="27"/>
      <c r="NIA13" s="27"/>
      <c r="NIB13" s="27"/>
      <c r="NIH13" s="27"/>
      <c r="NII13" s="27"/>
      <c r="NIJ13" s="27"/>
      <c r="NIP13" s="27"/>
      <c r="NIQ13" s="27"/>
      <c r="NIR13" s="27"/>
      <c r="NIX13" s="27"/>
      <c r="NIY13" s="27"/>
      <c r="NIZ13" s="27"/>
      <c r="NJF13" s="27"/>
      <c r="NJG13" s="27"/>
      <c r="NJH13" s="27"/>
      <c r="NJN13" s="27"/>
      <c r="NJO13" s="27"/>
      <c r="NJP13" s="27"/>
      <c r="NJV13" s="27"/>
      <c r="NJW13" s="27"/>
      <c r="NJX13" s="27"/>
      <c r="NKD13" s="27"/>
      <c r="NKE13" s="27"/>
      <c r="NKF13" s="27"/>
      <c r="NKL13" s="27"/>
      <c r="NKM13" s="27"/>
      <c r="NKN13" s="27"/>
      <c r="NKT13" s="27"/>
      <c r="NKU13" s="27"/>
      <c r="NKV13" s="27"/>
      <c r="NLB13" s="27"/>
      <c r="NLC13" s="27"/>
      <c r="NLD13" s="27"/>
      <c r="NLJ13" s="27"/>
      <c r="NLK13" s="27"/>
      <c r="NLL13" s="27"/>
      <c r="NLR13" s="27"/>
      <c r="NLS13" s="27"/>
      <c r="NLT13" s="27"/>
      <c r="NLZ13" s="27"/>
      <c r="NMA13" s="27"/>
      <c r="NMB13" s="27"/>
      <c r="NMH13" s="27"/>
      <c r="NMI13" s="27"/>
      <c r="NMJ13" s="27"/>
      <c r="NMP13" s="27"/>
      <c r="NMQ13" s="27"/>
      <c r="NMR13" s="27"/>
      <c r="NMX13" s="27"/>
      <c r="NMY13" s="27"/>
      <c r="NMZ13" s="27"/>
      <c r="NNF13" s="27"/>
      <c r="NNG13" s="27"/>
      <c r="NNH13" s="27"/>
      <c r="NNN13" s="27"/>
      <c r="NNO13" s="27"/>
      <c r="NNP13" s="27"/>
      <c r="NNV13" s="27"/>
      <c r="NNW13" s="27"/>
      <c r="NNX13" s="27"/>
      <c r="NOD13" s="27"/>
      <c r="NOE13" s="27"/>
      <c r="NOF13" s="27"/>
      <c r="NOL13" s="27"/>
      <c r="NOM13" s="27"/>
      <c r="NON13" s="27"/>
      <c r="NOT13" s="27"/>
      <c r="NOU13" s="27"/>
      <c r="NOV13" s="27"/>
      <c r="NPB13" s="27"/>
      <c r="NPC13" s="27"/>
      <c r="NPD13" s="27"/>
      <c r="NPJ13" s="27"/>
      <c r="NPK13" s="27"/>
      <c r="NPL13" s="27"/>
      <c r="NPR13" s="27"/>
      <c r="NPS13" s="27"/>
      <c r="NPT13" s="27"/>
      <c r="NPZ13" s="27"/>
      <c r="NQA13" s="27"/>
      <c r="NQB13" s="27"/>
      <c r="NQH13" s="27"/>
      <c r="NQI13" s="27"/>
      <c r="NQJ13" s="27"/>
      <c r="NQP13" s="27"/>
      <c r="NQQ13" s="27"/>
      <c r="NQR13" s="27"/>
      <c r="NQX13" s="27"/>
      <c r="NQY13" s="27"/>
      <c r="NQZ13" s="27"/>
      <c r="NRF13" s="27"/>
      <c r="NRG13" s="27"/>
      <c r="NRH13" s="27"/>
      <c r="NRN13" s="27"/>
      <c r="NRO13" s="27"/>
      <c r="NRP13" s="27"/>
      <c r="NRV13" s="27"/>
      <c r="NRW13" s="27"/>
      <c r="NRX13" s="27"/>
      <c r="NSD13" s="27"/>
      <c r="NSE13" s="27"/>
      <c r="NSF13" s="27"/>
      <c r="NSL13" s="27"/>
      <c r="NSM13" s="27"/>
      <c r="NSN13" s="27"/>
      <c r="NST13" s="27"/>
      <c r="NSU13" s="27"/>
      <c r="NSV13" s="27"/>
      <c r="NTB13" s="27"/>
      <c r="NTC13" s="27"/>
      <c r="NTD13" s="27"/>
      <c r="NTJ13" s="27"/>
      <c r="NTK13" s="27"/>
      <c r="NTL13" s="27"/>
      <c r="NTR13" s="27"/>
      <c r="NTS13" s="27"/>
      <c r="NTT13" s="27"/>
      <c r="NTZ13" s="27"/>
      <c r="NUA13" s="27"/>
      <c r="NUB13" s="27"/>
      <c r="NUH13" s="27"/>
      <c r="NUI13" s="27"/>
      <c r="NUJ13" s="27"/>
      <c r="NUP13" s="27"/>
      <c r="NUQ13" s="27"/>
      <c r="NUR13" s="27"/>
      <c r="NUX13" s="27"/>
      <c r="NUY13" s="27"/>
      <c r="NUZ13" s="27"/>
      <c r="NVF13" s="27"/>
      <c r="NVG13" s="27"/>
      <c r="NVH13" s="27"/>
      <c r="NVN13" s="27"/>
      <c r="NVO13" s="27"/>
      <c r="NVP13" s="27"/>
      <c r="NVV13" s="27"/>
      <c r="NVW13" s="27"/>
      <c r="NVX13" s="27"/>
      <c r="NWD13" s="27"/>
      <c r="NWE13" s="27"/>
      <c r="NWF13" s="27"/>
      <c r="NWL13" s="27"/>
      <c r="NWM13" s="27"/>
      <c r="NWN13" s="27"/>
      <c r="NWT13" s="27"/>
      <c r="NWU13" s="27"/>
      <c r="NWV13" s="27"/>
      <c r="NXB13" s="27"/>
      <c r="NXC13" s="27"/>
      <c r="NXD13" s="27"/>
      <c r="NXJ13" s="27"/>
      <c r="NXK13" s="27"/>
      <c r="NXL13" s="27"/>
      <c r="NXR13" s="27"/>
      <c r="NXS13" s="27"/>
      <c r="NXT13" s="27"/>
      <c r="NXZ13" s="27"/>
      <c r="NYA13" s="27"/>
      <c r="NYB13" s="27"/>
      <c r="NYH13" s="27"/>
      <c r="NYI13" s="27"/>
      <c r="NYJ13" s="27"/>
      <c r="NYP13" s="27"/>
      <c r="NYQ13" s="27"/>
      <c r="NYR13" s="27"/>
      <c r="NYX13" s="27"/>
      <c r="NYY13" s="27"/>
      <c r="NYZ13" s="27"/>
      <c r="NZF13" s="27"/>
      <c r="NZG13" s="27"/>
      <c r="NZH13" s="27"/>
      <c r="NZN13" s="27"/>
      <c r="NZO13" s="27"/>
      <c r="NZP13" s="27"/>
      <c r="NZV13" s="27"/>
      <c r="NZW13" s="27"/>
      <c r="NZX13" s="27"/>
      <c r="OAD13" s="27"/>
      <c r="OAE13" s="27"/>
      <c r="OAF13" s="27"/>
      <c r="OAL13" s="27"/>
      <c r="OAM13" s="27"/>
      <c r="OAN13" s="27"/>
      <c r="OAT13" s="27"/>
      <c r="OAU13" s="27"/>
      <c r="OAV13" s="27"/>
      <c r="OBB13" s="27"/>
      <c r="OBC13" s="27"/>
      <c r="OBD13" s="27"/>
      <c r="OBJ13" s="27"/>
      <c r="OBK13" s="27"/>
      <c r="OBL13" s="27"/>
      <c r="OBR13" s="27"/>
      <c r="OBS13" s="27"/>
      <c r="OBT13" s="27"/>
      <c r="OBZ13" s="27"/>
      <c r="OCA13" s="27"/>
      <c r="OCB13" s="27"/>
      <c r="OCH13" s="27"/>
      <c r="OCI13" s="27"/>
      <c r="OCJ13" s="27"/>
      <c r="OCP13" s="27"/>
      <c r="OCQ13" s="27"/>
      <c r="OCR13" s="27"/>
      <c r="OCX13" s="27"/>
      <c r="OCY13" s="27"/>
      <c r="OCZ13" s="27"/>
      <c r="ODF13" s="27"/>
      <c r="ODG13" s="27"/>
      <c r="ODH13" s="27"/>
      <c r="ODN13" s="27"/>
      <c r="ODO13" s="27"/>
      <c r="ODP13" s="27"/>
      <c r="ODV13" s="27"/>
      <c r="ODW13" s="27"/>
      <c r="ODX13" s="27"/>
      <c r="OED13" s="27"/>
      <c r="OEE13" s="27"/>
      <c r="OEF13" s="27"/>
      <c r="OEL13" s="27"/>
      <c r="OEM13" s="27"/>
      <c r="OEN13" s="27"/>
      <c r="OET13" s="27"/>
      <c r="OEU13" s="27"/>
      <c r="OEV13" s="27"/>
      <c r="OFB13" s="27"/>
      <c r="OFC13" s="27"/>
      <c r="OFD13" s="27"/>
      <c r="OFJ13" s="27"/>
      <c r="OFK13" s="27"/>
      <c r="OFL13" s="27"/>
      <c r="OFR13" s="27"/>
      <c r="OFS13" s="27"/>
      <c r="OFT13" s="27"/>
      <c r="OFZ13" s="27"/>
      <c r="OGA13" s="27"/>
      <c r="OGB13" s="27"/>
      <c r="OGH13" s="27"/>
      <c r="OGI13" s="27"/>
      <c r="OGJ13" s="27"/>
      <c r="OGP13" s="27"/>
      <c r="OGQ13" s="27"/>
      <c r="OGR13" s="27"/>
      <c r="OGX13" s="27"/>
      <c r="OGY13" s="27"/>
      <c r="OGZ13" s="27"/>
      <c r="OHF13" s="27"/>
      <c r="OHG13" s="27"/>
      <c r="OHH13" s="27"/>
      <c r="OHN13" s="27"/>
      <c r="OHO13" s="27"/>
      <c r="OHP13" s="27"/>
      <c r="OHV13" s="27"/>
      <c r="OHW13" s="27"/>
      <c r="OHX13" s="27"/>
      <c r="OID13" s="27"/>
      <c r="OIE13" s="27"/>
      <c r="OIF13" s="27"/>
      <c r="OIL13" s="27"/>
      <c r="OIM13" s="27"/>
      <c r="OIN13" s="27"/>
      <c r="OIT13" s="27"/>
      <c r="OIU13" s="27"/>
      <c r="OIV13" s="27"/>
      <c r="OJB13" s="27"/>
      <c r="OJC13" s="27"/>
      <c r="OJD13" s="27"/>
      <c r="OJJ13" s="27"/>
      <c r="OJK13" s="27"/>
      <c r="OJL13" s="27"/>
      <c r="OJR13" s="27"/>
      <c r="OJS13" s="27"/>
      <c r="OJT13" s="27"/>
      <c r="OJZ13" s="27"/>
      <c r="OKA13" s="27"/>
      <c r="OKB13" s="27"/>
      <c r="OKH13" s="27"/>
      <c r="OKI13" s="27"/>
      <c r="OKJ13" s="27"/>
      <c r="OKP13" s="27"/>
      <c r="OKQ13" s="27"/>
      <c r="OKR13" s="27"/>
      <c r="OKX13" s="27"/>
      <c r="OKY13" s="27"/>
      <c r="OKZ13" s="27"/>
      <c r="OLF13" s="27"/>
      <c r="OLG13" s="27"/>
      <c r="OLH13" s="27"/>
      <c r="OLN13" s="27"/>
      <c r="OLO13" s="27"/>
      <c r="OLP13" s="27"/>
      <c r="OLV13" s="27"/>
      <c r="OLW13" s="27"/>
      <c r="OLX13" s="27"/>
      <c r="OMD13" s="27"/>
      <c r="OME13" s="27"/>
      <c r="OMF13" s="27"/>
      <c r="OML13" s="27"/>
      <c r="OMM13" s="27"/>
      <c r="OMN13" s="27"/>
      <c r="OMT13" s="27"/>
      <c r="OMU13" s="27"/>
      <c r="OMV13" s="27"/>
      <c r="ONB13" s="27"/>
      <c r="ONC13" s="27"/>
      <c r="OND13" s="27"/>
      <c r="ONJ13" s="27"/>
      <c r="ONK13" s="27"/>
      <c r="ONL13" s="27"/>
      <c r="ONR13" s="27"/>
      <c r="ONS13" s="27"/>
      <c r="ONT13" s="27"/>
      <c r="ONZ13" s="27"/>
      <c r="OOA13" s="27"/>
      <c r="OOB13" s="27"/>
      <c r="OOH13" s="27"/>
      <c r="OOI13" s="27"/>
      <c r="OOJ13" s="27"/>
      <c r="OOP13" s="27"/>
      <c r="OOQ13" s="27"/>
      <c r="OOR13" s="27"/>
      <c r="OOX13" s="27"/>
      <c r="OOY13" s="27"/>
      <c r="OOZ13" s="27"/>
      <c r="OPF13" s="27"/>
      <c r="OPG13" s="27"/>
      <c r="OPH13" s="27"/>
      <c r="OPN13" s="27"/>
      <c r="OPO13" s="27"/>
      <c r="OPP13" s="27"/>
      <c r="OPV13" s="27"/>
      <c r="OPW13" s="27"/>
      <c r="OPX13" s="27"/>
      <c r="OQD13" s="27"/>
      <c r="OQE13" s="27"/>
      <c r="OQF13" s="27"/>
      <c r="OQL13" s="27"/>
      <c r="OQM13" s="27"/>
      <c r="OQN13" s="27"/>
      <c r="OQT13" s="27"/>
      <c r="OQU13" s="27"/>
      <c r="OQV13" s="27"/>
      <c r="ORB13" s="27"/>
      <c r="ORC13" s="27"/>
      <c r="ORD13" s="27"/>
      <c r="ORJ13" s="27"/>
      <c r="ORK13" s="27"/>
      <c r="ORL13" s="27"/>
      <c r="ORR13" s="27"/>
      <c r="ORS13" s="27"/>
      <c r="ORT13" s="27"/>
      <c r="ORZ13" s="27"/>
      <c r="OSA13" s="27"/>
      <c r="OSB13" s="27"/>
      <c r="OSH13" s="27"/>
      <c r="OSI13" s="27"/>
      <c r="OSJ13" s="27"/>
      <c r="OSP13" s="27"/>
      <c r="OSQ13" s="27"/>
      <c r="OSR13" s="27"/>
      <c r="OSX13" s="27"/>
      <c r="OSY13" s="27"/>
      <c r="OSZ13" s="27"/>
      <c r="OTF13" s="27"/>
      <c r="OTG13" s="27"/>
      <c r="OTH13" s="27"/>
      <c r="OTN13" s="27"/>
      <c r="OTO13" s="27"/>
      <c r="OTP13" s="27"/>
      <c r="OTV13" s="27"/>
      <c r="OTW13" s="27"/>
      <c r="OTX13" s="27"/>
      <c r="OUD13" s="27"/>
      <c r="OUE13" s="27"/>
      <c r="OUF13" s="27"/>
      <c r="OUL13" s="27"/>
      <c r="OUM13" s="27"/>
      <c r="OUN13" s="27"/>
      <c r="OUT13" s="27"/>
      <c r="OUU13" s="27"/>
      <c r="OUV13" s="27"/>
      <c r="OVB13" s="27"/>
      <c r="OVC13" s="27"/>
      <c r="OVD13" s="27"/>
      <c r="OVJ13" s="27"/>
      <c r="OVK13" s="27"/>
      <c r="OVL13" s="27"/>
      <c r="OVR13" s="27"/>
      <c r="OVS13" s="27"/>
      <c r="OVT13" s="27"/>
      <c r="OVZ13" s="27"/>
      <c r="OWA13" s="27"/>
      <c r="OWB13" s="27"/>
      <c r="OWH13" s="27"/>
      <c r="OWI13" s="27"/>
      <c r="OWJ13" s="27"/>
      <c r="OWP13" s="27"/>
      <c r="OWQ13" s="27"/>
      <c r="OWR13" s="27"/>
      <c r="OWX13" s="27"/>
      <c r="OWY13" s="27"/>
      <c r="OWZ13" s="27"/>
      <c r="OXF13" s="27"/>
      <c r="OXG13" s="27"/>
      <c r="OXH13" s="27"/>
      <c r="OXN13" s="27"/>
      <c r="OXO13" s="27"/>
      <c r="OXP13" s="27"/>
      <c r="OXV13" s="27"/>
      <c r="OXW13" s="27"/>
      <c r="OXX13" s="27"/>
      <c r="OYD13" s="27"/>
      <c r="OYE13" s="27"/>
      <c r="OYF13" s="27"/>
      <c r="OYL13" s="27"/>
      <c r="OYM13" s="27"/>
      <c r="OYN13" s="27"/>
      <c r="OYT13" s="27"/>
      <c r="OYU13" s="27"/>
      <c r="OYV13" s="27"/>
      <c r="OZB13" s="27"/>
      <c r="OZC13" s="27"/>
      <c r="OZD13" s="27"/>
      <c r="OZJ13" s="27"/>
      <c r="OZK13" s="27"/>
      <c r="OZL13" s="27"/>
      <c r="OZR13" s="27"/>
      <c r="OZS13" s="27"/>
      <c r="OZT13" s="27"/>
      <c r="OZZ13" s="27"/>
      <c r="PAA13" s="27"/>
      <c r="PAB13" s="27"/>
      <c r="PAH13" s="27"/>
      <c r="PAI13" s="27"/>
      <c r="PAJ13" s="27"/>
      <c r="PAP13" s="27"/>
      <c r="PAQ13" s="27"/>
      <c r="PAR13" s="27"/>
      <c r="PAX13" s="27"/>
      <c r="PAY13" s="27"/>
      <c r="PAZ13" s="27"/>
      <c r="PBF13" s="27"/>
      <c r="PBG13" s="27"/>
      <c r="PBH13" s="27"/>
      <c r="PBN13" s="27"/>
      <c r="PBO13" s="27"/>
      <c r="PBP13" s="27"/>
      <c r="PBV13" s="27"/>
      <c r="PBW13" s="27"/>
      <c r="PBX13" s="27"/>
      <c r="PCD13" s="27"/>
      <c r="PCE13" s="27"/>
      <c r="PCF13" s="27"/>
      <c r="PCL13" s="27"/>
      <c r="PCM13" s="27"/>
      <c r="PCN13" s="27"/>
      <c r="PCT13" s="27"/>
      <c r="PCU13" s="27"/>
      <c r="PCV13" s="27"/>
      <c r="PDB13" s="27"/>
      <c r="PDC13" s="27"/>
      <c r="PDD13" s="27"/>
      <c r="PDJ13" s="27"/>
      <c r="PDK13" s="27"/>
      <c r="PDL13" s="27"/>
      <c r="PDR13" s="27"/>
      <c r="PDS13" s="27"/>
      <c r="PDT13" s="27"/>
      <c r="PDZ13" s="27"/>
      <c r="PEA13" s="27"/>
      <c r="PEB13" s="27"/>
      <c r="PEH13" s="27"/>
      <c r="PEI13" s="27"/>
      <c r="PEJ13" s="27"/>
      <c r="PEP13" s="27"/>
      <c r="PEQ13" s="27"/>
      <c r="PER13" s="27"/>
      <c r="PEX13" s="27"/>
      <c r="PEY13" s="27"/>
      <c r="PEZ13" s="27"/>
      <c r="PFF13" s="27"/>
      <c r="PFG13" s="27"/>
      <c r="PFH13" s="27"/>
      <c r="PFN13" s="27"/>
      <c r="PFO13" s="27"/>
      <c r="PFP13" s="27"/>
      <c r="PFV13" s="27"/>
      <c r="PFW13" s="27"/>
      <c r="PFX13" s="27"/>
      <c r="PGD13" s="27"/>
      <c r="PGE13" s="27"/>
      <c r="PGF13" s="27"/>
      <c r="PGL13" s="27"/>
      <c r="PGM13" s="27"/>
      <c r="PGN13" s="27"/>
      <c r="PGT13" s="27"/>
      <c r="PGU13" s="27"/>
      <c r="PGV13" s="27"/>
      <c r="PHB13" s="27"/>
      <c r="PHC13" s="27"/>
      <c r="PHD13" s="27"/>
      <c r="PHJ13" s="27"/>
      <c r="PHK13" s="27"/>
      <c r="PHL13" s="27"/>
      <c r="PHR13" s="27"/>
      <c r="PHS13" s="27"/>
      <c r="PHT13" s="27"/>
      <c r="PHZ13" s="27"/>
      <c r="PIA13" s="27"/>
      <c r="PIB13" s="27"/>
      <c r="PIH13" s="27"/>
      <c r="PII13" s="27"/>
      <c r="PIJ13" s="27"/>
      <c r="PIP13" s="27"/>
      <c r="PIQ13" s="27"/>
      <c r="PIR13" s="27"/>
      <c r="PIX13" s="27"/>
      <c r="PIY13" s="27"/>
      <c r="PIZ13" s="27"/>
      <c r="PJF13" s="27"/>
      <c r="PJG13" s="27"/>
      <c r="PJH13" s="27"/>
      <c r="PJN13" s="27"/>
      <c r="PJO13" s="27"/>
      <c r="PJP13" s="27"/>
      <c r="PJV13" s="27"/>
      <c r="PJW13" s="27"/>
      <c r="PJX13" s="27"/>
      <c r="PKD13" s="27"/>
      <c r="PKE13" s="27"/>
      <c r="PKF13" s="27"/>
      <c r="PKL13" s="27"/>
      <c r="PKM13" s="27"/>
      <c r="PKN13" s="27"/>
      <c r="PKT13" s="27"/>
      <c r="PKU13" s="27"/>
      <c r="PKV13" s="27"/>
      <c r="PLB13" s="27"/>
      <c r="PLC13" s="27"/>
      <c r="PLD13" s="27"/>
      <c r="PLJ13" s="27"/>
      <c r="PLK13" s="27"/>
      <c r="PLL13" s="27"/>
      <c r="PLR13" s="27"/>
      <c r="PLS13" s="27"/>
      <c r="PLT13" s="27"/>
      <c r="PLZ13" s="27"/>
      <c r="PMA13" s="27"/>
      <c r="PMB13" s="27"/>
      <c r="PMH13" s="27"/>
      <c r="PMI13" s="27"/>
      <c r="PMJ13" s="27"/>
      <c r="PMP13" s="27"/>
      <c r="PMQ13" s="27"/>
      <c r="PMR13" s="27"/>
      <c r="PMX13" s="27"/>
      <c r="PMY13" s="27"/>
      <c r="PMZ13" s="27"/>
      <c r="PNF13" s="27"/>
      <c r="PNG13" s="27"/>
      <c r="PNH13" s="27"/>
      <c r="PNN13" s="27"/>
      <c r="PNO13" s="27"/>
      <c r="PNP13" s="27"/>
      <c r="PNV13" s="27"/>
      <c r="PNW13" s="27"/>
      <c r="PNX13" s="27"/>
      <c r="POD13" s="27"/>
      <c r="POE13" s="27"/>
      <c r="POF13" s="27"/>
      <c r="POL13" s="27"/>
      <c r="POM13" s="27"/>
      <c r="PON13" s="27"/>
      <c r="POT13" s="27"/>
      <c r="POU13" s="27"/>
      <c r="POV13" s="27"/>
      <c r="PPB13" s="27"/>
      <c r="PPC13" s="27"/>
      <c r="PPD13" s="27"/>
      <c r="PPJ13" s="27"/>
      <c r="PPK13" s="27"/>
      <c r="PPL13" s="27"/>
      <c r="PPR13" s="27"/>
      <c r="PPS13" s="27"/>
      <c r="PPT13" s="27"/>
      <c r="PPZ13" s="27"/>
      <c r="PQA13" s="27"/>
      <c r="PQB13" s="27"/>
      <c r="PQH13" s="27"/>
      <c r="PQI13" s="27"/>
      <c r="PQJ13" s="27"/>
      <c r="PQP13" s="27"/>
      <c r="PQQ13" s="27"/>
      <c r="PQR13" s="27"/>
      <c r="PQX13" s="27"/>
      <c r="PQY13" s="27"/>
      <c r="PQZ13" s="27"/>
      <c r="PRF13" s="27"/>
      <c r="PRG13" s="27"/>
      <c r="PRH13" s="27"/>
      <c r="PRN13" s="27"/>
      <c r="PRO13" s="27"/>
      <c r="PRP13" s="27"/>
      <c r="PRV13" s="27"/>
      <c r="PRW13" s="27"/>
      <c r="PRX13" s="27"/>
      <c r="PSD13" s="27"/>
      <c r="PSE13" s="27"/>
      <c r="PSF13" s="27"/>
      <c r="PSL13" s="27"/>
      <c r="PSM13" s="27"/>
      <c r="PSN13" s="27"/>
      <c r="PST13" s="27"/>
      <c r="PSU13" s="27"/>
      <c r="PSV13" s="27"/>
      <c r="PTB13" s="27"/>
      <c r="PTC13" s="27"/>
      <c r="PTD13" s="27"/>
      <c r="PTJ13" s="27"/>
      <c r="PTK13" s="27"/>
      <c r="PTL13" s="27"/>
      <c r="PTR13" s="27"/>
      <c r="PTS13" s="27"/>
      <c r="PTT13" s="27"/>
      <c r="PTZ13" s="27"/>
      <c r="PUA13" s="27"/>
      <c r="PUB13" s="27"/>
      <c r="PUH13" s="27"/>
      <c r="PUI13" s="27"/>
      <c r="PUJ13" s="27"/>
      <c r="PUP13" s="27"/>
      <c r="PUQ13" s="27"/>
      <c r="PUR13" s="27"/>
      <c r="PUX13" s="27"/>
      <c r="PUY13" s="27"/>
      <c r="PUZ13" s="27"/>
      <c r="PVF13" s="27"/>
      <c r="PVG13" s="27"/>
      <c r="PVH13" s="27"/>
      <c r="PVN13" s="27"/>
      <c r="PVO13" s="27"/>
      <c r="PVP13" s="27"/>
      <c r="PVV13" s="27"/>
      <c r="PVW13" s="27"/>
      <c r="PVX13" s="27"/>
      <c r="PWD13" s="27"/>
      <c r="PWE13" s="27"/>
      <c r="PWF13" s="27"/>
      <c r="PWL13" s="27"/>
      <c r="PWM13" s="27"/>
      <c r="PWN13" s="27"/>
      <c r="PWT13" s="27"/>
      <c r="PWU13" s="27"/>
      <c r="PWV13" s="27"/>
      <c r="PXB13" s="27"/>
      <c r="PXC13" s="27"/>
      <c r="PXD13" s="27"/>
      <c r="PXJ13" s="27"/>
      <c r="PXK13" s="27"/>
      <c r="PXL13" s="27"/>
      <c r="PXR13" s="27"/>
      <c r="PXS13" s="27"/>
      <c r="PXT13" s="27"/>
      <c r="PXZ13" s="27"/>
      <c r="PYA13" s="27"/>
      <c r="PYB13" s="27"/>
      <c r="PYH13" s="27"/>
      <c r="PYI13" s="27"/>
      <c r="PYJ13" s="27"/>
      <c r="PYP13" s="27"/>
      <c r="PYQ13" s="27"/>
      <c r="PYR13" s="27"/>
      <c r="PYX13" s="27"/>
      <c r="PYY13" s="27"/>
      <c r="PYZ13" s="27"/>
      <c r="PZF13" s="27"/>
      <c r="PZG13" s="27"/>
      <c r="PZH13" s="27"/>
      <c r="PZN13" s="27"/>
      <c r="PZO13" s="27"/>
      <c r="PZP13" s="27"/>
      <c r="PZV13" s="27"/>
      <c r="PZW13" s="27"/>
      <c r="PZX13" s="27"/>
      <c r="QAD13" s="27"/>
      <c r="QAE13" s="27"/>
      <c r="QAF13" s="27"/>
      <c r="QAL13" s="27"/>
      <c r="QAM13" s="27"/>
      <c r="QAN13" s="27"/>
      <c r="QAT13" s="27"/>
      <c r="QAU13" s="27"/>
      <c r="QAV13" s="27"/>
      <c r="QBB13" s="27"/>
      <c r="QBC13" s="27"/>
      <c r="QBD13" s="27"/>
      <c r="QBJ13" s="27"/>
      <c r="QBK13" s="27"/>
      <c r="QBL13" s="27"/>
      <c r="QBR13" s="27"/>
      <c r="QBS13" s="27"/>
      <c r="QBT13" s="27"/>
      <c r="QBZ13" s="27"/>
      <c r="QCA13" s="27"/>
      <c r="QCB13" s="27"/>
      <c r="QCH13" s="27"/>
      <c r="QCI13" s="27"/>
      <c r="QCJ13" s="27"/>
      <c r="QCP13" s="27"/>
      <c r="QCQ13" s="27"/>
      <c r="QCR13" s="27"/>
      <c r="QCX13" s="27"/>
      <c r="QCY13" s="27"/>
      <c r="QCZ13" s="27"/>
      <c r="QDF13" s="27"/>
      <c r="QDG13" s="27"/>
      <c r="QDH13" s="27"/>
      <c r="QDN13" s="27"/>
      <c r="QDO13" s="27"/>
      <c r="QDP13" s="27"/>
      <c r="QDV13" s="27"/>
      <c r="QDW13" s="27"/>
      <c r="QDX13" s="27"/>
      <c r="QED13" s="27"/>
      <c r="QEE13" s="27"/>
      <c r="QEF13" s="27"/>
      <c r="QEL13" s="27"/>
      <c r="QEM13" s="27"/>
      <c r="QEN13" s="27"/>
      <c r="QET13" s="27"/>
      <c r="QEU13" s="27"/>
      <c r="QEV13" s="27"/>
      <c r="QFB13" s="27"/>
      <c r="QFC13" s="27"/>
      <c r="QFD13" s="27"/>
      <c r="QFJ13" s="27"/>
      <c r="QFK13" s="27"/>
      <c r="QFL13" s="27"/>
      <c r="QFR13" s="27"/>
      <c r="QFS13" s="27"/>
      <c r="QFT13" s="27"/>
      <c r="QFZ13" s="27"/>
      <c r="QGA13" s="27"/>
      <c r="QGB13" s="27"/>
      <c r="QGH13" s="27"/>
      <c r="QGI13" s="27"/>
      <c r="QGJ13" s="27"/>
      <c r="QGP13" s="27"/>
      <c r="QGQ13" s="27"/>
      <c r="QGR13" s="27"/>
      <c r="QGX13" s="27"/>
      <c r="QGY13" s="27"/>
      <c r="QGZ13" s="27"/>
      <c r="QHF13" s="27"/>
      <c r="QHG13" s="27"/>
      <c r="QHH13" s="27"/>
      <c r="QHN13" s="27"/>
      <c r="QHO13" s="27"/>
      <c r="QHP13" s="27"/>
      <c r="QHV13" s="27"/>
      <c r="QHW13" s="27"/>
      <c r="QHX13" s="27"/>
      <c r="QID13" s="27"/>
      <c r="QIE13" s="27"/>
      <c r="QIF13" s="27"/>
      <c r="QIL13" s="27"/>
      <c r="QIM13" s="27"/>
      <c r="QIN13" s="27"/>
      <c r="QIT13" s="27"/>
      <c r="QIU13" s="27"/>
      <c r="QIV13" s="27"/>
      <c r="QJB13" s="27"/>
      <c r="QJC13" s="27"/>
      <c r="QJD13" s="27"/>
      <c r="QJJ13" s="27"/>
      <c r="QJK13" s="27"/>
      <c r="QJL13" s="27"/>
      <c r="QJR13" s="27"/>
      <c r="QJS13" s="27"/>
      <c r="QJT13" s="27"/>
      <c r="QJZ13" s="27"/>
      <c r="QKA13" s="27"/>
      <c r="QKB13" s="27"/>
      <c r="QKH13" s="27"/>
      <c r="QKI13" s="27"/>
      <c r="QKJ13" s="27"/>
      <c r="QKP13" s="27"/>
      <c r="QKQ13" s="27"/>
      <c r="QKR13" s="27"/>
      <c r="QKX13" s="27"/>
      <c r="QKY13" s="27"/>
      <c r="QKZ13" s="27"/>
      <c r="QLF13" s="27"/>
      <c r="QLG13" s="27"/>
      <c r="QLH13" s="27"/>
      <c r="QLN13" s="27"/>
      <c r="QLO13" s="27"/>
      <c r="QLP13" s="27"/>
      <c r="QLV13" s="27"/>
      <c r="QLW13" s="27"/>
      <c r="QLX13" s="27"/>
      <c r="QMD13" s="27"/>
      <c r="QME13" s="27"/>
      <c r="QMF13" s="27"/>
      <c r="QML13" s="27"/>
      <c r="QMM13" s="27"/>
      <c r="QMN13" s="27"/>
      <c r="QMT13" s="27"/>
      <c r="QMU13" s="27"/>
      <c r="QMV13" s="27"/>
      <c r="QNB13" s="27"/>
      <c r="QNC13" s="27"/>
      <c r="QND13" s="27"/>
      <c r="QNJ13" s="27"/>
      <c r="QNK13" s="27"/>
      <c r="QNL13" s="27"/>
      <c r="QNR13" s="27"/>
      <c r="QNS13" s="27"/>
      <c r="QNT13" s="27"/>
      <c r="QNZ13" s="27"/>
      <c r="QOA13" s="27"/>
      <c r="QOB13" s="27"/>
      <c r="QOH13" s="27"/>
      <c r="QOI13" s="27"/>
      <c r="QOJ13" s="27"/>
      <c r="QOP13" s="27"/>
      <c r="QOQ13" s="27"/>
      <c r="QOR13" s="27"/>
      <c r="QOX13" s="27"/>
      <c r="QOY13" s="27"/>
      <c r="QOZ13" s="27"/>
      <c r="QPF13" s="27"/>
      <c r="QPG13" s="27"/>
      <c r="QPH13" s="27"/>
      <c r="QPN13" s="27"/>
      <c r="QPO13" s="27"/>
      <c r="QPP13" s="27"/>
      <c r="QPV13" s="27"/>
      <c r="QPW13" s="27"/>
      <c r="QPX13" s="27"/>
      <c r="QQD13" s="27"/>
      <c r="QQE13" s="27"/>
      <c r="QQF13" s="27"/>
      <c r="QQL13" s="27"/>
      <c r="QQM13" s="27"/>
      <c r="QQN13" s="27"/>
      <c r="QQT13" s="27"/>
      <c r="QQU13" s="27"/>
      <c r="QQV13" s="27"/>
      <c r="QRB13" s="27"/>
      <c r="QRC13" s="27"/>
      <c r="QRD13" s="27"/>
      <c r="QRJ13" s="27"/>
      <c r="QRK13" s="27"/>
      <c r="QRL13" s="27"/>
      <c r="QRR13" s="27"/>
      <c r="QRS13" s="27"/>
      <c r="QRT13" s="27"/>
      <c r="QRZ13" s="27"/>
      <c r="QSA13" s="27"/>
      <c r="QSB13" s="27"/>
      <c r="QSH13" s="27"/>
      <c r="QSI13" s="27"/>
      <c r="QSJ13" s="27"/>
      <c r="QSP13" s="27"/>
      <c r="QSQ13" s="27"/>
      <c r="QSR13" s="27"/>
      <c r="QSX13" s="27"/>
      <c r="QSY13" s="27"/>
      <c r="QSZ13" s="27"/>
      <c r="QTF13" s="27"/>
      <c r="QTG13" s="27"/>
      <c r="QTH13" s="27"/>
      <c r="QTN13" s="27"/>
      <c r="QTO13" s="27"/>
      <c r="QTP13" s="27"/>
      <c r="QTV13" s="27"/>
      <c r="QTW13" s="27"/>
      <c r="QTX13" s="27"/>
      <c r="QUD13" s="27"/>
      <c r="QUE13" s="27"/>
      <c r="QUF13" s="27"/>
      <c r="QUL13" s="27"/>
      <c r="QUM13" s="27"/>
      <c r="QUN13" s="27"/>
      <c r="QUT13" s="27"/>
      <c r="QUU13" s="27"/>
      <c r="QUV13" s="27"/>
      <c r="QVB13" s="27"/>
      <c r="QVC13" s="27"/>
      <c r="QVD13" s="27"/>
      <c r="QVJ13" s="27"/>
      <c r="QVK13" s="27"/>
      <c r="QVL13" s="27"/>
      <c r="QVR13" s="27"/>
      <c r="QVS13" s="27"/>
      <c r="QVT13" s="27"/>
      <c r="QVZ13" s="27"/>
      <c r="QWA13" s="27"/>
      <c r="QWB13" s="27"/>
      <c r="QWH13" s="27"/>
      <c r="QWI13" s="27"/>
      <c r="QWJ13" s="27"/>
      <c r="QWP13" s="27"/>
      <c r="QWQ13" s="27"/>
      <c r="QWR13" s="27"/>
      <c r="QWX13" s="27"/>
      <c r="QWY13" s="27"/>
      <c r="QWZ13" s="27"/>
      <c r="QXF13" s="27"/>
      <c r="QXG13" s="27"/>
      <c r="QXH13" s="27"/>
      <c r="QXN13" s="27"/>
      <c r="QXO13" s="27"/>
      <c r="QXP13" s="27"/>
      <c r="QXV13" s="27"/>
      <c r="QXW13" s="27"/>
      <c r="QXX13" s="27"/>
      <c r="QYD13" s="27"/>
      <c r="QYE13" s="27"/>
      <c r="QYF13" s="27"/>
      <c r="QYL13" s="27"/>
      <c r="QYM13" s="27"/>
      <c r="QYN13" s="27"/>
      <c r="QYT13" s="27"/>
      <c r="QYU13" s="27"/>
      <c r="QYV13" s="27"/>
      <c r="QZB13" s="27"/>
      <c r="QZC13" s="27"/>
      <c r="QZD13" s="27"/>
      <c r="QZJ13" s="27"/>
      <c r="QZK13" s="27"/>
      <c r="QZL13" s="27"/>
      <c r="QZR13" s="27"/>
      <c r="QZS13" s="27"/>
      <c r="QZT13" s="27"/>
      <c r="QZZ13" s="27"/>
      <c r="RAA13" s="27"/>
      <c r="RAB13" s="27"/>
      <c r="RAH13" s="27"/>
      <c r="RAI13" s="27"/>
      <c r="RAJ13" s="27"/>
      <c r="RAP13" s="27"/>
      <c r="RAQ13" s="27"/>
      <c r="RAR13" s="27"/>
      <c r="RAX13" s="27"/>
      <c r="RAY13" s="27"/>
      <c r="RAZ13" s="27"/>
      <c r="RBF13" s="27"/>
      <c r="RBG13" s="27"/>
      <c r="RBH13" s="27"/>
      <c r="RBN13" s="27"/>
      <c r="RBO13" s="27"/>
      <c r="RBP13" s="27"/>
      <c r="RBV13" s="27"/>
      <c r="RBW13" s="27"/>
      <c r="RBX13" s="27"/>
      <c r="RCD13" s="27"/>
      <c r="RCE13" s="27"/>
      <c r="RCF13" s="27"/>
      <c r="RCL13" s="27"/>
      <c r="RCM13" s="27"/>
      <c r="RCN13" s="27"/>
      <c r="RCT13" s="27"/>
      <c r="RCU13" s="27"/>
      <c r="RCV13" s="27"/>
      <c r="RDB13" s="27"/>
      <c r="RDC13" s="27"/>
      <c r="RDD13" s="27"/>
      <c r="RDJ13" s="27"/>
      <c r="RDK13" s="27"/>
      <c r="RDL13" s="27"/>
      <c r="RDR13" s="27"/>
      <c r="RDS13" s="27"/>
      <c r="RDT13" s="27"/>
      <c r="RDZ13" s="27"/>
      <c r="REA13" s="27"/>
      <c r="REB13" s="27"/>
      <c r="REH13" s="27"/>
      <c r="REI13" s="27"/>
      <c r="REJ13" s="27"/>
      <c r="REP13" s="27"/>
      <c r="REQ13" s="27"/>
      <c r="RER13" s="27"/>
      <c r="REX13" s="27"/>
      <c r="REY13" s="27"/>
      <c r="REZ13" s="27"/>
      <c r="RFF13" s="27"/>
      <c r="RFG13" s="27"/>
      <c r="RFH13" s="27"/>
      <c r="RFN13" s="27"/>
      <c r="RFO13" s="27"/>
      <c r="RFP13" s="27"/>
      <c r="RFV13" s="27"/>
      <c r="RFW13" s="27"/>
      <c r="RFX13" s="27"/>
      <c r="RGD13" s="27"/>
      <c r="RGE13" s="27"/>
      <c r="RGF13" s="27"/>
      <c r="RGL13" s="27"/>
      <c r="RGM13" s="27"/>
      <c r="RGN13" s="27"/>
      <c r="RGT13" s="27"/>
      <c r="RGU13" s="27"/>
      <c r="RGV13" s="27"/>
      <c r="RHB13" s="27"/>
      <c r="RHC13" s="27"/>
      <c r="RHD13" s="27"/>
      <c r="RHJ13" s="27"/>
      <c r="RHK13" s="27"/>
      <c r="RHL13" s="27"/>
      <c r="RHR13" s="27"/>
      <c r="RHS13" s="27"/>
      <c r="RHT13" s="27"/>
      <c r="RHZ13" s="27"/>
      <c r="RIA13" s="27"/>
      <c r="RIB13" s="27"/>
      <c r="RIH13" s="27"/>
      <c r="RII13" s="27"/>
      <c r="RIJ13" s="27"/>
      <c r="RIP13" s="27"/>
      <c r="RIQ13" s="27"/>
      <c r="RIR13" s="27"/>
      <c r="RIX13" s="27"/>
      <c r="RIY13" s="27"/>
      <c r="RIZ13" s="27"/>
      <c r="RJF13" s="27"/>
      <c r="RJG13" s="27"/>
      <c r="RJH13" s="27"/>
      <c r="RJN13" s="27"/>
      <c r="RJO13" s="27"/>
      <c r="RJP13" s="27"/>
      <c r="RJV13" s="27"/>
      <c r="RJW13" s="27"/>
      <c r="RJX13" s="27"/>
      <c r="RKD13" s="27"/>
      <c r="RKE13" s="27"/>
      <c r="RKF13" s="27"/>
      <c r="RKL13" s="27"/>
      <c r="RKM13" s="27"/>
      <c r="RKN13" s="27"/>
      <c r="RKT13" s="27"/>
      <c r="RKU13" s="27"/>
      <c r="RKV13" s="27"/>
      <c r="RLB13" s="27"/>
      <c r="RLC13" s="27"/>
      <c r="RLD13" s="27"/>
      <c r="RLJ13" s="27"/>
      <c r="RLK13" s="27"/>
      <c r="RLL13" s="27"/>
      <c r="RLR13" s="27"/>
      <c r="RLS13" s="27"/>
      <c r="RLT13" s="27"/>
      <c r="RLZ13" s="27"/>
      <c r="RMA13" s="27"/>
      <c r="RMB13" s="27"/>
      <c r="RMH13" s="27"/>
      <c r="RMI13" s="27"/>
      <c r="RMJ13" s="27"/>
      <c r="RMP13" s="27"/>
      <c r="RMQ13" s="27"/>
      <c r="RMR13" s="27"/>
      <c r="RMX13" s="27"/>
      <c r="RMY13" s="27"/>
      <c r="RMZ13" s="27"/>
      <c r="RNF13" s="27"/>
      <c r="RNG13" s="27"/>
      <c r="RNH13" s="27"/>
      <c r="RNN13" s="27"/>
      <c r="RNO13" s="27"/>
      <c r="RNP13" s="27"/>
      <c r="RNV13" s="27"/>
      <c r="RNW13" s="27"/>
      <c r="RNX13" s="27"/>
      <c r="ROD13" s="27"/>
      <c r="ROE13" s="27"/>
      <c r="ROF13" s="27"/>
      <c r="ROL13" s="27"/>
      <c r="ROM13" s="27"/>
      <c r="RON13" s="27"/>
      <c r="ROT13" s="27"/>
      <c r="ROU13" s="27"/>
      <c r="ROV13" s="27"/>
      <c r="RPB13" s="27"/>
      <c r="RPC13" s="27"/>
      <c r="RPD13" s="27"/>
      <c r="RPJ13" s="27"/>
      <c r="RPK13" s="27"/>
      <c r="RPL13" s="27"/>
      <c r="RPR13" s="27"/>
      <c r="RPS13" s="27"/>
      <c r="RPT13" s="27"/>
      <c r="RPZ13" s="27"/>
      <c r="RQA13" s="27"/>
      <c r="RQB13" s="27"/>
      <c r="RQH13" s="27"/>
      <c r="RQI13" s="27"/>
      <c r="RQJ13" s="27"/>
      <c r="RQP13" s="27"/>
      <c r="RQQ13" s="27"/>
      <c r="RQR13" s="27"/>
      <c r="RQX13" s="27"/>
      <c r="RQY13" s="27"/>
      <c r="RQZ13" s="27"/>
      <c r="RRF13" s="27"/>
      <c r="RRG13" s="27"/>
      <c r="RRH13" s="27"/>
      <c r="RRN13" s="27"/>
      <c r="RRO13" s="27"/>
      <c r="RRP13" s="27"/>
      <c r="RRV13" s="27"/>
      <c r="RRW13" s="27"/>
      <c r="RRX13" s="27"/>
      <c r="RSD13" s="27"/>
      <c r="RSE13" s="27"/>
      <c r="RSF13" s="27"/>
      <c r="RSL13" s="27"/>
      <c r="RSM13" s="27"/>
      <c r="RSN13" s="27"/>
      <c r="RST13" s="27"/>
      <c r="RSU13" s="27"/>
      <c r="RSV13" s="27"/>
      <c r="RTB13" s="27"/>
      <c r="RTC13" s="27"/>
      <c r="RTD13" s="27"/>
      <c r="RTJ13" s="27"/>
      <c r="RTK13" s="27"/>
      <c r="RTL13" s="27"/>
      <c r="RTR13" s="27"/>
      <c r="RTS13" s="27"/>
      <c r="RTT13" s="27"/>
      <c r="RTZ13" s="27"/>
      <c r="RUA13" s="27"/>
      <c r="RUB13" s="27"/>
      <c r="RUH13" s="27"/>
      <c r="RUI13" s="27"/>
      <c r="RUJ13" s="27"/>
      <c r="RUP13" s="27"/>
      <c r="RUQ13" s="27"/>
      <c r="RUR13" s="27"/>
      <c r="RUX13" s="27"/>
      <c r="RUY13" s="27"/>
      <c r="RUZ13" s="27"/>
      <c r="RVF13" s="27"/>
      <c r="RVG13" s="27"/>
      <c r="RVH13" s="27"/>
      <c r="RVN13" s="27"/>
      <c r="RVO13" s="27"/>
      <c r="RVP13" s="27"/>
      <c r="RVV13" s="27"/>
      <c r="RVW13" s="27"/>
      <c r="RVX13" s="27"/>
      <c r="RWD13" s="27"/>
      <c r="RWE13" s="27"/>
      <c r="RWF13" s="27"/>
      <c r="RWL13" s="27"/>
      <c r="RWM13" s="27"/>
      <c r="RWN13" s="27"/>
      <c r="RWT13" s="27"/>
      <c r="RWU13" s="27"/>
      <c r="RWV13" s="27"/>
      <c r="RXB13" s="27"/>
      <c r="RXC13" s="27"/>
      <c r="RXD13" s="27"/>
      <c r="RXJ13" s="27"/>
      <c r="RXK13" s="27"/>
      <c r="RXL13" s="27"/>
      <c r="RXR13" s="27"/>
      <c r="RXS13" s="27"/>
      <c r="RXT13" s="27"/>
      <c r="RXZ13" s="27"/>
      <c r="RYA13" s="27"/>
      <c r="RYB13" s="27"/>
      <c r="RYH13" s="27"/>
      <c r="RYI13" s="27"/>
      <c r="RYJ13" s="27"/>
      <c r="RYP13" s="27"/>
      <c r="RYQ13" s="27"/>
      <c r="RYR13" s="27"/>
      <c r="RYX13" s="27"/>
      <c r="RYY13" s="27"/>
      <c r="RYZ13" s="27"/>
      <c r="RZF13" s="27"/>
      <c r="RZG13" s="27"/>
      <c r="RZH13" s="27"/>
      <c r="RZN13" s="27"/>
      <c r="RZO13" s="27"/>
      <c r="RZP13" s="27"/>
      <c r="RZV13" s="27"/>
      <c r="RZW13" s="27"/>
      <c r="RZX13" s="27"/>
      <c r="SAD13" s="27"/>
      <c r="SAE13" s="27"/>
      <c r="SAF13" s="27"/>
      <c r="SAL13" s="27"/>
      <c r="SAM13" s="27"/>
      <c r="SAN13" s="27"/>
      <c r="SAT13" s="27"/>
      <c r="SAU13" s="27"/>
      <c r="SAV13" s="27"/>
      <c r="SBB13" s="27"/>
      <c r="SBC13" s="27"/>
      <c r="SBD13" s="27"/>
      <c r="SBJ13" s="27"/>
      <c r="SBK13" s="27"/>
      <c r="SBL13" s="27"/>
      <c r="SBR13" s="27"/>
      <c r="SBS13" s="27"/>
      <c r="SBT13" s="27"/>
      <c r="SBZ13" s="27"/>
      <c r="SCA13" s="27"/>
      <c r="SCB13" s="27"/>
      <c r="SCH13" s="27"/>
      <c r="SCI13" s="27"/>
      <c r="SCJ13" s="27"/>
      <c r="SCP13" s="27"/>
      <c r="SCQ13" s="27"/>
      <c r="SCR13" s="27"/>
      <c r="SCX13" s="27"/>
      <c r="SCY13" s="27"/>
      <c r="SCZ13" s="27"/>
      <c r="SDF13" s="27"/>
      <c r="SDG13" s="27"/>
      <c r="SDH13" s="27"/>
      <c r="SDN13" s="27"/>
      <c r="SDO13" s="27"/>
      <c r="SDP13" s="27"/>
      <c r="SDV13" s="27"/>
      <c r="SDW13" s="27"/>
      <c r="SDX13" s="27"/>
      <c r="SED13" s="27"/>
      <c r="SEE13" s="27"/>
      <c r="SEF13" s="27"/>
      <c r="SEL13" s="27"/>
      <c r="SEM13" s="27"/>
      <c r="SEN13" s="27"/>
      <c r="SET13" s="27"/>
      <c r="SEU13" s="27"/>
      <c r="SEV13" s="27"/>
      <c r="SFB13" s="27"/>
      <c r="SFC13" s="27"/>
      <c r="SFD13" s="27"/>
      <c r="SFJ13" s="27"/>
      <c r="SFK13" s="27"/>
      <c r="SFL13" s="27"/>
      <c r="SFR13" s="27"/>
      <c r="SFS13" s="27"/>
      <c r="SFT13" s="27"/>
      <c r="SFZ13" s="27"/>
      <c r="SGA13" s="27"/>
      <c r="SGB13" s="27"/>
      <c r="SGH13" s="27"/>
      <c r="SGI13" s="27"/>
      <c r="SGJ13" s="27"/>
      <c r="SGP13" s="27"/>
      <c r="SGQ13" s="27"/>
      <c r="SGR13" s="27"/>
      <c r="SGX13" s="27"/>
      <c r="SGY13" s="27"/>
      <c r="SGZ13" s="27"/>
      <c r="SHF13" s="27"/>
      <c r="SHG13" s="27"/>
      <c r="SHH13" s="27"/>
      <c r="SHN13" s="27"/>
      <c r="SHO13" s="27"/>
      <c r="SHP13" s="27"/>
      <c r="SHV13" s="27"/>
      <c r="SHW13" s="27"/>
      <c r="SHX13" s="27"/>
      <c r="SID13" s="27"/>
      <c r="SIE13" s="27"/>
      <c r="SIF13" s="27"/>
      <c r="SIL13" s="27"/>
      <c r="SIM13" s="27"/>
      <c r="SIN13" s="27"/>
      <c r="SIT13" s="27"/>
      <c r="SIU13" s="27"/>
      <c r="SIV13" s="27"/>
      <c r="SJB13" s="27"/>
      <c r="SJC13" s="27"/>
      <c r="SJD13" s="27"/>
      <c r="SJJ13" s="27"/>
      <c r="SJK13" s="27"/>
      <c r="SJL13" s="27"/>
      <c r="SJR13" s="27"/>
      <c r="SJS13" s="27"/>
      <c r="SJT13" s="27"/>
      <c r="SJZ13" s="27"/>
      <c r="SKA13" s="27"/>
      <c r="SKB13" s="27"/>
      <c r="SKH13" s="27"/>
      <c r="SKI13" s="27"/>
      <c r="SKJ13" s="27"/>
      <c r="SKP13" s="27"/>
      <c r="SKQ13" s="27"/>
      <c r="SKR13" s="27"/>
      <c r="SKX13" s="27"/>
      <c r="SKY13" s="27"/>
      <c r="SKZ13" s="27"/>
      <c r="SLF13" s="27"/>
      <c r="SLG13" s="27"/>
      <c r="SLH13" s="27"/>
      <c r="SLN13" s="27"/>
      <c r="SLO13" s="27"/>
      <c r="SLP13" s="27"/>
      <c r="SLV13" s="27"/>
      <c r="SLW13" s="27"/>
      <c r="SLX13" s="27"/>
      <c r="SMD13" s="27"/>
      <c r="SME13" s="27"/>
      <c r="SMF13" s="27"/>
      <c r="SML13" s="27"/>
      <c r="SMM13" s="27"/>
      <c r="SMN13" s="27"/>
      <c r="SMT13" s="27"/>
      <c r="SMU13" s="27"/>
      <c r="SMV13" s="27"/>
      <c r="SNB13" s="27"/>
      <c r="SNC13" s="27"/>
      <c r="SND13" s="27"/>
      <c r="SNJ13" s="27"/>
      <c r="SNK13" s="27"/>
      <c r="SNL13" s="27"/>
      <c r="SNR13" s="27"/>
      <c r="SNS13" s="27"/>
      <c r="SNT13" s="27"/>
      <c r="SNZ13" s="27"/>
      <c r="SOA13" s="27"/>
      <c r="SOB13" s="27"/>
      <c r="SOH13" s="27"/>
      <c r="SOI13" s="27"/>
      <c r="SOJ13" s="27"/>
      <c r="SOP13" s="27"/>
      <c r="SOQ13" s="27"/>
      <c r="SOR13" s="27"/>
      <c r="SOX13" s="27"/>
      <c r="SOY13" s="27"/>
      <c r="SOZ13" s="27"/>
      <c r="SPF13" s="27"/>
      <c r="SPG13" s="27"/>
      <c r="SPH13" s="27"/>
      <c r="SPN13" s="27"/>
      <c r="SPO13" s="27"/>
      <c r="SPP13" s="27"/>
      <c r="SPV13" s="27"/>
      <c r="SPW13" s="27"/>
      <c r="SPX13" s="27"/>
      <c r="SQD13" s="27"/>
      <c r="SQE13" s="27"/>
      <c r="SQF13" s="27"/>
      <c r="SQL13" s="27"/>
      <c r="SQM13" s="27"/>
      <c r="SQN13" s="27"/>
      <c r="SQT13" s="27"/>
      <c r="SQU13" s="27"/>
      <c r="SQV13" s="27"/>
      <c r="SRB13" s="27"/>
      <c r="SRC13" s="27"/>
      <c r="SRD13" s="27"/>
      <c r="SRJ13" s="27"/>
      <c r="SRK13" s="27"/>
      <c r="SRL13" s="27"/>
      <c r="SRR13" s="27"/>
      <c r="SRS13" s="27"/>
      <c r="SRT13" s="27"/>
      <c r="SRZ13" s="27"/>
      <c r="SSA13" s="27"/>
      <c r="SSB13" s="27"/>
      <c r="SSH13" s="27"/>
      <c r="SSI13" s="27"/>
      <c r="SSJ13" s="27"/>
      <c r="SSP13" s="27"/>
      <c r="SSQ13" s="27"/>
      <c r="SSR13" s="27"/>
      <c r="SSX13" s="27"/>
      <c r="SSY13" s="27"/>
      <c r="SSZ13" s="27"/>
      <c r="STF13" s="27"/>
      <c r="STG13" s="27"/>
      <c r="STH13" s="27"/>
      <c r="STN13" s="27"/>
      <c r="STO13" s="27"/>
      <c r="STP13" s="27"/>
      <c r="STV13" s="27"/>
      <c r="STW13" s="27"/>
      <c r="STX13" s="27"/>
      <c r="SUD13" s="27"/>
      <c r="SUE13" s="27"/>
      <c r="SUF13" s="27"/>
      <c r="SUL13" s="27"/>
      <c r="SUM13" s="27"/>
      <c r="SUN13" s="27"/>
      <c r="SUT13" s="27"/>
      <c r="SUU13" s="27"/>
      <c r="SUV13" s="27"/>
      <c r="SVB13" s="27"/>
      <c r="SVC13" s="27"/>
      <c r="SVD13" s="27"/>
      <c r="SVJ13" s="27"/>
      <c r="SVK13" s="27"/>
      <c r="SVL13" s="27"/>
      <c r="SVR13" s="27"/>
      <c r="SVS13" s="27"/>
      <c r="SVT13" s="27"/>
      <c r="SVZ13" s="27"/>
      <c r="SWA13" s="27"/>
      <c r="SWB13" s="27"/>
      <c r="SWH13" s="27"/>
      <c r="SWI13" s="27"/>
      <c r="SWJ13" s="27"/>
      <c r="SWP13" s="27"/>
      <c r="SWQ13" s="27"/>
      <c r="SWR13" s="27"/>
      <c r="SWX13" s="27"/>
      <c r="SWY13" s="27"/>
      <c r="SWZ13" s="27"/>
      <c r="SXF13" s="27"/>
      <c r="SXG13" s="27"/>
      <c r="SXH13" s="27"/>
      <c r="SXN13" s="27"/>
      <c r="SXO13" s="27"/>
      <c r="SXP13" s="27"/>
      <c r="SXV13" s="27"/>
      <c r="SXW13" s="27"/>
      <c r="SXX13" s="27"/>
      <c r="SYD13" s="27"/>
      <c r="SYE13" s="27"/>
      <c r="SYF13" s="27"/>
      <c r="SYL13" s="27"/>
      <c r="SYM13" s="27"/>
      <c r="SYN13" s="27"/>
      <c r="SYT13" s="27"/>
      <c r="SYU13" s="27"/>
      <c r="SYV13" s="27"/>
      <c r="SZB13" s="27"/>
      <c r="SZC13" s="27"/>
      <c r="SZD13" s="27"/>
      <c r="SZJ13" s="27"/>
      <c r="SZK13" s="27"/>
      <c r="SZL13" s="27"/>
      <c r="SZR13" s="27"/>
      <c r="SZS13" s="27"/>
      <c r="SZT13" s="27"/>
      <c r="SZZ13" s="27"/>
      <c r="TAA13" s="27"/>
      <c r="TAB13" s="27"/>
      <c r="TAH13" s="27"/>
      <c r="TAI13" s="27"/>
      <c r="TAJ13" s="27"/>
      <c r="TAP13" s="27"/>
      <c r="TAQ13" s="27"/>
      <c r="TAR13" s="27"/>
      <c r="TAX13" s="27"/>
      <c r="TAY13" s="27"/>
      <c r="TAZ13" s="27"/>
      <c r="TBF13" s="27"/>
      <c r="TBG13" s="27"/>
      <c r="TBH13" s="27"/>
      <c r="TBN13" s="27"/>
      <c r="TBO13" s="27"/>
      <c r="TBP13" s="27"/>
      <c r="TBV13" s="27"/>
      <c r="TBW13" s="27"/>
      <c r="TBX13" s="27"/>
      <c r="TCD13" s="27"/>
      <c r="TCE13" s="27"/>
      <c r="TCF13" s="27"/>
      <c r="TCL13" s="27"/>
      <c r="TCM13" s="27"/>
      <c r="TCN13" s="27"/>
      <c r="TCT13" s="27"/>
      <c r="TCU13" s="27"/>
      <c r="TCV13" s="27"/>
      <c r="TDB13" s="27"/>
      <c r="TDC13" s="27"/>
      <c r="TDD13" s="27"/>
      <c r="TDJ13" s="27"/>
      <c r="TDK13" s="27"/>
      <c r="TDL13" s="27"/>
      <c r="TDR13" s="27"/>
      <c r="TDS13" s="27"/>
      <c r="TDT13" s="27"/>
      <c r="TDZ13" s="27"/>
      <c r="TEA13" s="27"/>
      <c r="TEB13" s="27"/>
      <c r="TEH13" s="27"/>
      <c r="TEI13" s="27"/>
      <c r="TEJ13" s="27"/>
      <c r="TEP13" s="27"/>
      <c r="TEQ13" s="27"/>
      <c r="TER13" s="27"/>
      <c r="TEX13" s="27"/>
      <c r="TEY13" s="27"/>
      <c r="TEZ13" s="27"/>
      <c r="TFF13" s="27"/>
      <c r="TFG13" s="27"/>
      <c r="TFH13" s="27"/>
      <c r="TFN13" s="27"/>
      <c r="TFO13" s="27"/>
      <c r="TFP13" s="27"/>
      <c r="TFV13" s="27"/>
      <c r="TFW13" s="27"/>
      <c r="TFX13" s="27"/>
      <c r="TGD13" s="27"/>
      <c r="TGE13" s="27"/>
      <c r="TGF13" s="27"/>
      <c r="TGL13" s="27"/>
      <c r="TGM13" s="27"/>
      <c r="TGN13" s="27"/>
      <c r="TGT13" s="27"/>
      <c r="TGU13" s="27"/>
      <c r="TGV13" s="27"/>
      <c r="THB13" s="27"/>
      <c r="THC13" s="27"/>
      <c r="THD13" s="27"/>
      <c r="THJ13" s="27"/>
      <c r="THK13" s="27"/>
      <c r="THL13" s="27"/>
      <c r="THR13" s="27"/>
      <c r="THS13" s="27"/>
      <c r="THT13" s="27"/>
      <c r="THZ13" s="27"/>
      <c r="TIA13" s="27"/>
      <c r="TIB13" s="27"/>
      <c r="TIH13" s="27"/>
      <c r="TII13" s="27"/>
      <c r="TIJ13" s="27"/>
      <c r="TIP13" s="27"/>
      <c r="TIQ13" s="27"/>
      <c r="TIR13" s="27"/>
      <c r="TIX13" s="27"/>
      <c r="TIY13" s="27"/>
      <c r="TIZ13" s="27"/>
      <c r="TJF13" s="27"/>
      <c r="TJG13" s="27"/>
      <c r="TJH13" s="27"/>
      <c r="TJN13" s="27"/>
      <c r="TJO13" s="27"/>
      <c r="TJP13" s="27"/>
      <c r="TJV13" s="27"/>
      <c r="TJW13" s="27"/>
      <c r="TJX13" s="27"/>
      <c r="TKD13" s="27"/>
      <c r="TKE13" s="27"/>
      <c r="TKF13" s="27"/>
      <c r="TKL13" s="27"/>
      <c r="TKM13" s="27"/>
      <c r="TKN13" s="27"/>
      <c r="TKT13" s="27"/>
      <c r="TKU13" s="27"/>
      <c r="TKV13" s="27"/>
      <c r="TLB13" s="27"/>
      <c r="TLC13" s="27"/>
      <c r="TLD13" s="27"/>
      <c r="TLJ13" s="27"/>
      <c r="TLK13" s="27"/>
      <c r="TLL13" s="27"/>
      <c r="TLR13" s="27"/>
      <c r="TLS13" s="27"/>
      <c r="TLT13" s="27"/>
      <c r="TLZ13" s="27"/>
      <c r="TMA13" s="27"/>
      <c r="TMB13" s="27"/>
      <c r="TMH13" s="27"/>
      <c r="TMI13" s="27"/>
      <c r="TMJ13" s="27"/>
      <c r="TMP13" s="27"/>
      <c r="TMQ13" s="27"/>
      <c r="TMR13" s="27"/>
      <c r="TMX13" s="27"/>
      <c r="TMY13" s="27"/>
      <c r="TMZ13" s="27"/>
      <c r="TNF13" s="27"/>
      <c r="TNG13" s="27"/>
      <c r="TNH13" s="27"/>
      <c r="TNN13" s="27"/>
      <c r="TNO13" s="27"/>
      <c r="TNP13" s="27"/>
      <c r="TNV13" s="27"/>
      <c r="TNW13" s="27"/>
      <c r="TNX13" s="27"/>
      <c r="TOD13" s="27"/>
      <c r="TOE13" s="27"/>
      <c r="TOF13" s="27"/>
      <c r="TOL13" s="27"/>
      <c r="TOM13" s="27"/>
      <c r="TON13" s="27"/>
      <c r="TOT13" s="27"/>
      <c r="TOU13" s="27"/>
      <c r="TOV13" s="27"/>
      <c r="TPB13" s="27"/>
      <c r="TPC13" s="27"/>
      <c r="TPD13" s="27"/>
      <c r="TPJ13" s="27"/>
      <c r="TPK13" s="27"/>
      <c r="TPL13" s="27"/>
      <c r="TPR13" s="27"/>
      <c r="TPS13" s="27"/>
      <c r="TPT13" s="27"/>
      <c r="TPZ13" s="27"/>
      <c r="TQA13" s="27"/>
      <c r="TQB13" s="27"/>
      <c r="TQH13" s="27"/>
      <c r="TQI13" s="27"/>
      <c r="TQJ13" s="27"/>
      <c r="TQP13" s="27"/>
      <c r="TQQ13" s="27"/>
      <c r="TQR13" s="27"/>
      <c r="TQX13" s="27"/>
      <c r="TQY13" s="27"/>
      <c r="TQZ13" s="27"/>
      <c r="TRF13" s="27"/>
      <c r="TRG13" s="27"/>
      <c r="TRH13" s="27"/>
      <c r="TRN13" s="27"/>
      <c r="TRO13" s="27"/>
      <c r="TRP13" s="27"/>
      <c r="TRV13" s="27"/>
      <c r="TRW13" s="27"/>
      <c r="TRX13" s="27"/>
      <c r="TSD13" s="27"/>
      <c r="TSE13" s="27"/>
      <c r="TSF13" s="27"/>
      <c r="TSL13" s="27"/>
      <c r="TSM13" s="27"/>
      <c r="TSN13" s="27"/>
      <c r="TST13" s="27"/>
      <c r="TSU13" s="27"/>
      <c r="TSV13" s="27"/>
      <c r="TTB13" s="27"/>
      <c r="TTC13" s="27"/>
      <c r="TTD13" s="27"/>
      <c r="TTJ13" s="27"/>
      <c r="TTK13" s="27"/>
      <c r="TTL13" s="27"/>
      <c r="TTR13" s="27"/>
      <c r="TTS13" s="27"/>
      <c r="TTT13" s="27"/>
      <c r="TTZ13" s="27"/>
      <c r="TUA13" s="27"/>
      <c r="TUB13" s="27"/>
      <c r="TUH13" s="27"/>
      <c r="TUI13" s="27"/>
      <c r="TUJ13" s="27"/>
      <c r="TUP13" s="27"/>
      <c r="TUQ13" s="27"/>
      <c r="TUR13" s="27"/>
      <c r="TUX13" s="27"/>
      <c r="TUY13" s="27"/>
      <c r="TUZ13" s="27"/>
      <c r="TVF13" s="27"/>
      <c r="TVG13" s="27"/>
      <c r="TVH13" s="27"/>
      <c r="TVN13" s="27"/>
      <c r="TVO13" s="27"/>
      <c r="TVP13" s="27"/>
      <c r="TVV13" s="27"/>
      <c r="TVW13" s="27"/>
      <c r="TVX13" s="27"/>
      <c r="TWD13" s="27"/>
      <c r="TWE13" s="27"/>
      <c r="TWF13" s="27"/>
      <c r="TWL13" s="27"/>
      <c r="TWM13" s="27"/>
      <c r="TWN13" s="27"/>
      <c r="TWT13" s="27"/>
      <c r="TWU13" s="27"/>
      <c r="TWV13" s="27"/>
      <c r="TXB13" s="27"/>
      <c r="TXC13" s="27"/>
      <c r="TXD13" s="27"/>
      <c r="TXJ13" s="27"/>
      <c r="TXK13" s="27"/>
      <c r="TXL13" s="27"/>
      <c r="TXR13" s="27"/>
      <c r="TXS13" s="27"/>
      <c r="TXT13" s="27"/>
      <c r="TXZ13" s="27"/>
      <c r="TYA13" s="27"/>
      <c r="TYB13" s="27"/>
      <c r="TYH13" s="27"/>
      <c r="TYI13" s="27"/>
      <c r="TYJ13" s="27"/>
      <c r="TYP13" s="27"/>
      <c r="TYQ13" s="27"/>
      <c r="TYR13" s="27"/>
      <c r="TYX13" s="27"/>
      <c r="TYY13" s="27"/>
      <c r="TYZ13" s="27"/>
      <c r="TZF13" s="27"/>
      <c r="TZG13" s="27"/>
      <c r="TZH13" s="27"/>
      <c r="TZN13" s="27"/>
      <c r="TZO13" s="27"/>
      <c r="TZP13" s="27"/>
      <c r="TZV13" s="27"/>
      <c r="TZW13" s="27"/>
      <c r="TZX13" s="27"/>
      <c r="UAD13" s="27"/>
      <c r="UAE13" s="27"/>
      <c r="UAF13" s="27"/>
      <c r="UAL13" s="27"/>
      <c r="UAM13" s="27"/>
      <c r="UAN13" s="27"/>
      <c r="UAT13" s="27"/>
      <c r="UAU13" s="27"/>
      <c r="UAV13" s="27"/>
      <c r="UBB13" s="27"/>
      <c r="UBC13" s="27"/>
      <c r="UBD13" s="27"/>
      <c r="UBJ13" s="27"/>
      <c r="UBK13" s="27"/>
      <c r="UBL13" s="27"/>
      <c r="UBR13" s="27"/>
      <c r="UBS13" s="27"/>
      <c r="UBT13" s="27"/>
      <c r="UBZ13" s="27"/>
      <c r="UCA13" s="27"/>
      <c r="UCB13" s="27"/>
      <c r="UCH13" s="27"/>
      <c r="UCI13" s="27"/>
      <c r="UCJ13" s="27"/>
      <c r="UCP13" s="27"/>
      <c r="UCQ13" s="27"/>
      <c r="UCR13" s="27"/>
      <c r="UCX13" s="27"/>
      <c r="UCY13" s="27"/>
      <c r="UCZ13" s="27"/>
      <c r="UDF13" s="27"/>
      <c r="UDG13" s="27"/>
      <c r="UDH13" s="27"/>
      <c r="UDN13" s="27"/>
      <c r="UDO13" s="27"/>
      <c r="UDP13" s="27"/>
      <c r="UDV13" s="27"/>
      <c r="UDW13" s="27"/>
      <c r="UDX13" s="27"/>
      <c r="UED13" s="27"/>
      <c r="UEE13" s="27"/>
      <c r="UEF13" s="27"/>
      <c r="UEL13" s="27"/>
      <c r="UEM13" s="27"/>
      <c r="UEN13" s="27"/>
      <c r="UET13" s="27"/>
      <c r="UEU13" s="27"/>
      <c r="UEV13" s="27"/>
      <c r="UFB13" s="27"/>
      <c r="UFC13" s="27"/>
      <c r="UFD13" s="27"/>
      <c r="UFJ13" s="27"/>
      <c r="UFK13" s="27"/>
      <c r="UFL13" s="27"/>
      <c r="UFR13" s="27"/>
      <c r="UFS13" s="27"/>
      <c r="UFT13" s="27"/>
      <c r="UFZ13" s="27"/>
      <c r="UGA13" s="27"/>
      <c r="UGB13" s="27"/>
      <c r="UGH13" s="27"/>
      <c r="UGI13" s="27"/>
      <c r="UGJ13" s="27"/>
      <c r="UGP13" s="27"/>
      <c r="UGQ13" s="27"/>
      <c r="UGR13" s="27"/>
      <c r="UGX13" s="27"/>
      <c r="UGY13" s="27"/>
      <c r="UGZ13" s="27"/>
      <c r="UHF13" s="27"/>
      <c r="UHG13" s="27"/>
      <c r="UHH13" s="27"/>
      <c r="UHN13" s="27"/>
      <c r="UHO13" s="27"/>
      <c r="UHP13" s="27"/>
      <c r="UHV13" s="27"/>
      <c r="UHW13" s="27"/>
      <c r="UHX13" s="27"/>
      <c r="UID13" s="27"/>
      <c r="UIE13" s="27"/>
      <c r="UIF13" s="27"/>
      <c r="UIL13" s="27"/>
      <c r="UIM13" s="27"/>
      <c r="UIN13" s="27"/>
      <c r="UIT13" s="27"/>
      <c r="UIU13" s="27"/>
      <c r="UIV13" s="27"/>
      <c r="UJB13" s="27"/>
      <c r="UJC13" s="27"/>
      <c r="UJD13" s="27"/>
      <c r="UJJ13" s="27"/>
      <c r="UJK13" s="27"/>
      <c r="UJL13" s="27"/>
      <c r="UJR13" s="27"/>
      <c r="UJS13" s="27"/>
      <c r="UJT13" s="27"/>
      <c r="UJZ13" s="27"/>
      <c r="UKA13" s="27"/>
      <c r="UKB13" s="27"/>
      <c r="UKH13" s="27"/>
      <c r="UKI13" s="27"/>
      <c r="UKJ13" s="27"/>
      <c r="UKP13" s="27"/>
      <c r="UKQ13" s="27"/>
      <c r="UKR13" s="27"/>
      <c r="UKX13" s="27"/>
      <c r="UKY13" s="27"/>
      <c r="UKZ13" s="27"/>
      <c r="ULF13" s="27"/>
      <c r="ULG13" s="27"/>
      <c r="ULH13" s="27"/>
      <c r="ULN13" s="27"/>
      <c r="ULO13" s="27"/>
      <c r="ULP13" s="27"/>
      <c r="ULV13" s="27"/>
      <c r="ULW13" s="27"/>
      <c r="ULX13" s="27"/>
      <c r="UMD13" s="27"/>
      <c r="UME13" s="27"/>
      <c r="UMF13" s="27"/>
      <c r="UML13" s="27"/>
      <c r="UMM13" s="27"/>
      <c r="UMN13" s="27"/>
      <c r="UMT13" s="27"/>
      <c r="UMU13" s="27"/>
      <c r="UMV13" s="27"/>
      <c r="UNB13" s="27"/>
      <c r="UNC13" s="27"/>
      <c r="UND13" s="27"/>
      <c r="UNJ13" s="27"/>
      <c r="UNK13" s="27"/>
      <c r="UNL13" s="27"/>
      <c r="UNR13" s="27"/>
      <c r="UNS13" s="27"/>
      <c r="UNT13" s="27"/>
      <c r="UNZ13" s="27"/>
      <c r="UOA13" s="27"/>
      <c r="UOB13" s="27"/>
      <c r="UOH13" s="27"/>
      <c r="UOI13" s="27"/>
      <c r="UOJ13" s="27"/>
      <c r="UOP13" s="27"/>
      <c r="UOQ13" s="27"/>
      <c r="UOR13" s="27"/>
      <c r="UOX13" s="27"/>
      <c r="UOY13" s="27"/>
      <c r="UOZ13" s="27"/>
      <c r="UPF13" s="27"/>
      <c r="UPG13" s="27"/>
      <c r="UPH13" s="27"/>
      <c r="UPN13" s="27"/>
      <c r="UPO13" s="27"/>
      <c r="UPP13" s="27"/>
      <c r="UPV13" s="27"/>
      <c r="UPW13" s="27"/>
      <c r="UPX13" s="27"/>
      <c r="UQD13" s="27"/>
      <c r="UQE13" s="27"/>
      <c r="UQF13" s="27"/>
      <c r="UQL13" s="27"/>
      <c r="UQM13" s="27"/>
      <c r="UQN13" s="27"/>
      <c r="UQT13" s="27"/>
      <c r="UQU13" s="27"/>
      <c r="UQV13" s="27"/>
      <c r="URB13" s="27"/>
      <c r="URC13" s="27"/>
      <c r="URD13" s="27"/>
      <c r="URJ13" s="27"/>
      <c r="URK13" s="27"/>
      <c r="URL13" s="27"/>
      <c r="URR13" s="27"/>
      <c r="URS13" s="27"/>
      <c r="URT13" s="27"/>
      <c r="URZ13" s="27"/>
      <c r="USA13" s="27"/>
      <c r="USB13" s="27"/>
      <c r="USH13" s="27"/>
      <c r="USI13" s="27"/>
      <c r="USJ13" s="27"/>
      <c r="USP13" s="27"/>
      <c r="USQ13" s="27"/>
      <c r="USR13" s="27"/>
      <c r="USX13" s="27"/>
      <c r="USY13" s="27"/>
      <c r="USZ13" s="27"/>
      <c r="UTF13" s="27"/>
      <c r="UTG13" s="27"/>
      <c r="UTH13" s="27"/>
      <c r="UTN13" s="27"/>
      <c r="UTO13" s="27"/>
      <c r="UTP13" s="27"/>
      <c r="UTV13" s="27"/>
      <c r="UTW13" s="27"/>
      <c r="UTX13" s="27"/>
      <c r="UUD13" s="27"/>
      <c r="UUE13" s="27"/>
      <c r="UUF13" s="27"/>
      <c r="UUL13" s="27"/>
      <c r="UUM13" s="27"/>
      <c r="UUN13" s="27"/>
      <c r="UUT13" s="27"/>
      <c r="UUU13" s="27"/>
      <c r="UUV13" s="27"/>
      <c r="UVB13" s="27"/>
      <c r="UVC13" s="27"/>
      <c r="UVD13" s="27"/>
      <c r="UVJ13" s="27"/>
      <c r="UVK13" s="27"/>
      <c r="UVL13" s="27"/>
      <c r="UVR13" s="27"/>
      <c r="UVS13" s="27"/>
      <c r="UVT13" s="27"/>
      <c r="UVZ13" s="27"/>
      <c r="UWA13" s="27"/>
      <c r="UWB13" s="27"/>
      <c r="UWH13" s="27"/>
      <c r="UWI13" s="27"/>
      <c r="UWJ13" s="27"/>
      <c r="UWP13" s="27"/>
      <c r="UWQ13" s="27"/>
      <c r="UWR13" s="27"/>
      <c r="UWX13" s="27"/>
      <c r="UWY13" s="27"/>
      <c r="UWZ13" s="27"/>
      <c r="UXF13" s="27"/>
      <c r="UXG13" s="27"/>
      <c r="UXH13" s="27"/>
      <c r="UXN13" s="27"/>
      <c r="UXO13" s="27"/>
      <c r="UXP13" s="27"/>
      <c r="UXV13" s="27"/>
      <c r="UXW13" s="27"/>
      <c r="UXX13" s="27"/>
      <c r="UYD13" s="27"/>
      <c r="UYE13" s="27"/>
      <c r="UYF13" s="27"/>
      <c r="UYL13" s="27"/>
      <c r="UYM13" s="27"/>
      <c r="UYN13" s="27"/>
      <c r="UYT13" s="27"/>
      <c r="UYU13" s="27"/>
      <c r="UYV13" s="27"/>
      <c r="UZB13" s="27"/>
      <c r="UZC13" s="27"/>
      <c r="UZD13" s="27"/>
      <c r="UZJ13" s="27"/>
      <c r="UZK13" s="27"/>
      <c r="UZL13" s="27"/>
      <c r="UZR13" s="27"/>
      <c r="UZS13" s="27"/>
      <c r="UZT13" s="27"/>
      <c r="UZZ13" s="27"/>
      <c r="VAA13" s="27"/>
      <c r="VAB13" s="27"/>
      <c r="VAH13" s="27"/>
      <c r="VAI13" s="27"/>
      <c r="VAJ13" s="27"/>
      <c r="VAP13" s="27"/>
      <c r="VAQ13" s="27"/>
      <c r="VAR13" s="27"/>
      <c r="VAX13" s="27"/>
      <c r="VAY13" s="27"/>
      <c r="VAZ13" s="27"/>
      <c r="VBF13" s="27"/>
      <c r="VBG13" s="27"/>
      <c r="VBH13" s="27"/>
      <c r="VBN13" s="27"/>
      <c r="VBO13" s="27"/>
      <c r="VBP13" s="27"/>
      <c r="VBV13" s="27"/>
      <c r="VBW13" s="27"/>
      <c r="VBX13" s="27"/>
      <c r="VCD13" s="27"/>
      <c r="VCE13" s="27"/>
      <c r="VCF13" s="27"/>
      <c r="VCL13" s="27"/>
      <c r="VCM13" s="27"/>
      <c r="VCN13" s="27"/>
      <c r="VCT13" s="27"/>
      <c r="VCU13" s="27"/>
      <c r="VCV13" s="27"/>
      <c r="VDB13" s="27"/>
      <c r="VDC13" s="27"/>
      <c r="VDD13" s="27"/>
      <c r="VDJ13" s="27"/>
      <c r="VDK13" s="27"/>
      <c r="VDL13" s="27"/>
      <c r="VDR13" s="27"/>
      <c r="VDS13" s="27"/>
      <c r="VDT13" s="27"/>
      <c r="VDZ13" s="27"/>
      <c r="VEA13" s="27"/>
      <c r="VEB13" s="27"/>
      <c r="VEH13" s="27"/>
      <c r="VEI13" s="27"/>
      <c r="VEJ13" s="27"/>
      <c r="VEP13" s="27"/>
      <c r="VEQ13" s="27"/>
      <c r="VER13" s="27"/>
      <c r="VEX13" s="27"/>
      <c r="VEY13" s="27"/>
      <c r="VEZ13" s="27"/>
      <c r="VFF13" s="27"/>
      <c r="VFG13" s="27"/>
      <c r="VFH13" s="27"/>
      <c r="VFN13" s="27"/>
      <c r="VFO13" s="27"/>
      <c r="VFP13" s="27"/>
      <c r="VFV13" s="27"/>
      <c r="VFW13" s="27"/>
      <c r="VFX13" s="27"/>
      <c r="VGD13" s="27"/>
      <c r="VGE13" s="27"/>
      <c r="VGF13" s="27"/>
      <c r="VGL13" s="27"/>
      <c r="VGM13" s="27"/>
      <c r="VGN13" s="27"/>
      <c r="VGT13" s="27"/>
      <c r="VGU13" s="27"/>
      <c r="VGV13" s="27"/>
      <c r="VHB13" s="27"/>
      <c r="VHC13" s="27"/>
      <c r="VHD13" s="27"/>
      <c r="VHJ13" s="27"/>
      <c r="VHK13" s="27"/>
      <c r="VHL13" s="27"/>
      <c r="VHR13" s="27"/>
      <c r="VHS13" s="27"/>
      <c r="VHT13" s="27"/>
      <c r="VHZ13" s="27"/>
      <c r="VIA13" s="27"/>
      <c r="VIB13" s="27"/>
      <c r="VIH13" s="27"/>
      <c r="VII13" s="27"/>
      <c r="VIJ13" s="27"/>
      <c r="VIP13" s="27"/>
      <c r="VIQ13" s="27"/>
      <c r="VIR13" s="27"/>
      <c r="VIX13" s="27"/>
      <c r="VIY13" s="27"/>
      <c r="VIZ13" s="27"/>
      <c r="VJF13" s="27"/>
      <c r="VJG13" s="27"/>
      <c r="VJH13" s="27"/>
      <c r="VJN13" s="27"/>
      <c r="VJO13" s="27"/>
      <c r="VJP13" s="27"/>
      <c r="VJV13" s="27"/>
      <c r="VJW13" s="27"/>
      <c r="VJX13" s="27"/>
      <c r="VKD13" s="27"/>
      <c r="VKE13" s="27"/>
      <c r="VKF13" s="27"/>
      <c r="VKL13" s="27"/>
      <c r="VKM13" s="27"/>
      <c r="VKN13" s="27"/>
      <c r="VKT13" s="27"/>
      <c r="VKU13" s="27"/>
      <c r="VKV13" s="27"/>
      <c r="VLB13" s="27"/>
      <c r="VLC13" s="27"/>
      <c r="VLD13" s="27"/>
      <c r="VLJ13" s="27"/>
      <c r="VLK13" s="27"/>
      <c r="VLL13" s="27"/>
      <c r="VLR13" s="27"/>
      <c r="VLS13" s="27"/>
      <c r="VLT13" s="27"/>
      <c r="VLZ13" s="27"/>
      <c r="VMA13" s="27"/>
      <c r="VMB13" s="27"/>
      <c r="VMH13" s="27"/>
      <c r="VMI13" s="27"/>
      <c r="VMJ13" s="27"/>
      <c r="VMP13" s="27"/>
      <c r="VMQ13" s="27"/>
      <c r="VMR13" s="27"/>
      <c r="VMX13" s="27"/>
      <c r="VMY13" s="27"/>
      <c r="VMZ13" s="27"/>
      <c r="VNF13" s="27"/>
      <c r="VNG13" s="27"/>
      <c r="VNH13" s="27"/>
      <c r="VNN13" s="27"/>
      <c r="VNO13" s="27"/>
      <c r="VNP13" s="27"/>
      <c r="VNV13" s="27"/>
      <c r="VNW13" s="27"/>
      <c r="VNX13" s="27"/>
      <c r="VOD13" s="27"/>
      <c r="VOE13" s="27"/>
      <c r="VOF13" s="27"/>
      <c r="VOL13" s="27"/>
      <c r="VOM13" s="27"/>
      <c r="VON13" s="27"/>
      <c r="VOT13" s="27"/>
      <c r="VOU13" s="27"/>
      <c r="VOV13" s="27"/>
      <c r="VPB13" s="27"/>
      <c r="VPC13" s="27"/>
      <c r="VPD13" s="27"/>
      <c r="VPJ13" s="27"/>
      <c r="VPK13" s="27"/>
      <c r="VPL13" s="27"/>
      <c r="VPR13" s="27"/>
      <c r="VPS13" s="27"/>
      <c r="VPT13" s="27"/>
      <c r="VPZ13" s="27"/>
      <c r="VQA13" s="27"/>
      <c r="VQB13" s="27"/>
      <c r="VQH13" s="27"/>
      <c r="VQI13" s="27"/>
      <c r="VQJ13" s="27"/>
      <c r="VQP13" s="27"/>
      <c r="VQQ13" s="27"/>
      <c r="VQR13" s="27"/>
      <c r="VQX13" s="27"/>
      <c r="VQY13" s="27"/>
      <c r="VQZ13" s="27"/>
      <c r="VRF13" s="27"/>
      <c r="VRG13" s="27"/>
      <c r="VRH13" s="27"/>
      <c r="VRN13" s="27"/>
      <c r="VRO13" s="27"/>
      <c r="VRP13" s="27"/>
      <c r="VRV13" s="27"/>
      <c r="VRW13" s="27"/>
      <c r="VRX13" s="27"/>
      <c r="VSD13" s="27"/>
      <c r="VSE13" s="27"/>
      <c r="VSF13" s="27"/>
      <c r="VSL13" s="27"/>
      <c r="VSM13" s="27"/>
      <c r="VSN13" s="27"/>
      <c r="VST13" s="27"/>
      <c r="VSU13" s="27"/>
      <c r="VSV13" s="27"/>
      <c r="VTB13" s="27"/>
      <c r="VTC13" s="27"/>
      <c r="VTD13" s="27"/>
      <c r="VTJ13" s="27"/>
      <c r="VTK13" s="27"/>
      <c r="VTL13" s="27"/>
      <c r="VTR13" s="27"/>
      <c r="VTS13" s="27"/>
      <c r="VTT13" s="27"/>
      <c r="VTZ13" s="27"/>
      <c r="VUA13" s="27"/>
      <c r="VUB13" s="27"/>
      <c r="VUH13" s="27"/>
      <c r="VUI13" s="27"/>
      <c r="VUJ13" s="27"/>
      <c r="VUP13" s="27"/>
      <c r="VUQ13" s="27"/>
      <c r="VUR13" s="27"/>
      <c r="VUX13" s="27"/>
      <c r="VUY13" s="27"/>
      <c r="VUZ13" s="27"/>
      <c r="VVF13" s="27"/>
      <c r="VVG13" s="27"/>
      <c r="VVH13" s="27"/>
      <c r="VVN13" s="27"/>
      <c r="VVO13" s="27"/>
      <c r="VVP13" s="27"/>
      <c r="VVV13" s="27"/>
      <c r="VVW13" s="27"/>
      <c r="VVX13" s="27"/>
      <c r="VWD13" s="27"/>
      <c r="VWE13" s="27"/>
      <c r="VWF13" s="27"/>
      <c r="VWL13" s="27"/>
      <c r="VWM13" s="27"/>
      <c r="VWN13" s="27"/>
      <c r="VWT13" s="27"/>
      <c r="VWU13" s="27"/>
      <c r="VWV13" s="27"/>
      <c r="VXB13" s="27"/>
      <c r="VXC13" s="27"/>
      <c r="VXD13" s="27"/>
      <c r="VXJ13" s="27"/>
      <c r="VXK13" s="27"/>
      <c r="VXL13" s="27"/>
      <c r="VXR13" s="27"/>
      <c r="VXS13" s="27"/>
      <c r="VXT13" s="27"/>
      <c r="VXZ13" s="27"/>
      <c r="VYA13" s="27"/>
      <c r="VYB13" s="27"/>
      <c r="VYH13" s="27"/>
      <c r="VYI13" s="27"/>
      <c r="VYJ13" s="27"/>
      <c r="VYP13" s="27"/>
      <c r="VYQ13" s="27"/>
      <c r="VYR13" s="27"/>
      <c r="VYX13" s="27"/>
      <c r="VYY13" s="27"/>
      <c r="VYZ13" s="27"/>
      <c r="VZF13" s="27"/>
      <c r="VZG13" s="27"/>
      <c r="VZH13" s="27"/>
      <c r="VZN13" s="27"/>
      <c r="VZO13" s="27"/>
      <c r="VZP13" s="27"/>
      <c r="VZV13" s="27"/>
      <c r="VZW13" s="27"/>
      <c r="VZX13" s="27"/>
      <c r="WAD13" s="27"/>
      <c r="WAE13" s="27"/>
      <c r="WAF13" s="27"/>
      <c r="WAL13" s="27"/>
      <c r="WAM13" s="27"/>
      <c r="WAN13" s="27"/>
      <c r="WAT13" s="27"/>
      <c r="WAU13" s="27"/>
      <c r="WAV13" s="27"/>
      <c r="WBB13" s="27"/>
      <c r="WBC13" s="27"/>
      <c r="WBD13" s="27"/>
      <c r="WBJ13" s="27"/>
      <c r="WBK13" s="27"/>
      <c r="WBL13" s="27"/>
      <c r="WBR13" s="27"/>
      <c r="WBS13" s="27"/>
      <c r="WBT13" s="27"/>
      <c r="WBZ13" s="27"/>
      <c r="WCA13" s="27"/>
      <c r="WCB13" s="27"/>
      <c r="WCH13" s="27"/>
      <c r="WCI13" s="27"/>
      <c r="WCJ13" s="27"/>
      <c r="WCP13" s="27"/>
      <c r="WCQ13" s="27"/>
      <c r="WCR13" s="27"/>
      <c r="WCX13" s="27"/>
      <c r="WCY13" s="27"/>
      <c r="WCZ13" s="27"/>
      <c r="WDF13" s="27"/>
      <c r="WDG13" s="27"/>
      <c r="WDH13" s="27"/>
      <c r="WDN13" s="27"/>
      <c r="WDO13" s="27"/>
      <c r="WDP13" s="27"/>
      <c r="WDV13" s="27"/>
      <c r="WDW13" s="27"/>
      <c r="WDX13" s="27"/>
      <c r="WED13" s="27"/>
      <c r="WEE13" s="27"/>
      <c r="WEF13" s="27"/>
      <c r="WEL13" s="27"/>
      <c r="WEM13" s="27"/>
      <c r="WEN13" s="27"/>
      <c r="WET13" s="27"/>
      <c r="WEU13" s="27"/>
      <c r="WEV13" s="27"/>
      <c r="WFB13" s="27"/>
      <c r="WFC13" s="27"/>
      <c r="WFD13" s="27"/>
      <c r="WFJ13" s="27"/>
      <c r="WFK13" s="27"/>
      <c r="WFL13" s="27"/>
      <c r="WFR13" s="27"/>
      <c r="WFS13" s="27"/>
      <c r="WFT13" s="27"/>
      <c r="WFZ13" s="27"/>
      <c r="WGA13" s="27"/>
      <c r="WGB13" s="27"/>
      <c r="WGH13" s="27"/>
      <c r="WGI13" s="27"/>
      <c r="WGJ13" s="27"/>
      <c r="WGP13" s="27"/>
      <c r="WGQ13" s="27"/>
      <c r="WGR13" s="27"/>
      <c r="WGX13" s="27"/>
      <c r="WGY13" s="27"/>
      <c r="WGZ13" s="27"/>
      <c r="WHF13" s="27"/>
      <c r="WHG13" s="27"/>
      <c r="WHH13" s="27"/>
      <c r="WHN13" s="27"/>
      <c r="WHO13" s="27"/>
      <c r="WHP13" s="27"/>
      <c r="WHV13" s="27"/>
      <c r="WHW13" s="27"/>
      <c r="WHX13" s="27"/>
      <c r="WID13" s="27"/>
      <c r="WIE13" s="27"/>
      <c r="WIF13" s="27"/>
      <c r="WIL13" s="27"/>
      <c r="WIM13" s="27"/>
      <c r="WIN13" s="27"/>
      <c r="WIT13" s="27"/>
      <c r="WIU13" s="27"/>
      <c r="WIV13" s="27"/>
      <c r="WJB13" s="27"/>
      <c r="WJC13" s="27"/>
      <c r="WJD13" s="27"/>
      <c r="WJJ13" s="27"/>
      <c r="WJK13" s="27"/>
      <c r="WJL13" s="27"/>
      <c r="WJR13" s="27"/>
      <c r="WJS13" s="27"/>
      <c r="WJT13" s="27"/>
      <c r="WJZ13" s="27"/>
      <c r="WKA13" s="27"/>
      <c r="WKB13" s="27"/>
      <c r="WKH13" s="27"/>
      <c r="WKI13" s="27"/>
      <c r="WKJ13" s="27"/>
      <c r="WKP13" s="27"/>
      <c r="WKQ13" s="27"/>
      <c r="WKR13" s="27"/>
      <c r="WKX13" s="27"/>
      <c r="WKY13" s="27"/>
      <c r="WKZ13" s="27"/>
      <c r="WLF13" s="27"/>
      <c r="WLG13" s="27"/>
      <c r="WLH13" s="27"/>
      <c r="WLN13" s="27"/>
      <c r="WLO13" s="27"/>
      <c r="WLP13" s="27"/>
      <c r="WLV13" s="27"/>
      <c r="WLW13" s="27"/>
      <c r="WLX13" s="27"/>
      <c r="WMD13" s="27"/>
      <c r="WME13" s="27"/>
      <c r="WMF13" s="27"/>
      <c r="WML13" s="27"/>
      <c r="WMM13" s="27"/>
      <c r="WMN13" s="27"/>
      <c r="WMT13" s="27"/>
      <c r="WMU13" s="27"/>
      <c r="WMV13" s="27"/>
      <c r="WNB13" s="27"/>
      <c r="WNC13" s="27"/>
      <c r="WND13" s="27"/>
      <c r="WNJ13" s="27"/>
      <c r="WNK13" s="27"/>
      <c r="WNL13" s="27"/>
      <c r="WNR13" s="27"/>
      <c r="WNS13" s="27"/>
      <c r="WNT13" s="27"/>
      <c r="WNZ13" s="27"/>
      <c r="WOA13" s="27"/>
      <c r="WOB13" s="27"/>
      <c r="WOH13" s="27"/>
      <c r="WOI13" s="27"/>
      <c r="WOJ13" s="27"/>
      <c r="WOP13" s="27"/>
      <c r="WOQ13" s="27"/>
      <c r="WOR13" s="27"/>
      <c r="WOX13" s="27"/>
      <c r="WOY13" s="27"/>
      <c r="WOZ13" s="27"/>
      <c r="WPF13" s="27"/>
      <c r="WPG13" s="27"/>
      <c r="WPH13" s="27"/>
      <c r="WPN13" s="27"/>
      <c r="WPO13" s="27"/>
      <c r="WPP13" s="27"/>
      <c r="WPV13" s="27"/>
      <c r="WPW13" s="27"/>
      <c r="WPX13" s="27"/>
      <c r="WQD13" s="27"/>
      <c r="WQE13" s="27"/>
      <c r="WQF13" s="27"/>
      <c r="WQL13" s="27"/>
      <c r="WQM13" s="27"/>
      <c r="WQN13" s="27"/>
      <c r="WQT13" s="27"/>
      <c r="WQU13" s="27"/>
      <c r="WQV13" s="27"/>
      <c r="WRB13" s="27"/>
      <c r="WRC13" s="27"/>
      <c r="WRD13" s="27"/>
      <c r="WRJ13" s="27"/>
      <c r="WRK13" s="27"/>
      <c r="WRL13" s="27"/>
      <c r="WRR13" s="27"/>
      <c r="WRS13" s="27"/>
      <c r="WRT13" s="27"/>
      <c r="WRZ13" s="27"/>
      <c r="WSA13" s="27"/>
      <c r="WSB13" s="27"/>
      <c r="WSH13" s="27"/>
      <c r="WSI13" s="27"/>
      <c r="WSJ13" s="27"/>
      <c r="WSP13" s="27"/>
      <c r="WSQ13" s="27"/>
      <c r="WSR13" s="27"/>
      <c r="WSX13" s="27"/>
      <c r="WSY13" s="27"/>
      <c r="WSZ13" s="27"/>
      <c r="WTF13" s="27"/>
      <c r="WTG13" s="27"/>
      <c r="WTH13" s="27"/>
      <c r="WTN13" s="27"/>
      <c r="WTO13" s="27"/>
      <c r="WTP13" s="27"/>
      <c r="WTV13" s="27"/>
      <c r="WTW13" s="27"/>
      <c r="WTX13" s="27"/>
      <c r="WUD13" s="27"/>
      <c r="WUE13" s="27"/>
      <c r="WUF13" s="27"/>
      <c r="WUL13" s="27"/>
      <c r="WUM13" s="27"/>
      <c r="WUN13" s="27"/>
      <c r="WUT13" s="27"/>
      <c r="WUU13" s="27"/>
      <c r="WUV13" s="27"/>
      <c r="WVB13" s="27"/>
      <c r="WVC13" s="27"/>
      <c r="WVD13" s="27"/>
      <c r="WVJ13" s="27"/>
      <c r="WVK13" s="27"/>
      <c r="WVL13" s="27"/>
      <c r="WVR13" s="27"/>
      <c r="WVS13" s="27"/>
      <c r="WVT13" s="27"/>
      <c r="WVZ13" s="27"/>
      <c r="WWA13" s="27"/>
      <c r="WWB13" s="27"/>
      <c r="WWH13" s="27"/>
      <c r="WWI13" s="27"/>
      <c r="WWJ13" s="27"/>
      <c r="WWP13" s="27"/>
      <c r="WWQ13" s="27"/>
      <c r="WWR13" s="27"/>
      <c r="WWX13" s="27"/>
      <c r="WWY13" s="27"/>
      <c r="WWZ13" s="27"/>
      <c r="WXF13" s="27"/>
      <c r="WXG13" s="27"/>
      <c r="WXH13" s="27"/>
      <c r="WXN13" s="27"/>
      <c r="WXO13" s="27"/>
      <c r="WXP13" s="27"/>
      <c r="WXV13" s="27"/>
      <c r="WXW13" s="27"/>
      <c r="WXX13" s="27"/>
      <c r="WYD13" s="27"/>
      <c r="WYE13" s="27"/>
      <c r="WYF13" s="27"/>
      <c r="WYL13" s="27"/>
      <c r="WYM13" s="27"/>
      <c r="WYN13" s="27"/>
      <c r="WYT13" s="27"/>
      <c r="WYU13" s="27"/>
      <c r="WYV13" s="27"/>
      <c r="WZB13" s="27"/>
      <c r="WZC13" s="27"/>
      <c r="WZD13" s="27"/>
      <c r="WZJ13" s="27"/>
      <c r="WZK13" s="27"/>
      <c r="WZL13" s="27"/>
      <c r="WZR13" s="27"/>
      <c r="WZS13" s="27"/>
      <c r="WZT13" s="27"/>
      <c r="WZZ13" s="27"/>
      <c r="XAA13" s="27"/>
      <c r="XAB13" s="27"/>
      <c r="XAH13" s="27"/>
      <c r="XAI13" s="27"/>
      <c r="XAJ13" s="27"/>
      <c r="XAP13" s="27"/>
      <c r="XAQ13" s="27"/>
      <c r="XAR13" s="27"/>
      <c r="XAX13" s="27"/>
      <c r="XAY13" s="27"/>
      <c r="XAZ13" s="27"/>
      <c r="XBF13" s="27"/>
      <c r="XBG13" s="27"/>
      <c r="XBH13" s="27"/>
      <c r="XBN13" s="27"/>
      <c r="XBO13" s="27"/>
      <c r="XBP13" s="27"/>
      <c r="XBV13" s="27"/>
      <c r="XBW13" s="27"/>
      <c r="XBX13" s="27"/>
      <c r="XCD13" s="27"/>
      <c r="XCE13" s="27"/>
      <c r="XCF13" s="27"/>
      <c r="XCL13" s="27"/>
      <c r="XCM13" s="27"/>
      <c r="XCN13" s="27"/>
      <c r="XCT13" s="27"/>
      <c r="XCU13" s="27"/>
      <c r="XCV13" s="27"/>
      <c r="XDB13" s="27"/>
      <c r="XDC13" s="27"/>
      <c r="XDD13" s="27"/>
      <c r="XDJ13" s="27"/>
      <c r="XDK13" s="27"/>
      <c r="XDL13" s="27"/>
      <c r="XDR13" s="27"/>
      <c r="XDS13" s="27"/>
      <c r="XDT13" s="27"/>
      <c r="XDZ13" s="27"/>
      <c r="XEA13" s="27"/>
      <c r="XEB13" s="27"/>
      <c r="XEH13" s="27"/>
      <c r="XEI13" s="27"/>
      <c r="XEJ13" s="27"/>
      <c r="XEP13" s="27"/>
      <c r="XEQ13" s="27"/>
      <c r="XER13" s="27"/>
      <c r="XEX13" s="27"/>
      <c r="XEY13" s="27"/>
      <c r="XEZ13" s="27"/>
    </row>
    <row r="14" s="1" customFormat="true" ht="15" hidden="false" customHeight="false" outlineLevel="0" collapsed="false">
      <c r="A14" s="1" t="n">
        <v>1034</v>
      </c>
      <c r="B14" s="27" t="s">
        <v>27</v>
      </c>
      <c r="C14" s="27" t="s">
        <v>121</v>
      </c>
      <c r="D14" s="27" t="s">
        <v>122</v>
      </c>
      <c r="F14" s="1" t="n">
        <v>50</v>
      </c>
      <c r="J14" s="27"/>
      <c r="K14" s="27"/>
      <c r="L14" s="27"/>
      <c r="R14" s="27"/>
      <c r="S14" s="27"/>
      <c r="T14" s="27"/>
      <c r="Z14" s="27"/>
      <c r="AA14" s="27"/>
      <c r="AB14" s="27"/>
      <c r="AH14" s="27"/>
      <c r="AI14" s="27"/>
      <c r="AJ14" s="27"/>
      <c r="AP14" s="27"/>
      <c r="AQ14" s="27"/>
      <c r="AR14" s="27"/>
      <c r="AX14" s="27"/>
      <c r="AY14" s="27"/>
      <c r="AZ14" s="27"/>
      <c r="BF14" s="27"/>
      <c r="BG14" s="27"/>
      <c r="BH14" s="27"/>
      <c r="BN14" s="27"/>
      <c r="BO14" s="27"/>
      <c r="BP14" s="27"/>
      <c r="BV14" s="27"/>
      <c r="BW14" s="27"/>
      <c r="BX14" s="27"/>
      <c r="CD14" s="27"/>
      <c r="CE14" s="27"/>
      <c r="CF14" s="27"/>
      <c r="CL14" s="27"/>
      <c r="CM14" s="27"/>
      <c r="CN14" s="27"/>
      <c r="CT14" s="27"/>
      <c r="CU14" s="27"/>
      <c r="CV14" s="27"/>
      <c r="DB14" s="27"/>
      <c r="DC14" s="27"/>
      <c r="DD14" s="27"/>
      <c r="DJ14" s="27"/>
      <c r="DK14" s="27"/>
      <c r="DL14" s="27"/>
      <c r="DR14" s="27"/>
      <c r="DS14" s="27"/>
      <c r="DT14" s="27"/>
      <c r="DZ14" s="27"/>
      <c r="EA14" s="27"/>
      <c r="EB14" s="27"/>
      <c r="EH14" s="27"/>
      <c r="EI14" s="27"/>
      <c r="EJ14" s="27"/>
      <c r="EP14" s="27"/>
      <c r="EQ14" s="27"/>
      <c r="ER14" s="27"/>
      <c r="EX14" s="27"/>
      <c r="EY14" s="27"/>
      <c r="EZ14" s="27"/>
      <c r="FF14" s="27"/>
      <c r="FG14" s="27"/>
      <c r="FH14" s="27"/>
      <c r="FN14" s="27"/>
      <c r="FO14" s="27"/>
      <c r="FP14" s="27"/>
      <c r="FV14" s="27"/>
      <c r="FW14" s="27"/>
      <c r="FX14" s="27"/>
      <c r="GD14" s="27"/>
      <c r="GE14" s="27"/>
      <c r="GF14" s="27"/>
      <c r="GL14" s="27"/>
      <c r="GM14" s="27"/>
      <c r="GN14" s="27"/>
      <c r="GT14" s="27"/>
      <c r="GU14" s="27"/>
      <c r="GV14" s="27"/>
      <c r="HB14" s="27"/>
      <c r="HC14" s="27"/>
      <c r="HD14" s="27"/>
      <c r="HJ14" s="27"/>
      <c r="HK14" s="27"/>
      <c r="HL14" s="27"/>
      <c r="HR14" s="27"/>
      <c r="HS14" s="27"/>
      <c r="HT14" s="27"/>
      <c r="HZ14" s="27"/>
      <c r="IA14" s="27"/>
      <c r="IB14" s="27"/>
      <c r="IH14" s="27"/>
      <c r="II14" s="27"/>
      <c r="IJ14" s="27"/>
      <c r="IP14" s="27"/>
      <c r="IQ14" s="27"/>
      <c r="IR14" s="27"/>
      <c r="IX14" s="27"/>
      <c r="IY14" s="27"/>
      <c r="IZ14" s="27"/>
      <c r="JF14" s="27"/>
      <c r="JG14" s="27"/>
      <c r="JH14" s="27"/>
      <c r="JN14" s="27"/>
      <c r="JO14" s="27"/>
      <c r="JP14" s="27"/>
      <c r="JV14" s="27"/>
      <c r="JW14" s="27"/>
      <c r="JX14" s="27"/>
      <c r="KD14" s="27"/>
      <c r="KE14" s="27"/>
      <c r="KF14" s="27"/>
      <c r="KL14" s="27"/>
      <c r="KM14" s="27"/>
      <c r="KN14" s="27"/>
      <c r="KT14" s="27"/>
      <c r="KU14" s="27"/>
      <c r="KV14" s="27"/>
      <c r="LB14" s="27"/>
      <c r="LC14" s="27"/>
      <c r="LD14" s="27"/>
      <c r="LJ14" s="27"/>
      <c r="LK14" s="27"/>
      <c r="LL14" s="27"/>
      <c r="LR14" s="27"/>
      <c r="LS14" s="27"/>
      <c r="LT14" s="27"/>
      <c r="LZ14" s="27"/>
      <c r="MA14" s="27"/>
      <c r="MB14" s="27"/>
      <c r="MH14" s="27"/>
      <c r="MI14" s="27"/>
      <c r="MJ14" s="27"/>
      <c r="MP14" s="27"/>
      <c r="MQ14" s="27"/>
      <c r="MR14" s="27"/>
      <c r="MX14" s="27"/>
      <c r="MY14" s="27"/>
      <c r="MZ14" s="27"/>
      <c r="NF14" s="27"/>
      <c r="NG14" s="27"/>
      <c r="NH14" s="27"/>
      <c r="NN14" s="27"/>
      <c r="NO14" s="27"/>
      <c r="NP14" s="27"/>
      <c r="NV14" s="27"/>
      <c r="NW14" s="27"/>
      <c r="NX14" s="27"/>
      <c r="OD14" s="27"/>
      <c r="OE14" s="27"/>
      <c r="OF14" s="27"/>
      <c r="OL14" s="27"/>
      <c r="OM14" s="27"/>
      <c r="ON14" s="27"/>
      <c r="OT14" s="27"/>
      <c r="OU14" s="27"/>
      <c r="OV14" s="27"/>
      <c r="PB14" s="27"/>
      <c r="PC14" s="27"/>
      <c r="PD14" s="27"/>
      <c r="PJ14" s="27"/>
      <c r="PK14" s="27"/>
      <c r="PL14" s="27"/>
      <c r="PR14" s="27"/>
      <c r="PS14" s="27"/>
      <c r="PT14" s="27"/>
      <c r="PZ14" s="27"/>
      <c r="QA14" s="27"/>
      <c r="QB14" s="27"/>
      <c r="QH14" s="27"/>
      <c r="QI14" s="27"/>
      <c r="QJ14" s="27"/>
      <c r="QP14" s="27"/>
      <c r="QQ14" s="27"/>
      <c r="QR14" s="27"/>
      <c r="QX14" s="27"/>
      <c r="QY14" s="27"/>
      <c r="QZ14" s="27"/>
      <c r="RF14" s="27"/>
      <c r="RG14" s="27"/>
      <c r="RH14" s="27"/>
      <c r="RN14" s="27"/>
      <c r="RO14" s="27"/>
      <c r="RP14" s="27"/>
      <c r="RV14" s="27"/>
      <c r="RW14" s="27"/>
      <c r="RX14" s="27"/>
      <c r="SD14" s="27"/>
      <c r="SE14" s="27"/>
      <c r="SF14" s="27"/>
      <c r="SL14" s="27"/>
      <c r="SM14" s="27"/>
      <c r="SN14" s="27"/>
      <c r="ST14" s="27"/>
      <c r="SU14" s="27"/>
      <c r="SV14" s="27"/>
      <c r="TB14" s="27"/>
      <c r="TC14" s="27"/>
      <c r="TD14" s="27"/>
      <c r="TJ14" s="27"/>
      <c r="TK14" s="27"/>
      <c r="TL14" s="27"/>
      <c r="TR14" s="27"/>
      <c r="TS14" s="27"/>
      <c r="TT14" s="27"/>
      <c r="TZ14" s="27"/>
      <c r="UA14" s="27"/>
      <c r="UB14" s="27"/>
      <c r="UH14" s="27"/>
      <c r="UI14" s="27"/>
      <c r="UJ14" s="27"/>
      <c r="UP14" s="27"/>
      <c r="UQ14" s="27"/>
      <c r="UR14" s="27"/>
      <c r="UX14" s="27"/>
      <c r="UY14" s="27"/>
      <c r="UZ14" s="27"/>
      <c r="VF14" s="27"/>
      <c r="VG14" s="27"/>
      <c r="VH14" s="27"/>
      <c r="VN14" s="27"/>
      <c r="VO14" s="27"/>
      <c r="VP14" s="27"/>
      <c r="VV14" s="27"/>
      <c r="VW14" s="27"/>
      <c r="VX14" s="27"/>
      <c r="WD14" s="27"/>
      <c r="WE14" s="27"/>
      <c r="WF14" s="27"/>
      <c r="WL14" s="27"/>
      <c r="WM14" s="27"/>
      <c r="WN14" s="27"/>
      <c r="WT14" s="27"/>
      <c r="WU14" s="27"/>
      <c r="WV14" s="27"/>
      <c r="XB14" s="27"/>
      <c r="XC14" s="27"/>
      <c r="XD14" s="27"/>
      <c r="XJ14" s="27"/>
      <c r="XK14" s="27"/>
      <c r="XL14" s="27"/>
      <c r="XR14" s="27"/>
      <c r="XS14" s="27"/>
      <c r="XT14" s="27"/>
      <c r="XZ14" s="27"/>
      <c r="YA14" s="27"/>
      <c r="YB14" s="27"/>
      <c r="YH14" s="27"/>
      <c r="YI14" s="27"/>
      <c r="YJ14" s="27"/>
      <c r="YP14" s="27"/>
      <c r="YQ14" s="27"/>
      <c r="YR14" s="27"/>
      <c r="YX14" s="27"/>
      <c r="YY14" s="27"/>
      <c r="YZ14" s="27"/>
      <c r="ZF14" s="27"/>
      <c r="ZG14" s="27"/>
      <c r="ZH14" s="27"/>
      <c r="ZN14" s="27"/>
      <c r="ZO14" s="27"/>
      <c r="ZP14" s="27"/>
      <c r="ZV14" s="27"/>
      <c r="ZW14" s="27"/>
      <c r="ZX14" s="27"/>
      <c r="AAD14" s="27"/>
      <c r="AAE14" s="27"/>
      <c r="AAF14" s="27"/>
      <c r="AAL14" s="27"/>
      <c r="AAM14" s="27"/>
      <c r="AAN14" s="27"/>
      <c r="AAT14" s="27"/>
      <c r="AAU14" s="27"/>
      <c r="AAV14" s="27"/>
      <c r="ABB14" s="27"/>
      <c r="ABC14" s="27"/>
      <c r="ABD14" s="27"/>
      <c r="ABJ14" s="27"/>
      <c r="ABK14" s="27"/>
      <c r="ABL14" s="27"/>
      <c r="ABR14" s="27"/>
      <c r="ABS14" s="27"/>
      <c r="ABT14" s="27"/>
      <c r="ABZ14" s="27"/>
      <c r="ACA14" s="27"/>
      <c r="ACB14" s="27"/>
      <c r="ACH14" s="27"/>
      <c r="ACI14" s="27"/>
      <c r="ACJ14" s="27"/>
      <c r="ACP14" s="27"/>
      <c r="ACQ14" s="27"/>
      <c r="ACR14" s="27"/>
      <c r="ACX14" s="27"/>
      <c r="ACY14" s="27"/>
      <c r="ACZ14" s="27"/>
      <c r="ADF14" s="27"/>
      <c r="ADG14" s="27"/>
      <c r="ADH14" s="27"/>
      <c r="ADN14" s="27"/>
      <c r="ADO14" s="27"/>
      <c r="ADP14" s="27"/>
      <c r="ADV14" s="27"/>
      <c r="ADW14" s="27"/>
      <c r="ADX14" s="27"/>
      <c r="AED14" s="27"/>
      <c r="AEE14" s="27"/>
      <c r="AEF14" s="27"/>
      <c r="AEL14" s="27"/>
      <c r="AEM14" s="27"/>
      <c r="AEN14" s="27"/>
      <c r="AET14" s="27"/>
      <c r="AEU14" s="27"/>
      <c r="AEV14" s="27"/>
      <c r="AFB14" s="27"/>
      <c r="AFC14" s="27"/>
      <c r="AFD14" s="27"/>
      <c r="AFJ14" s="27"/>
      <c r="AFK14" s="27"/>
      <c r="AFL14" s="27"/>
      <c r="AFR14" s="27"/>
      <c r="AFS14" s="27"/>
      <c r="AFT14" s="27"/>
      <c r="AFZ14" s="27"/>
      <c r="AGA14" s="27"/>
      <c r="AGB14" s="27"/>
      <c r="AGH14" s="27"/>
      <c r="AGI14" s="27"/>
      <c r="AGJ14" s="27"/>
      <c r="AGP14" s="27"/>
      <c r="AGQ14" s="27"/>
      <c r="AGR14" s="27"/>
      <c r="AGX14" s="27"/>
      <c r="AGY14" s="27"/>
      <c r="AGZ14" s="27"/>
      <c r="AHF14" s="27"/>
      <c r="AHG14" s="27"/>
      <c r="AHH14" s="27"/>
      <c r="AHN14" s="27"/>
      <c r="AHO14" s="27"/>
      <c r="AHP14" s="27"/>
      <c r="AHV14" s="27"/>
      <c r="AHW14" s="27"/>
      <c r="AHX14" s="27"/>
      <c r="AID14" s="27"/>
      <c r="AIE14" s="27"/>
      <c r="AIF14" s="27"/>
      <c r="AIL14" s="27"/>
      <c r="AIM14" s="27"/>
      <c r="AIN14" s="27"/>
      <c r="AIT14" s="27"/>
      <c r="AIU14" s="27"/>
      <c r="AIV14" s="27"/>
      <c r="AJB14" s="27"/>
      <c r="AJC14" s="27"/>
      <c r="AJD14" s="27"/>
      <c r="AJJ14" s="27"/>
      <c r="AJK14" s="27"/>
      <c r="AJL14" s="27"/>
      <c r="AJR14" s="27"/>
      <c r="AJS14" s="27"/>
      <c r="AJT14" s="27"/>
      <c r="AJZ14" s="27"/>
      <c r="AKA14" s="27"/>
      <c r="AKB14" s="27"/>
      <c r="AKH14" s="27"/>
      <c r="AKI14" s="27"/>
      <c r="AKJ14" s="27"/>
      <c r="AKP14" s="27"/>
      <c r="AKQ14" s="27"/>
      <c r="AKR14" s="27"/>
      <c r="AKX14" s="27"/>
      <c r="AKY14" s="27"/>
      <c r="AKZ14" s="27"/>
      <c r="ALF14" s="27"/>
      <c r="ALG14" s="27"/>
      <c r="ALH14" s="27"/>
      <c r="ALN14" s="27"/>
      <c r="ALO14" s="27"/>
      <c r="ALP14" s="27"/>
      <c r="ALV14" s="27"/>
      <c r="ALW14" s="27"/>
      <c r="ALX14" s="27"/>
      <c r="AMD14" s="27"/>
      <c r="AME14" s="27"/>
      <c r="AMF14" s="27"/>
      <c r="AML14" s="27"/>
      <c r="AMM14" s="27"/>
      <c r="AMN14" s="27"/>
      <c r="AMT14" s="27"/>
      <c r="AMU14" s="27"/>
      <c r="AMV14" s="27"/>
      <c r="ANB14" s="27"/>
      <c r="ANC14" s="27"/>
      <c r="AND14" s="27"/>
      <c r="ANJ14" s="27"/>
      <c r="ANK14" s="27"/>
      <c r="ANL14" s="27"/>
      <c r="ANR14" s="27"/>
      <c r="ANS14" s="27"/>
      <c r="ANT14" s="27"/>
      <c r="ANZ14" s="27"/>
      <c r="AOA14" s="27"/>
      <c r="AOB14" s="27"/>
      <c r="AOH14" s="27"/>
      <c r="AOI14" s="27"/>
      <c r="AOJ14" s="27"/>
      <c r="AOP14" s="27"/>
      <c r="AOQ14" s="27"/>
      <c r="AOR14" s="27"/>
      <c r="AOX14" s="27"/>
      <c r="AOY14" s="27"/>
      <c r="AOZ14" s="27"/>
      <c r="APF14" s="27"/>
      <c r="APG14" s="27"/>
      <c r="APH14" s="27"/>
      <c r="APN14" s="27"/>
      <c r="APO14" s="27"/>
      <c r="APP14" s="27"/>
      <c r="APV14" s="27"/>
      <c r="APW14" s="27"/>
      <c r="APX14" s="27"/>
      <c r="AQD14" s="27"/>
      <c r="AQE14" s="27"/>
      <c r="AQF14" s="27"/>
      <c r="AQL14" s="27"/>
      <c r="AQM14" s="27"/>
      <c r="AQN14" s="27"/>
      <c r="AQT14" s="27"/>
      <c r="AQU14" s="27"/>
      <c r="AQV14" s="27"/>
      <c r="ARB14" s="27"/>
      <c r="ARC14" s="27"/>
      <c r="ARD14" s="27"/>
      <c r="ARJ14" s="27"/>
      <c r="ARK14" s="27"/>
      <c r="ARL14" s="27"/>
      <c r="ARR14" s="27"/>
      <c r="ARS14" s="27"/>
      <c r="ART14" s="27"/>
      <c r="ARZ14" s="27"/>
      <c r="ASA14" s="27"/>
      <c r="ASB14" s="27"/>
      <c r="ASH14" s="27"/>
      <c r="ASI14" s="27"/>
      <c r="ASJ14" s="27"/>
      <c r="ASP14" s="27"/>
      <c r="ASQ14" s="27"/>
      <c r="ASR14" s="27"/>
      <c r="ASX14" s="27"/>
      <c r="ASY14" s="27"/>
      <c r="ASZ14" s="27"/>
      <c r="ATF14" s="27"/>
      <c r="ATG14" s="27"/>
      <c r="ATH14" s="27"/>
      <c r="ATN14" s="27"/>
      <c r="ATO14" s="27"/>
      <c r="ATP14" s="27"/>
      <c r="ATV14" s="27"/>
      <c r="ATW14" s="27"/>
      <c r="ATX14" s="27"/>
      <c r="AUD14" s="27"/>
      <c r="AUE14" s="27"/>
      <c r="AUF14" s="27"/>
      <c r="AUL14" s="27"/>
      <c r="AUM14" s="27"/>
      <c r="AUN14" s="27"/>
      <c r="AUT14" s="27"/>
      <c r="AUU14" s="27"/>
      <c r="AUV14" s="27"/>
      <c r="AVB14" s="27"/>
      <c r="AVC14" s="27"/>
      <c r="AVD14" s="27"/>
      <c r="AVJ14" s="27"/>
      <c r="AVK14" s="27"/>
      <c r="AVL14" s="27"/>
      <c r="AVR14" s="27"/>
      <c r="AVS14" s="27"/>
      <c r="AVT14" s="27"/>
      <c r="AVZ14" s="27"/>
      <c r="AWA14" s="27"/>
      <c r="AWB14" s="27"/>
      <c r="AWH14" s="27"/>
      <c r="AWI14" s="27"/>
      <c r="AWJ14" s="27"/>
      <c r="AWP14" s="27"/>
      <c r="AWQ14" s="27"/>
      <c r="AWR14" s="27"/>
      <c r="AWX14" s="27"/>
      <c r="AWY14" s="27"/>
      <c r="AWZ14" s="27"/>
      <c r="AXF14" s="27"/>
      <c r="AXG14" s="27"/>
      <c r="AXH14" s="27"/>
      <c r="AXN14" s="27"/>
      <c r="AXO14" s="27"/>
      <c r="AXP14" s="27"/>
      <c r="AXV14" s="27"/>
      <c r="AXW14" s="27"/>
      <c r="AXX14" s="27"/>
      <c r="AYD14" s="27"/>
      <c r="AYE14" s="27"/>
      <c r="AYF14" s="27"/>
      <c r="AYL14" s="27"/>
      <c r="AYM14" s="27"/>
      <c r="AYN14" s="27"/>
      <c r="AYT14" s="27"/>
      <c r="AYU14" s="27"/>
      <c r="AYV14" s="27"/>
      <c r="AZB14" s="27"/>
      <c r="AZC14" s="27"/>
      <c r="AZD14" s="27"/>
      <c r="AZJ14" s="27"/>
      <c r="AZK14" s="27"/>
      <c r="AZL14" s="27"/>
      <c r="AZR14" s="27"/>
      <c r="AZS14" s="27"/>
      <c r="AZT14" s="27"/>
      <c r="AZZ14" s="27"/>
      <c r="BAA14" s="27"/>
      <c r="BAB14" s="27"/>
      <c r="BAH14" s="27"/>
      <c r="BAI14" s="27"/>
      <c r="BAJ14" s="27"/>
      <c r="BAP14" s="27"/>
      <c r="BAQ14" s="27"/>
      <c r="BAR14" s="27"/>
      <c r="BAX14" s="27"/>
      <c r="BAY14" s="27"/>
      <c r="BAZ14" s="27"/>
      <c r="BBF14" s="27"/>
      <c r="BBG14" s="27"/>
      <c r="BBH14" s="27"/>
      <c r="BBN14" s="27"/>
      <c r="BBO14" s="27"/>
      <c r="BBP14" s="27"/>
      <c r="BBV14" s="27"/>
      <c r="BBW14" s="27"/>
      <c r="BBX14" s="27"/>
      <c r="BCD14" s="27"/>
      <c r="BCE14" s="27"/>
      <c r="BCF14" s="27"/>
      <c r="BCL14" s="27"/>
      <c r="BCM14" s="27"/>
      <c r="BCN14" s="27"/>
      <c r="BCT14" s="27"/>
      <c r="BCU14" s="27"/>
      <c r="BCV14" s="27"/>
      <c r="BDB14" s="27"/>
      <c r="BDC14" s="27"/>
      <c r="BDD14" s="27"/>
      <c r="BDJ14" s="27"/>
      <c r="BDK14" s="27"/>
      <c r="BDL14" s="27"/>
      <c r="BDR14" s="27"/>
      <c r="BDS14" s="27"/>
      <c r="BDT14" s="27"/>
      <c r="BDZ14" s="27"/>
      <c r="BEA14" s="27"/>
      <c r="BEB14" s="27"/>
      <c r="BEH14" s="27"/>
      <c r="BEI14" s="27"/>
      <c r="BEJ14" s="27"/>
      <c r="BEP14" s="27"/>
      <c r="BEQ14" s="27"/>
      <c r="BER14" s="27"/>
      <c r="BEX14" s="27"/>
      <c r="BEY14" s="27"/>
      <c r="BEZ14" s="27"/>
      <c r="BFF14" s="27"/>
      <c r="BFG14" s="27"/>
      <c r="BFH14" s="27"/>
      <c r="BFN14" s="27"/>
      <c r="BFO14" s="27"/>
      <c r="BFP14" s="27"/>
      <c r="BFV14" s="27"/>
      <c r="BFW14" s="27"/>
      <c r="BFX14" s="27"/>
      <c r="BGD14" s="27"/>
      <c r="BGE14" s="27"/>
      <c r="BGF14" s="27"/>
      <c r="BGL14" s="27"/>
      <c r="BGM14" s="27"/>
      <c r="BGN14" s="27"/>
      <c r="BGT14" s="27"/>
      <c r="BGU14" s="27"/>
      <c r="BGV14" s="27"/>
      <c r="BHB14" s="27"/>
      <c r="BHC14" s="27"/>
      <c r="BHD14" s="27"/>
      <c r="BHJ14" s="27"/>
      <c r="BHK14" s="27"/>
      <c r="BHL14" s="27"/>
      <c r="BHR14" s="27"/>
      <c r="BHS14" s="27"/>
      <c r="BHT14" s="27"/>
      <c r="BHZ14" s="27"/>
      <c r="BIA14" s="27"/>
      <c r="BIB14" s="27"/>
      <c r="BIH14" s="27"/>
      <c r="BII14" s="27"/>
      <c r="BIJ14" s="27"/>
      <c r="BIP14" s="27"/>
      <c r="BIQ14" s="27"/>
      <c r="BIR14" s="27"/>
      <c r="BIX14" s="27"/>
      <c r="BIY14" s="27"/>
      <c r="BIZ14" s="27"/>
      <c r="BJF14" s="27"/>
      <c r="BJG14" s="27"/>
      <c r="BJH14" s="27"/>
      <c r="BJN14" s="27"/>
      <c r="BJO14" s="27"/>
      <c r="BJP14" s="27"/>
      <c r="BJV14" s="27"/>
      <c r="BJW14" s="27"/>
      <c r="BJX14" s="27"/>
      <c r="BKD14" s="27"/>
      <c r="BKE14" s="27"/>
      <c r="BKF14" s="27"/>
      <c r="BKL14" s="27"/>
      <c r="BKM14" s="27"/>
      <c r="BKN14" s="27"/>
      <c r="BKT14" s="27"/>
      <c r="BKU14" s="27"/>
      <c r="BKV14" s="27"/>
      <c r="BLB14" s="27"/>
      <c r="BLC14" s="27"/>
      <c r="BLD14" s="27"/>
      <c r="BLJ14" s="27"/>
      <c r="BLK14" s="27"/>
      <c r="BLL14" s="27"/>
      <c r="BLR14" s="27"/>
      <c r="BLS14" s="27"/>
      <c r="BLT14" s="27"/>
      <c r="BLZ14" s="27"/>
      <c r="BMA14" s="27"/>
      <c r="BMB14" s="27"/>
      <c r="BMH14" s="27"/>
      <c r="BMI14" s="27"/>
      <c r="BMJ14" s="27"/>
      <c r="BMP14" s="27"/>
      <c r="BMQ14" s="27"/>
      <c r="BMR14" s="27"/>
      <c r="BMX14" s="27"/>
      <c r="BMY14" s="27"/>
      <c r="BMZ14" s="27"/>
      <c r="BNF14" s="27"/>
      <c r="BNG14" s="27"/>
      <c r="BNH14" s="27"/>
      <c r="BNN14" s="27"/>
      <c r="BNO14" s="27"/>
      <c r="BNP14" s="27"/>
      <c r="BNV14" s="27"/>
      <c r="BNW14" s="27"/>
      <c r="BNX14" s="27"/>
      <c r="BOD14" s="27"/>
      <c r="BOE14" s="27"/>
      <c r="BOF14" s="27"/>
      <c r="BOL14" s="27"/>
      <c r="BOM14" s="27"/>
      <c r="BON14" s="27"/>
      <c r="BOT14" s="27"/>
      <c r="BOU14" s="27"/>
      <c r="BOV14" s="27"/>
      <c r="BPB14" s="27"/>
      <c r="BPC14" s="27"/>
      <c r="BPD14" s="27"/>
      <c r="BPJ14" s="27"/>
      <c r="BPK14" s="27"/>
      <c r="BPL14" s="27"/>
      <c r="BPR14" s="27"/>
      <c r="BPS14" s="27"/>
      <c r="BPT14" s="27"/>
      <c r="BPZ14" s="27"/>
      <c r="BQA14" s="27"/>
      <c r="BQB14" s="27"/>
      <c r="BQH14" s="27"/>
      <c r="BQI14" s="27"/>
      <c r="BQJ14" s="27"/>
      <c r="BQP14" s="27"/>
      <c r="BQQ14" s="27"/>
      <c r="BQR14" s="27"/>
      <c r="BQX14" s="27"/>
      <c r="BQY14" s="27"/>
      <c r="BQZ14" s="27"/>
      <c r="BRF14" s="27"/>
      <c r="BRG14" s="27"/>
      <c r="BRH14" s="27"/>
      <c r="BRN14" s="27"/>
      <c r="BRO14" s="27"/>
      <c r="BRP14" s="27"/>
      <c r="BRV14" s="27"/>
      <c r="BRW14" s="27"/>
      <c r="BRX14" s="27"/>
      <c r="BSD14" s="27"/>
      <c r="BSE14" s="27"/>
      <c r="BSF14" s="27"/>
      <c r="BSL14" s="27"/>
      <c r="BSM14" s="27"/>
      <c r="BSN14" s="27"/>
      <c r="BST14" s="27"/>
      <c r="BSU14" s="27"/>
      <c r="BSV14" s="27"/>
      <c r="BTB14" s="27"/>
      <c r="BTC14" s="27"/>
      <c r="BTD14" s="27"/>
      <c r="BTJ14" s="27"/>
      <c r="BTK14" s="27"/>
      <c r="BTL14" s="27"/>
      <c r="BTR14" s="27"/>
      <c r="BTS14" s="27"/>
      <c r="BTT14" s="27"/>
      <c r="BTZ14" s="27"/>
      <c r="BUA14" s="27"/>
      <c r="BUB14" s="27"/>
      <c r="BUH14" s="27"/>
      <c r="BUI14" s="27"/>
      <c r="BUJ14" s="27"/>
      <c r="BUP14" s="27"/>
      <c r="BUQ14" s="27"/>
      <c r="BUR14" s="27"/>
      <c r="BUX14" s="27"/>
      <c r="BUY14" s="27"/>
      <c r="BUZ14" s="27"/>
      <c r="BVF14" s="27"/>
      <c r="BVG14" s="27"/>
      <c r="BVH14" s="27"/>
      <c r="BVN14" s="27"/>
      <c r="BVO14" s="27"/>
      <c r="BVP14" s="27"/>
      <c r="BVV14" s="27"/>
      <c r="BVW14" s="27"/>
      <c r="BVX14" s="27"/>
      <c r="BWD14" s="27"/>
      <c r="BWE14" s="27"/>
      <c r="BWF14" s="27"/>
      <c r="BWL14" s="27"/>
      <c r="BWM14" s="27"/>
      <c r="BWN14" s="27"/>
      <c r="BWT14" s="27"/>
      <c r="BWU14" s="27"/>
      <c r="BWV14" s="27"/>
      <c r="BXB14" s="27"/>
      <c r="BXC14" s="27"/>
      <c r="BXD14" s="27"/>
      <c r="BXJ14" s="27"/>
      <c r="BXK14" s="27"/>
      <c r="BXL14" s="27"/>
      <c r="BXR14" s="27"/>
      <c r="BXS14" s="27"/>
      <c r="BXT14" s="27"/>
      <c r="BXZ14" s="27"/>
      <c r="BYA14" s="27"/>
      <c r="BYB14" s="27"/>
      <c r="BYH14" s="27"/>
      <c r="BYI14" s="27"/>
      <c r="BYJ14" s="27"/>
      <c r="BYP14" s="27"/>
      <c r="BYQ14" s="27"/>
      <c r="BYR14" s="27"/>
      <c r="BYX14" s="27"/>
      <c r="BYY14" s="27"/>
      <c r="BYZ14" s="27"/>
      <c r="BZF14" s="27"/>
      <c r="BZG14" s="27"/>
      <c r="BZH14" s="27"/>
      <c r="BZN14" s="27"/>
      <c r="BZO14" s="27"/>
      <c r="BZP14" s="27"/>
      <c r="BZV14" s="27"/>
      <c r="BZW14" s="27"/>
      <c r="BZX14" s="27"/>
      <c r="CAD14" s="27"/>
      <c r="CAE14" s="27"/>
      <c r="CAF14" s="27"/>
      <c r="CAL14" s="27"/>
      <c r="CAM14" s="27"/>
      <c r="CAN14" s="27"/>
      <c r="CAT14" s="27"/>
      <c r="CAU14" s="27"/>
      <c r="CAV14" s="27"/>
      <c r="CBB14" s="27"/>
      <c r="CBC14" s="27"/>
      <c r="CBD14" s="27"/>
      <c r="CBJ14" s="27"/>
      <c r="CBK14" s="27"/>
      <c r="CBL14" s="27"/>
      <c r="CBR14" s="27"/>
      <c r="CBS14" s="27"/>
      <c r="CBT14" s="27"/>
      <c r="CBZ14" s="27"/>
      <c r="CCA14" s="27"/>
      <c r="CCB14" s="27"/>
      <c r="CCH14" s="27"/>
      <c r="CCI14" s="27"/>
      <c r="CCJ14" s="27"/>
      <c r="CCP14" s="27"/>
      <c r="CCQ14" s="27"/>
      <c r="CCR14" s="27"/>
      <c r="CCX14" s="27"/>
      <c r="CCY14" s="27"/>
      <c r="CCZ14" s="27"/>
      <c r="CDF14" s="27"/>
      <c r="CDG14" s="27"/>
      <c r="CDH14" s="27"/>
      <c r="CDN14" s="27"/>
      <c r="CDO14" s="27"/>
      <c r="CDP14" s="27"/>
      <c r="CDV14" s="27"/>
      <c r="CDW14" s="27"/>
      <c r="CDX14" s="27"/>
      <c r="CED14" s="27"/>
      <c r="CEE14" s="27"/>
      <c r="CEF14" s="27"/>
      <c r="CEL14" s="27"/>
      <c r="CEM14" s="27"/>
      <c r="CEN14" s="27"/>
      <c r="CET14" s="27"/>
      <c r="CEU14" s="27"/>
      <c r="CEV14" s="27"/>
      <c r="CFB14" s="27"/>
      <c r="CFC14" s="27"/>
      <c r="CFD14" s="27"/>
      <c r="CFJ14" s="27"/>
      <c r="CFK14" s="27"/>
      <c r="CFL14" s="27"/>
      <c r="CFR14" s="27"/>
      <c r="CFS14" s="27"/>
      <c r="CFT14" s="27"/>
      <c r="CFZ14" s="27"/>
      <c r="CGA14" s="27"/>
      <c r="CGB14" s="27"/>
      <c r="CGH14" s="27"/>
      <c r="CGI14" s="27"/>
      <c r="CGJ14" s="27"/>
      <c r="CGP14" s="27"/>
      <c r="CGQ14" s="27"/>
      <c r="CGR14" s="27"/>
      <c r="CGX14" s="27"/>
      <c r="CGY14" s="27"/>
      <c r="CGZ14" s="27"/>
      <c r="CHF14" s="27"/>
      <c r="CHG14" s="27"/>
      <c r="CHH14" s="27"/>
      <c r="CHN14" s="27"/>
      <c r="CHO14" s="27"/>
      <c r="CHP14" s="27"/>
      <c r="CHV14" s="27"/>
      <c r="CHW14" s="27"/>
      <c r="CHX14" s="27"/>
      <c r="CID14" s="27"/>
      <c r="CIE14" s="27"/>
      <c r="CIF14" s="27"/>
      <c r="CIL14" s="27"/>
      <c r="CIM14" s="27"/>
      <c r="CIN14" s="27"/>
      <c r="CIT14" s="27"/>
      <c r="CIU14" s="27"/>
      <c r="CIV14" s="27"/>
      <c r="CJB14" s="27"/>
      <c r="CJC14" s="27"/>
      <c r="CJD14" s="27"/>
      <c r="CJJ14" s="27"/>
      <c r="CJK14" s="27"/>
      <c r="CJL14" s="27"/>
      <c r="CJR14" s="27"/>
      <c r="CJS14" s="27"/>
      <c r="CJT14" s="27"/>
      <c r="CJZ14" s="27"/>
      <c r="CKA14" s="27"/>
      <c r="CKB14" s="27"/>
      <c r="CKH14" s="27"/>
      <c r="CKI14" s="27"/>
      <c r="CKJ14" s="27"/>
      <c r="CKP14" s="27"/>
      <c r="CKQ14" s="27"/>
      <c r="CKR14" s="27"/>
      <c r="CKX14" s="27"/>
      <c r="CKY14" s="27"/>
      <c r="CKZ14" s="27"/>
      <c r="CLF14" s="27"/>
      <c r="CLG14" s="27"/>
      <c r="CLH14" s="27"/>
      <c r="CLN14" s="27"/>
      <c r="CLO14" s="27"/>
      <c r="CLP14" s="27"/>
      <c r="CLV14" s="27"/>
      <c r="CLW14" s="27"/>
      <c r="CLX14" s="27"/>
      <c r="CMD14" s="27"/>
      <c r="CME14" s="27"/>
      <c r="CMF14" s="27"/>
      <c r="CML14" s="27"/>
      <c r="CMM14" s="27"/>
      <c r="CMN14" s="27"/>
      <c r="CMT14" s="27"/>
      <c r="CMU14" s="27"/>
      <c r="CMV14" s="27"/>
      <c r="CNB14" s="27"/>
      <c r="CNC14" s="27"/>
      <c r="CND14" s="27"/>
      <c r="CNJ14" s="27"/>
      <c r="CNK14" s="27"/>
      <c r="CNL14" s="27"/>
      <c r="CNR14" s="27"/>
      <c r="CNS14" s="27"/>
      <c r="CNT14" s="27"/>
      <c r="CNZ14" s="27"/>
      <c r="COA14" s="27"/>
      <c r="COB14" s="27"/>
      <c r="COH14" s="27"/>
      <c r="COI14" s="27"/>
      <c r="COJ14" s="27"/>
      <c r="COP14" s="27"/>
      <c r="COQ14" s="27"/>
      <c r="COR14" s="27"/>
      <c r="COX14" s="27"/>
      <c r="COY14" s="27"/>
      <c r="COZ14" s="27"/>
      <c r="CPF14" s="27"/>
      <c r="CPG14" s="27"/>
      <c r="CPH14" s="27"/>
      <c r="CPN14" s="27"/>
      <c r="CPO14" s="27"/>
      <c r="CPP14" s="27"/>
      <c r="CPV14" s="27"/>
      <c r="CPW14" s="27"/>
      <c r="CPX14" s="27"/>
      <c r="CQD14" s="27"/>
      <c r="CQE14" s="27"/>
      <c r="CQF14" s="27"/>
      <c r="CQL14" s="27"/>
      <c r="CQM14" s="27"/>
      <c r="CQN14" s="27"/>
      <c r="CQT14" s="27"/>
      <c r="CQU14" s="27"/>
      <c r="CQV14" s="27"/>
      <c r="CRB14" s="27"/>
      <c r="CRC14" s="27"/>
      <c r="CRD14" s="27"/>
      <c r="CRJ14" s="27"/>
      <c r="CRK14" s="27"/>
      <c r="CRL14" s="27"/>
      <c r="CRR14" s="27"/>
      <c r="CRS14" s="27"/>
      <c r="CRT14" s="27"/>
      <c r="CRZ14" s="27"/>
      <c r="CSA14" s="27"/>
      <c r="CSB14" s="27"/>
      <c r="CSH14" s="27"/>
      <c r="CSI14" s="27"/>
      <c r="CSJ14" s="27"/>
      <c r="CSP14" s="27"/>
      <c r="CSQ14" s="27"/>
      <c r="CSR14" s="27"/>
      <c r="CSX14" s="27"/>
      <c r="CSY14" s="27"/>
      <c r="CSZ14" s="27"/>
      <c r="CTF14" s="27"/>
      <c r="CTG14" s="27"/>
      <c r="CTH14" s="27"/>
      <c r="CTN14" s="27"/>
      <c r="CTO14" s="27"/>
      <c r="CTP14" s="27"/>
      <c r="CTV14" s="27"/>
      <c r="CTW14" s="27"/>
      <c r="CTX14" s="27"/>
      <c r="CUD14" s="27"/>
      <c r="CUE14" s="27"/>
      <c r="CUF14" s="27"/>
      <c r="CUL14" s="27"/>
      <c r="CUM14" s="27"/>
      <c r="CUN14" s="27"/>
      <c r="CUT14" s="27"/>
      <c r="CUU14" s="27"/>
      <c r="CUV14" s="27"/>
      <c r="CVB14" s="27"/>
      <c r="CVC14" s="27"/>
      <c r="CVD14" s="27"/>
      <c r="CVJ14" s="27"/>
      <c r="CVK14" s="27"/>
      <c r="CVL14" s="27"/>
      <c r="CVR14" s="27"/>
      <c r="CVS14" s="27"/>
      <c r="CVT14" s="27"/>
      <c r="CVZ14" s="27"/>
      <c r="CWA14" s="27"/>
      <c r="CWB14" s="27"/>
      <c r="CWH14" s="27"/>
      <c r="CWI14" s="27"/>
      <c r="CWJ14" s="27"/>
      <c r="CWP14" s="27"/>
      <c r="CWQ14" s="27"/>
      <c r="CWR14" s="27"/>
      <c r="CWX14" s="27"/>
      <c r="CWY14" s="27"/>
      <c r="CWZ14" s="27"/>
      <c r="CXF14" s="27"/>
      <c r="CXG14" s="27"/>
      <c r="CXH14" s="27"/>
      <c r="CXN14" s="27"/>
      <c r="CXO14" s="27"/>
      <c r="CXP14" s="27"/>
      <c r="CXV14" s="27"/>
      <c r="CXW14" s="27"/>
      <c r="CXX14" s="27"/>
      <c r="CYD14" s="27"/>
      <c r="CYE14" s="27"/>
      <c r="CYF14" s="27"/>
      <c r="CYL14" s="27"/>
      <c r="CYM14" s="27"/>
      <c r="CYN14" s="27"/>
      <c r="CYT14" s="27"/>
      <c r="CYU14" s="27"/>
      <c r="CYV14" s="27"/>
      <c r="CZB14" s="27"/>
      <c r="CZC14" s="27"/>
      <c r="CZD14" s="27"/>
      <c r="CZJ14" s="27"/>
      <c r="CZK14" s="27"/>
      <c r="CZL14" s="27"/>
      <c r="CZR14" s="27"/>
      <c r="CZS14" s="27"/>
      <c r="CZT14" s="27"/>
      <c r="CZZ14" s="27"/>
      <c r="DAA14" s="27"/>
      <c r="DAB14" s="27"/>
      <c r="DAH14" s="27"/>
      <c r="DAI14" s="27"/>
      <c r="DAJ14" s="27"/>
      <c r="DAP14" s="27"/>
      <c r="DAQ14" s="27"/>
      <c r="DAR14" s="27"/>
      <c r="DAX14" s="27"/>
      <c r="DAY14" s="27"/>
      <c r="DAZ14" s="27"/>
      <c r="DBF14" s="27"/>
      <c r="DBG14" s="27"/>
      <c r="DBH14" s="27"/>
      <c r="DBN14" s="27"/>
      <c r="DBO14" s="27"/>
      <c r="DBP14" s="27"/>
      <c r="DBV14" s="27"/>
      <c r="DBW14" s="27"/>
      <c r="DBX14" s="27"/>
      <c r="DCD14" s="27"/>
      <c r="DCE14" s="27"/>
      <c r="DCF14" s="27"/>
      <c r="DCL14" s="27"/>
      <c r="DCM14" s="27"/>
      <c r="DCN14" s="27"/>
      <c r="DCT14" s="27"/>
      <c r="DCU14" s="27"/>
      <c r="DCV14" s="27"/>
      <c r="DDB14" s="27"/>
      <c r="DDC14" s="27"/>
      <c r="DDD14" s="27"/>
      <c r="DDJ14" s="27"/>
      <c r="DDK14" s="27"/>
      <c r="DDL14" s="27"/>
      <c r="DDR14" s="27"/>
      <c r="DDS14" s="27"/>
      <c r="DDT14" s="27"/>
      <c r="DDZ14" s="27"/>
      <c r="DEA14" s="27"/>
      <c r="DEB14" s="27"/>
      <c r="DEH14" s="27"/>
      <c r="DEI14" s="27"/>
      <c r="DEJ14" s="27"/>
      <c r="DEP14" s="27"/>
      <c r="DEQ14" s="27"/>
      <c r="DER14" s="27"/>
      <c r="DEX14" s="27"/>
      <c r="DEY14" s="27"/>
      <c r="DEZ14" s="27"/>
      <c r="DFF14" s="27"/>
      <c r="DFG14" s="27"/>
      <c r="DFH14" s="27"/>
      <c r="DFN14" s="27"/>
      <c r="DFO14" s="27"/>
      <c r="DFP14" s="27"/>
      <c r="DFV14" s="27"/>
      <c r="DFW14" s="27"/>
      <c r="DFX14" s="27"/>
      <c r="DGD14" s="27"/>
      <c r="DGE14" s="27"/>
      <c r="DGF14" s="27"/>
      <c r="DGL14" s="27"/>
      <c r="DGM14" s="27"/>
      <c r="DGN14" s="27"/>
      <c r="DGT14" s="27"/>
      <c r="DGU14" s="27"/>
      <c r="DGV14" s="27"/>
      <c r="DHB14" s="27"/>
      <c r="DHC14" s="27"/>
      <c r="DHD14" s="27"/>
      <c r="DHJ14" s="27"/>
      <c r="DHK14" s="27"/>
      <c r="DHL14" s="27"/>
      <c r="DHR14" s="27"/>
      <c r="DHS14" s="27"/>
      <c r="DHT14" s="27"/>
      <c r="DHZ14" s="27"/>
      <c r="DIA14" s="27"/>
      <c r="DIB14" s="27"/>
      <c r="DIH14" s="27"/>
      <c r="DII14" s="27"/>
      <c r="DIJ14" s="27"/>
      <c r="DIP14" s="27"/>
      <c r="DIQ14" s="27"/>
      <c r="DIR14" s="27"/>
      <c r="DIX14" s="27"/>
      <c r="DIY14" s="27"/>
      <c r="DIZ14" s="27"/>
      <c r="DJF14" s="27"/>
      <c r="DJG14" s="27"/>
      <c r="DJH14" s="27"/>
      <c r="DJN14" s="27"/>
      <c r="DJO14" s="27"/>
      <c r="DJP14" s="27"/>
      <c r="DJV14" s="27"/>
      <c r="DJW14" s="27"/>
      <c r="DJX14" s="27"/>
      <c r="DKD14" s="27"/>
      <c r="DKE14" s="27"/>
      <c r="DKF14" s="27"/>
      <c r="DKL14" s="27"/>
      <c r="DKM14" s="27"/>
      <c r="DKN14" s="27"/>
      <c r="DKT14" s="27"/>
      <c r="DKU14" s="27"/>
      <c r="DKV14" s="27"/>
      <c r="DLB14" s="27"/>
      <c r="DLC14" s="27"/>
      <c r="DLD14" s="27"/>
      <c r="DLJ14" s="27"/>
      <c r="DLK14" s="27"/>
      <c r="DLL14" s="27"/>
      <c r="DLR14" s="27"/>
      <c r="DLS14" s="27"/>
      <c r="DLT14" s="27"/>
      <c r="DLZ14" s="27"/>
      <c r="DMA14" s="27"/>
      <c r="DMB14" s="27"/>
      <c r="DMH14" s="27"/>
      <c r="DMI14" s="27"/>
      <c r="DMJ14" s="27"/>
      <c r="DMP14" s="27"/>
      <c r="DMQ14" s="27"/>
      <c r="DMR14" s="27"/>
      <c r="DMX14" s="27"/>
      <c r="DMY14" s="27"/>
      <c r="DMZ14" s="27"/>
      <c r="DNF14" s="27"/>
      <c r="DNG14" s="27"/>
      <c r="DNH14" s="27"/>
      <c r="DNN14" s="27"/>
      <c r="DNO14" s="27"/>
      <c r="DNP14" s="27"/>
      <c r="DNV14" s="27"/>
      <c r="DNW14" s="27"/>
      <c r="DNX14" s="27"/>
      <c r="DOD14" s="27"/>
      <c r="DOE14" s="27"/>
      <c r="DOF14" s="27"/>
      <c r="DOL14" s="27"/>
      <c r="DOM14" s="27"/>
      <c r="DON14" s="27"/>
      <c r="DOT14" s="27"/>
      <c r="DOU14" s="27"/>
      <c r="DOV14" s="27"/>
      <c r="DPB14" s="27"/>
      <c r="DPC14" s="27"/>
      <c r="DPD14" s="27"/>
      <c r="DPJ14" s="27"/>
      <c r="DPK14" s="27"/>
      <c r="DPL14" s="27"/>
      <c r="DPR14" s="27"/>
      <c r="DPS14" s="27"/>
      <c r="DPT14" s="27"/>
      <c r="DPZ14" s="27"/>
      <c r="DQA14" s="27"/>
      <c r="DQB14" s="27"/>
      <c r="DQH14" s="27"/>
      <c r="DQI14" s="27"/>
      <c r="DQJ14" s="27"/>
      <c r="DQP14" s="27"/>
      <c r="DQQ14" s="27"/>
      <c r="DQR14" s="27"/>
      <c r="DQX14" s="27"/>
      <c r="DQY14" s="27"/>
      <c r="DQZ14" s="27"/>
      <c r="DRF14" s="27"/>
      <c r="DRG14" s="27"/>
      <c r="DRH14" s="27"/>
      <c r="DRN14" s="27"/>
      <c r="DRO14" s="27"/>
      <c r="DRP14" s="27"/>
      <c r="DRV14" s="27"/>
      <c r="DRW14" s="27"/>
      <c r="DRX14" s="27"/>
      <c r="DSD14" s="27"/>
      <c r="DSE14" s="27"/>
      <c r="DSF14" s="27"/>
      <c r="DSL14" s="27"/>
      <c r="DSM14" s="27"/>
      <c r="DSN14" s="27"/>
      <c r="DST14" s="27"/>
      <c r="DSU14" s="27"/>
      <c r="DSV14" s="27"/>
      <c r="DTB14" s="27"/>
      <c r="DTC14" s="27"/>
      <c r="DTD14" s="27"/>
      <c r="DTJ14" s="27"/>
      <c r="DTK14" s="27"/>
      <c r="DTL14" s="27"/>
      <c r="DTR14" s="27"/>
      <c r="DTS14" s="27"/>
      <c r="DTT14" s="27"/>
      <c r="DTZ14" s="27"/>
      <c r="DUA14" s="27"/>
      <c r="DUB14" s="27"/>
      <c r="DUH14" s="27"/>
      <c r="DUI14" s="27"/>
      <c r="DUJ14" s="27"/>
      <c r="DUP14" s="27"/>
      <c r="DUQ14" s="27"/>
      <c r="DUR14" s="27"/>
      <c r="DUX14" s="27"/>
      <c r="DUY14" s="27"/>
      <c r="DUZ14" s="27"/>
      <c r="DVF14" s="27"/>
      <c r="DVG14" s="27"/>
      <c r="DVH14" s="27"/>
      <c r="DVN14" s="27"/>
      <c r="DVO14" s="27"/>
      <c r="DVP14" s="27"/>
      <c r="DVV14" s="27"/>
      <c r="DVW14" s="27"/>
      <c r="DVX14" s="27"/>
      <c r="DWD14" s="27"/>
      <c r="DWE14" s="27"/>
      <c r="DWF14" s="27"/>
      <c r="DWL14" s="27"/>
      <c r="DWM14" s="27"/>
      <c r="DWN14" s="27"/>
      <c r="DWT14" s="27"/>
      <c r="DWU14" s="27"/>
      <c r="DWV14" s="27"/>
      <c r="DXB14" s="27"/>
      <c r="DXC14" s="27"/>
      <c r="DXD14" s="27"/>
      <c r="DXJ14" s="27"/>
      <c r="DXK14" s="27"/>
      <c r="DXL14" s="27"/>
      <c r="DXR14" s="27"/>
      <c r="DXS14" s="27"/>
      <c r="DXT14" s="27"/>
      <c r="DXZ14" s="27"/>
      <c r="DYA14" s="27"/>
      <c r="DYB14" s="27"/>
      <c r="DYH14" s="27"/>
      <c r="DYI14" s="27"/>
      <c r="DYJ14" s="27"/>
      <c r="DYP14" s="27"/>
      <c r="DYQ14" s="27"/>
      <c r="DYR14" s="27"/>
      <c r="DYX14" s="27"/>
      <c r="DYY14" s="27"/>
      <c r="DYZ14" s="27"/>
      <c r="DZF14" s="27"/>
      <c r="DZG14" s="27"/>
      <c r="DZH14" s="27"/>
      <c r="DZN14" s="27"/>
      <c r="DZO14" s="27"/>
      <c r="DZP14" s="27"/>
      <c r="DZV14" s="27"/>
      <c r="DZW14" s="27"/>
      <c r="DZX14" s="27"/>
      <c r="EAD14" s="27"/>
      <c r="EAE14" s="27"/>
      <c r="EAF14" s="27"/>
      <c r="EAL14" s="27"/>
      <c r="EAM14" s="27"/>
      <c r="EAN14" s="27"/>
      <c r="EAT14" s="27"/>
      <c r="EAU14" s="27"/>
      <c r="EAV14" s="27"/>
      <c r="EBB14" s="27"/>
      <c r="EBC14" s="27"/>
      <c r="EBD14" s="27"/>
      <c r="EBJ14" s="27"/>
      <c r="EBK14" s="27"/>
      <c r="EBL14" s="27"/>
      <c r="EBR14" s="27"/>
      <c r="EBS14" s="27"/>
      <c r="EBT14" s="27"/>
      <c r="EBZ14" s="27"/>
      <c r="ECA14" s="27"/>
      <c r="ECB14" s="27"/>
      <c r="ECH14" s="27"/>
      <c r="ECI14" s="27"/>
      <c r="ECJ14" s="27"/>
      <c r="ECP14" s="27"/>
      <c r="ECQ14" s="27"/>
      <c r="ECR14" s="27"/>
      <c r="ECX14" s="27"/>
      <c r="ECY14" s="27"/>
      <c r="ECZ14" s="27"/>
      <c r="EDF14" s="27"/>
      <c r="EDG14" s="27"/>
      <c r="EDH14" s="27"/>
      <c r="EDN14" s="27"/>
      <c r="EDO14" s="27"/>
      <c r="EDP14" s="27"/>
      <c r="EDV14" s="27"/>
      <c r="EDW14" s="27"/>
      <c r="EDX14" s="27"/>
      <c r="EED14" s="27"/>
      <c r="EEE14" s="27"/>
      <c r="EEF14" s="27"/>
      <c r="EEL14" s="27"/>
      <c r="EEM14" s="27"/>
      <c r="EEN14" s="27"/>
      <c r="EET14" s="27"/>
      <c r="EEU14" s="27"/>
      <c r="EEV14" s="27"/>
      <c r="EFB14" s="27"/>
      <c r="EFC14" s="27"/>
      <c r="EFD14" s="27"/>
      <c r="EFJ14" s="27"/>
      <c r="EFK14" s="27"/>
      <c r="EFL14" s="27"/>
      <c r="EFR14" s="27"/>
      <c r="EFS14" s="27"/>
      <c r="EFT14" s="27"/>
      <c r="EFZ14" s="27"/>
      <c r="EGA14" s="27"/>
      <c r="EGB14" s="27"/>
      <c r="EGH14" s="27"/>
      <c r="EGI14" s="27"/>
      <c r="EGJ14" s="27"/>
      <c r="EGP14" s="27"/>
      <c r="EGQ14" s="27"/>
      <c r="EGR14" s="27"/>
      <c r="EGX14" s="27"/>
      <c r="EGY14" s="27"/>
      <c r="EGZ14" s="27"/>
      <c r="EHF14" s="27"/>
      <c r="EHG14" s="27"/>
      <c r="EHH14" s="27"/>
      <c r="EHN14" s="27"/>
      <c r="EHO14" s="27"/>
      <c r="EHP14" s="27"/>
      <c r="EHV14" s="27"/>
      <c r="EHW14" s="27"/>
      <c r="EHX14" s="27"/>
      <c r="EID14" s="27"/>
      <c r="EIE14" s="27"/>
      <c r="EIF14" s="27"/>
      <c r="EIL14" s="27"/>
      <c r="EIM14" s="27"/>
      <c r="EIN14" s="27"/>
      <c r="EIT14" s="27"/>
      <c r="EIU14" s="27"/>
      <c r="EIV14" s="27"/>
      <c r="EJB14" s="27"/>
      <c r="EJC14" s="27"/>
      <c r="EJD14" s="27"/>
      <c r="EJJ14" s="27"/>
      <c r="EJK14" s="27"/>
      <c r="EJL14" s="27"/>
      <c r="EJR14" s="27"/>
      <c r="EJS14" s="27"/>
      <c r="EJT14" s="27"/>
      <c r="EJZ14" s="27"/>
      <c r="EKA14" s="27"/>
      <c r="EKB14" s="27"/>
      <c r="EKH14" s="27"/>
      <c r="EKI14" s="27"/>
      <c r="EKJ14" s="27"/>
      <c r="EKP14" s="27"/>
      <c r="EKQ14" s="27"/>
      <c r="EKR14" s="27"/>
      <c r="EKX14" s="27"/>
      <c r="EKY14" s="27"/>
      <c r="EKZ14" s="27"/>
      <c r="ELF14" s="27"/>
      <c r="ELG14" s="27"/>
      <c r="ELH14" s="27"/>
      <c r="ELN14" s="27"/>
      <c r="ELO14" s="27"/>
      <c r="ELP14" s="27"/>
      <c r="ELV14" s="27"/>
      <c r="ELW14" s="27"/>
      <c r="ELX14" s="27"/>
      <c r="EMD14" s="27"/>
      <c r="EME14" s="27"/>
      <c r="EMF14" s="27"/>
      <c r="EML14" s="27"/>
      <c r="EMM14" s="27"/>
      <c r="EMN14" s="27"/>
      <c r="EMT14" s="27"/>
      <c r="EMU14" s="27"/>
      <c r="EMV14" s="27"/>
      <c r="ENB14" s="27"/>
      <c r="ENC14" s="27"/>
      <c r="END14" s="27"/>
      <c r="ENJ14" s="27"/>
      <c r="ENK14" s="27"/>
      <c r="ENL14" s="27"/>
      <c r="ENR14" s="27"/>
      <c r="ENS14" s="27"/>
      <c r="ENT14" s="27"/>
      <c r="ENZ14" s="27"/>
      <c r="EOA14" s="27"/>
      <c r="EOB14" s="27"/>
      <c r="EOH14" s="27"/>
      <c r="EOI14" s="27"/>
      <c r="EOJ14" s="27"/>
      <c r="EOP14" s="27"/>
      <c r="EOQ14" s="27"/>
      <c r="EOR14" s="27"/>
      <c r="EOX14" s="27"/>
      <c r="EOY14" s="27"/>
      <c r="EOZ14" s="27"/>
      <c r="EPF14" s="27"/>
      <c r="EPG14" s="27"/>
      <c r="EPH14" s="27"/>
      <c r="EPN14" s="27"/>
      <c r="EPO14" s="27"/>
      <c r="EPP14" s="27"/>
      <c r="EPV14" s="27"/>
      <c r="EPW14" s="27"/>
      <c r="EPX14" s="27"/>
      <c r="EQD14" s="27"/>
      <c r="EQE14" s="27"/>
      <c r="EQF14" s="27"/>
      <c r="EQL14" s="27"/>
      <c r="EQM14" s="27"/>
      <c r="EQN14" s="27"/>
      <c r="EQT14" s="27"/>
      <c r="EQU14" s="27"/>
      <c r="EQV14" s="27"/>
      <c r="ERB14" s="27"/>
      <c r="ERC14" s="27"/>
      <c r="ERD14" s="27"/>
      <c r="ERJ14" s="27"/>
      <c r="ERK14" s="27"/>
      <c r="ERL14" s="27"/>
      <c r="ERR14" s="27"/>
      <c r="ERS14" s="27"/>
      <c r="ERT14" s="27"/>
      <c r="ERZ14" s="27"/>
      <c r="ESA14" s="27"/>
      <c r="ESB14" s="27"/>
      <c r="ESH14" s="27"/>
      <c r="ESI14" s="27"/>
      <c r="ESJ14" s="27"/>
      <c r="ESP14" s="27"/>
      <c r="ESQ14" s="27"/>
      <c r="ESR14" s="27"/>
      <c r="ESX14" s="27"/>
      <c r="ESY14" s="27"/>
      <c r="ESZ14" s="27"/>
      <c r="ETF14" s="27"/>
      <c r="ETG14" s="27"/>
      <c r="ETH14" s="27"/>
      <c r="ETN14" s="27"/>
      <c r="ETO14" s="27"/>
      <c r="ETP14" s="27"/>
      <c r="ETV14" s="27"/>
      <c r="ETW14" s="27"/>
      <c r="ETX14" s="27"/>
      <c r="EUD14" s="27"/>
      <c r="EUE14" s="27"/>
      <c r="EUF14" s="27"/>
      <c r="EUL14" s="27"/>
      <c r="EUM14" s="27"/>
      <c r="EUN14" s="27"/>
      <c r="EUT14" s="27"/>
      <c r="EUU14" s="27"/>
      <c r="EUV14" s="27"/>
      <c r="EVB14" s="27"/>
      <c r="EVC14" s="27"/>
      <c r="EVD14" s="27"/>
      <c r="EVJ14" s="27"/>
      <c r="EVK14" s="27"/>
      <c r="EVL14" s="27"/>
      <c r="EVR14" s="27"/>
      <c r="EVS14" s="27"/>
      <c r="EVT14" s="27"/>
      <c r="EVZ14" s="27"/>
      <c r="EWA14" s="27"/>
      <c r="EWB14" s="27"/>
      <c r="EWH14" s="27"/>
      <c r="EWI14" s="27"/>
      <c r="EWJ14" s="27"/>
      <c r="EWP14" s="27"/>
      <c r="EWQ14" s="27"/>
      <c r="EWR14" s="27"/>
      <c r="EWX14" s="27"/>
      <c r="EWY14" s="27"/>
      <c r="EWZ14" s="27"/>
      <c r="EXF14" s="27"/>
      <c r="EXG14" s="27"/>
      <c r="EXH14" s="27"/>
      <c r="EXN14" s="27"/>
      <c r="EXO14" s="27"/>
      <c r="EXP14" s="27"/>
      <c r="EXV14" s="27"/>
      <c r="EXW14" s="27"/>
      <c r="EXX14" s="27"/>
      <c r="EYD14" s="27"/>
      <c r="EYE14" s="27"/>
      <c r="EYF14" s="27"/>
      <c r="EYL14" s="27"/>
      <c r="EYM14" s="27"/>
      <c r="EYN14" s="27"/>
      <c r="EYT14" s="27"/>
      <c r="EYU14" s="27"/>
      <c r="EYV14" s="27"/>
      <c r="EZB14" s="27"/>
      <c r="EZC14" s="27"/>
      <c r="EZD14" s="27"/>
      <c r="EZJ14" s="27"/>
      <c r="EZK14" s="27"/>
      <c r="EZL14" s="27"/>
      <c r="EZR14" s="27"/>
      <c r="EZS14" s="27"/>
      <c r="EZT14" s="27"/>
      <c r="EZZ14" s="27"/>
      <c r="FAA14" s="27"/>
      <c r="FAB14" s="27"/>
      <c r="FAH14" s="27"/>
      <c r="FAI14" s="27"/>
      <c r="FAJ14" s="27"/>
      <c r="FAP14" s="27"/>
      <c r="FAQ14" s="27"/>
      <c r="FAR14" s="27"/>
      <c r="FAX14" s="27"/>
      <c r="FAY14" s="27"/>
      <c r="FAZ14" s="27"/>
      <c r="FBF14" s="27"/>
      <c r="FBG14" s="27"/>
      <c r="FBH14" s="27"/>
      <c r="FBN14" s="27"/>
      <c r="FBO14" s="27"/>
      <c r="FBP14" s="27"/>
      <c r="FBV14" s="27"/>
      <c r="FBW14" s="27"/>
      <c r="FBX14" s="27"/>
      <c r="FCD14" s="27"/>
      <c r="FCE14" s="27"/>
      <c r="FCF14" s="27"/>
      <c r="FCL14" s="27"/>
      <c r="FCM14" s="27"/>
      <c r="FCN14" s="27"/>
      <c r="FCT14" s="27"/>
      <c r="FCU14" s="27"/>
      <c r="FCV14" s="27"/>
      <c r="FDB14" s="27"/>
      <c r="FDC14" s="27"/>
      <c r="FDD14" s="27"/>
      <c r="FDJ14" s="27"/>
      <c r="FDK14" s="27"/>
      <c r="FDL14" s="27"/>
      <c r="FDR14" s="27"/>
      <c r="FDS14" s="27"/>
      <c r="FDT14" s="27"/>
      <c r="FDZ14" s="27"/>
      <c r="FEA14" s="27"/>
      <c r="FEB14" s="27"/>
      <c r="FEH14" s="27"/>
      <c r="FEI14" s="27"/>
      <c r="FEJ14" s="27"/>
      <c r="FEP14" s="27"/>
      <c r="FEQ14" s="27"/>
      <c r="FER14" s="27"/>
      <c r="FEX14" s="27"/>
      <c r="FEY14" s="27"/>
      <c r="FEZ14" s="27"/>
      <c r="FFF14" s="27"/>
      <c r="FFG14" s="27"/>
      <c r="FFH14" s="27"/>
      <c r="FFN14" s="27"/>
      <c r="FFO14" s="27"/>
      <c r="FFP14" s="27"/>
      <c r="FFV14" s="27"/>
      <c r="FFW14" s="27"/>
      <c r="FFX14" s="27"/>
      <c r="FGD14" s="27"/>
      <c r="FGE14" s="27"/>
      <c r="FGF14" s="27"/>
      <c r="FGL14" s="27"/>
      <c r="FGM14" s="27"/>
      <c r="FGN14" s="27"/>
      <c r="FGT14" s="27"/>
      <c r="FGU14" s="27"/>
      <c r="FGV14" s="27"/>
      <c r="FHB14" s="27"/>
      <c r="FHC14" s="27"/>
      <c r="FHD14" s="27"/>
      <c r="FHJ14" s="27"/>
      <c r="FHK14" s="27"/>
      <c r="FHL14" s="27"/>
      <c r="FHR14" s="27"/>
      <c r="FHS14" s="27"/>
      <c r="FHT14" s="27"/>
      <c r="FHZ14" s="27"/>
      <c r="FIA14" s="27"/>
      <c r="FIB14" s="27"/>
      <c r="FIH14" s="27"/>
      <c r="FII14" s="27"/>
      <c r="FIJ14" s="27"/>
      <c r="FIP14" s="27"/>
      <c r="FIQ14" s="27"/>
      <c r="FIR14" s="27"/>
      <c r="FIX14" s="27"/>
      <c r="FIY14" s="27"/>
      <c r="FIZ14" s="27"/>
      <c r="FJF14" s="27"/>
      <c r="FJG14" s="27"/>
      <c r="FJH14" s="27"/>
      <c r="FJN14" s="27"/>
      <c r="FJO14" s="27"/>
      <c r="FJP14" s="27"/>
      <c r="FJV14" s="27"/>
      <c r="FJW14" s="27"/>
      <c r="FJX14" s="27"/>
      <c r="FKD14" s="27"/>
      <c r="FKE14" s="27"/>
      <c r="FKF14" s="27"/>
      <c r="FKL14" s="27"/>
      <c r="FKM14" s="27"/>
      <c r="FKN14" s="27"/>
      <c r="FKT14" s="27"/>
      <c r="FKU14" s="27"/>
      <c r="FKV14" s="27"/>
      <c r="FLB14" s="27"/>
      <c r="FLC14" s="27"/>
      <c r="FLD14" s="27"/>
      <c r="FLJ14" s="27"/>
      <c r="FLK14" s="27"/>
      <c r="FLL14" s="27"/>
      <c r="FLR14" s="27"/>
      <c r="FLS14" s="27"/>
      <c r="FLT14" s="27"/>
      <c r="FLZ14" s="27"/>
      <c r="FMA14" s="27"/>
      <c r="FMB14" s="27"/>
      <c r="FMH14" s="27"/>
      <c r="FMI14" s="27"/>
      <c r="FMJ14" s="27"/>
      <c r="FMP14" s="27"/>
      <c r="FMQ14" s="27"/>
      <c r="FMR14" s="27"/>
      <c r="FMX14" s="27"/>
      <c r="FMY14" s="27"/>
      <c r="FMZ14" s="27"/>
      <c r="FNF14" s="27"/>
      <c r="FNG14" s="27"/>
      <c r="FNH14" s="27"/>
      <c r="FNN14" s="27"/>
      <c r="FNO14" s="27"/>
      <c r="FNP14" s="27"/>
      <c r="FNV14" s="27"/>
      <c r="FNW14" s="27"/>
      <c r="FNX14" s="27"/>
      <c r="FOD14" s="27"/>
      <c r="FOE14" s="27"/>
      <c r="FOF14" s="27"/>
      <c r="FOL14" s="27"/>
      <c r="FOM14" s="27"/>
      <c r="FON14" s="27"/>
      <c r="FOT14" s="27"/>
      <c r="FOU14" s="27"/>
      <c r="FOV14" s="27"/>
      <c r="FPB14" s="27"/>
      <c r="FPC14" s="27"/>
      <c r="FPD14" s="27"/>
      <c r="FPJ14" s="27"/>
      <c r="FPK14" s="27"/>
      <c r="FPL14" s="27"/>
      <c r="FPR14" s="27"/>
      <c r="FPS14" s="27"/>
      <c r="FPT14" s="27"/>
      <c r="FPZ14" s="27"/>
      <c r="FQA14" s="27"/>
      <c r="FQB14" s="27"/>
      <c r="FQH14" s="27"/>
      <c r="FQI14" s="27"/>
      <c r="FQJ14" s="27"/>
      <c r="FQP14" s="27"/>
      <c r="FQQ14" s="27"/>
      <c r="FQR14" s="27"/>
      <c r="FQX14" s="27"/>
      <c r="FQY14" s="27"/>
      <c r="FQZ14" s="27"/>
      <c r="FRF14" s="27"/>
      <c r="FRG14" s="27"/>
      <c r="FRH14" s="27"/>
      <c r="FRN14" s="27"/>
      <c r="FRO14" s="27"/>
      <c r="FRP14" s="27"/>
      <c r="FRV14" s="27"/>
      <c r="FRW14" s="27"/>
      <c r="FRX14" s="27"/>
      <c r="FSD14" s="27"/>
      <c r="FSE14" s="27"/>
      <c r="FSF14" s="27"/>
      <c r="FSL14" s="27"/>
      <c r="FSM14" s="27"/>
      <c r="FSN14" s="27"/>
      <c r="FST14" s="27"/>
      <c r="FSU14" s="27"/>
      <c r="FSV14" s="27"/>
      <c r="FTB14" s="27"/>
      <c r="FTC14" s="27"/>
      <c r="FTD14" s="27"/>
      <c r="FTJ14" s="27"/>
      <c r="FTK14" s="27"/>
      <c r="FTL14" s="27"/>
      <c r="FTR14" s="27"/>
      <c r="FTS14" s="27"/>
      <c r="FTT14" s="27"/>
      <c r="FTZ14" s="27"/>
      <c r="FUA14" s="27"/>
      <c r="FUB14" s="27"/>
      <c r="FUH14" s="27"/>
      <c r="FUI14" s="27"/>
      <c r="FUJ14" s="27"/>
      <c r="FUP14" s="27"/>
      <c r="FUQ14" s="27"/>
      <c r="FUR14" s="27"/>
      <c r="FUX14" s="27"/>
      <c r="FUY14" s="27"/>
      <c r="FUZ14" s="27"/>
      <c r="FVF14" s="27"/>
      <c r="FVG14" s="27"/>
      <c r="FVH14" s="27"/>
      <c r="FVN14" s="27"/>
      <c r="FVO14" s="27"/>
      <c r="FVP14" s="27"/>
      <c r="FVV14" s="27"/>
      <c r="FVW14" s="27"/>
      <c r="FVX14" s="27"/>
      <c r="FWD14" s="27"/>
      <c r="FWE14" s="27"/>
      <c r="FWF14" s="27"/>
      <c r="FWL14" s="27"/>
      <c r="FWM14" s="27"/>
      <c r="FWN14" s="27"/>
      <c r="FWT14" s="27"/>
      <c r="FWU14" s="27"/>
      <c r="FWV14" s="27"/>
      <c r="FXB14" s="27"/>
      <c r="FXC14" s="27"/>
      <c r="FXD14" s="27"/>
      <c r="FXJ14" s="27"/>
      <c r="FXK14" s="27"/>
      <c r="FXL14" s="27"/>
      <c r="FXR14" s="27"/>
      <c r="FXS14" s="27"/>
      <c r="FXT14" s="27"/>
      <c r="FXZ14" s="27"/>
      <c r="FYA14" s="27"/>
      <c r="FYB14" s="27"/>
      <c r="FYH14" s="27"/>
      <c r="FYI14" s="27"/>
      <c r="FYJ14" s="27"/>
      <c r="FYP14" s="27"/>
      <c r="FYQ14" s="27"/>
      <c r="FYR14" s="27"/>
      <c r="FYX14" s="27"/>
      <c r="FYY14" s="27"/>
      <c r="FYZ14" s="27"/>
      <c r="FZF14" s="27"/>
      <c r="FZG14" s="27"/>
      <c r="FZH14" s="27"/>
      <c r="FZN14" s="27"/>
      <c r="FZO14" s="27"/>
      <c r="FZP14" s="27"/>
      <c r="FZV14" s="27"/>
      <c r="FZW14" s="27"/>
      <c r="FZX14" s="27"/>
      <c r="GAD14" s="27"/>
      <c r="GAE14" s="27"/>
      <c r="GAF14" s="27"/>
      <c r="GAL14" s="27"/>
      <c r="GAM14" s="27"/>
      <c r="GAN14" s="27"/>
      <c r="GAT14" s="27"/>
      <c r="GAU14" s="27"/>
      <c r="GAV14" s="27"/>
      <c r="GBB14" s="27"/>
      <c r="GBC14" s="27"/>
      <c r="GBD14" s="27"/>
      <c r="GBJ14" s="27"/>
      <c r="GBK14" s="27"/>
      <c r="GBL14" s="27"/>
      <c r="GBR14" s="27"/>
      <c r="GBS14" s="27"/>
      <c r="GBT14" s="27"/>
      <c r="GBZ14" s="27"/>
      <c r="GCA14" s="27"/>
      <c r="GCB14" s="27"/>
      <c r="GCH14" s="27"/>
      <c r="GCI14" s="27"/>
      <c r="GCJ14" s="27"/>
      <c r="GCP14" s="27"/>
      <c r="GCQ14" s="27"/>
      <c r="GCR14" s="27"/>
      <c r="GCX14" s="27"/>
      <c r="GCY14" s="27"/>
      <c r="GCZ14" s="27"/>
      <c r="GDF14" s="27"/>
      <c r="GDG14" s="27"/>
      <c r="GDH14" s="27"/>
      <c r="GDN14" s="27"/>
      <c r="GDO14" s="27"/>
      <c r="GDP14" s="27"/>
      <c r="GDV14" s="27"/>
      <c r="GDW14" s="27"/>
      <c r="GDX14" s="27"/>
      <c r="GED14" s="27"/>
      <c r="GEE14" s="27"/>
      <c r="GEF14" s="27"/>
      <c r="GEL14" s="27"/>
      <c r="GEM14" s="27"/>
      <c r="GEN14" s="27"/>
      <c r="GET14" s="27"/>
      <c r="GEU14" s="27"/>
      <c r="GEV14" s="27"/>
      <c r="GFB14" s="27"/>
      <c r="GFC14" s="27"/>
      <c r="GFD14" s="27"/>
      <c r="GFJ14" s="27"/>
      <c r="GFK14" s="27"/>
      <c r="GFL14" s="27"/>
      <c r="GFR14" s="27"/>
      <c r="GFS14" s="27"/>
      <c r="GFT14" s="27"/>
      <c r="GFZ14" s="27"/>
      <c r="GGA14" s="27"/>
      <c r="GGB14" s="27"/>
      <c r="GGH14" s="27"/>
      <c r="GGI14" s="27"/>
      <c r="GGJ14" s="27"/>
      <c r="GGP14" s="27"/>
      <c r="GGQ14" s="27"/>
      <c r="GGR14" s="27"/>
      <c r="GGX14" s="27"/>
      <c r="GGY14" s="27"/>
      <c r="GGZ14" s="27"/>
      <c r="GHF14" s="27"/>
      <c r="GHG14" s="27"/>
      <c r="GHH14" s="27"/>
      <c r="GHN14" s="27"/>
      <c r="GHO14" s="27"/>
      <c r="GHP14" s="27"/>
      <c r="GHV14" s="27"/>
      <c r="GHW14" s="27"/>
      <c r="GHX14" s="27"/>
      <c r="GID14" s="27"/>
      <c r="GIE14" s="27"/>
      <c r="GIF14" s="27"/>
      <c r="GIL14" s="27"/>
      <c r="GIM14" s="27"/>
      <c r="GIN14" s="27"/>
      <c r="GIT14" s="27"/>
      <c r="GIU14" s="27"/>
      <c r="GIV14" s="27"/>
      <c r="GJB14" s="27"/>
      <c r="GJC14" s="27"/>
      <c r="GJD14" s="27"/>
      <c r="GJJ14" s="27"/>
      <c r="GJK14" s="27"/>
      <c r="GJL14" s="27"/>
      <c r="GJR14" s="27"/>
      <c r="GJS14" s="27"/>
      <c r="GJT14" s="27"/>
      <c r="GJZ14" s="27"/>
      <c r="GKA14" s="27"/>
      <c r="GKB14" s="27"/>
      <c r="GKH14" s="27"/>
      <c r="GKI14" s="27"/>
      <c r="GKJ14" s="27"/>
      <c r="GKP14" s="27"/>
      <c r="GKQ14" s="27"/>
      <c r="GKR14" s="27"/>
      <c r="GKX14" s="27"/>
      <c r="GKY14" s="27"/>
      <c r="GKZ14" s="27"/>
      <c r="GLF14" s="27"/>
      <c r="GLG14" s="27"/>
      <c r="GLH14" s="27"/>
      <c r="GLN14" s="27"/>
      <c r="GLO14" s="27"/>
      <c r="GLP14" s="27"/>
      <c r="GLV14" s="27"/>
      <c r="GLW14" s="27"/>
      <c r="GLX14" s="27"/>
      <c r="GMD14" s="27"/>
      <c r="GME14" s="27"/>
      <c r="GMF14" s="27"/>
      <c r="GML14" s="27"/>
      <c r="GMM14" s="27"/>
      <c r="GMN14" s="27"/>
      <c r="GMT14" s="27"/>
      <c r="GMU14" s="27"/>
      <c r="GMV14" s="27"/>
      <c r="GNB14" s="27"/>
      <c r="GNC14" s="27"/>
      <c r="GND14" s="27"/>
      <c r="GNJ14" s="27"/>
      <c r="GNK14" s="27"/>
      <c r="GNL14" s="27"/>
      <c r="GNR14" s="27"/>
      <c r="GNS14" s="27"/>
      <c r="GNT14" s="27"/>
      <c r="GNZ14" s="27"/>
      <c r="GOA14" s="27"/>
      <c r="GOB14" s="27"/>
      <c r="GOH14" s="27"/>
      <c r="GOI14" s="27"/>
      <c r="GOJ14" s="27"/>
      <c r="GOP14" s="27"/>
      <c r="GOQ14" s="27"/>
      <c r="GOR14" s="27"/>
      <c r="GOX14" s="27"/>
      <c r="GOY14" s="27"/>
      <c r="GOZ14" s="27"/>
      <c r="GPF14" s="27"/>
      <c r="GPG14" s="27"/>
      <c r="GPH14" s="27"/>
      <c r="GPN14" s="27"/>
      <c r="GPO14" s="27"/>
      <c r="GPP14" s="27"/>
      <c r="GPV14" s="27"/>
      <c r="GPW14" s="27"/>
      <c r="GPX14" s="27"/>
      <c r="GQD14" s="27"/>
      <c r="GQE14" s="27"/>
      <c r="GQF14" s="27"/>
      <c r="GQL14" s="27"/>
      <c r="GQM14" s="27"/>
      <c r="GQN14" s="27"/>
      <c r="GQT14" s="27"/>
      <c r="GQU14" s="27"/>
      <c r="GQV14" s="27"/>
      <c r="GRB14" s="27"/>
      <c r="GRC14" s="27"/>
      <c r="GRD14" s="27"/>
      <c r="GRJ14" s="27"/>
      <c r="GRK14" s="27"/>
      <c r="GRL14" s="27"/>
      <c r="GRR14" s="27"/>
      <c r="GRS14" s="27"/>
      <c r="GRT14" s="27"/>
      <c r="GRZ14" s="27"/>
      <c r="GSA14" s="27"/>
      <c r="GSB14" s="27"/>
      <c r="GSH14" s="27"/>
      <c r="GSI14" s="27"/>
      <c r="GSJ14" s="27"/>
      <c r="GSP14" s="27"/>
      <c r="GSQ14" s="27"/>
      <c r="GSR14" s="27"/>
      <c r="GSX14" s="27"/>
      <c r="GSY14" s="27"/>
      <c r="GSZ14" s="27"/>
      <c r="GTF14" s="27"/>
      <c r="GTG14" s="27"/>
      <c r="GTH14" s="27"/>
      <c r="GTN14" s="27"/>
      <c r="GTO14" s="27"/>
      <c r="GTP14" s="27"/>
      <c r="GTV14" s="27"/>
      <c r="GTW14" s="27"/>
      <c r="GTX14" s="27"/>
      <c r="GUD14" s="27"/>
      <c r="GUE14" s="27"/>
      <c r="GUF14" s="27"/>
      <c r="GUL14" s="27"/>
      <c r="GUM14" s="27"/>
      <c r="GUN14" s="27"/>
      <c r="GUT14" s="27"/>
      <c r="GUU14" s="27"/>
      <c r="GUV14" s="27"/>
      <c r="GVB14" s="27"/>
      <c r="GVC14" s="27"/>
      <c r="GVD14" s="27"/>
      <c r="GVJ14" s="27"/>
      <c r="GVK14" s="27"/>
      <c r="GVL14" s="27"/>
      <c r="GVR14" s="27"/>
      <c r="GVS14" s="27"/>
      <c r="GVT14" s="27"/>
      <c r="GVZ14" s="27"/>
      <c r="GWA14" s="27"/>
      <c r="GWB14" s="27"/>
      <c r="GWH14" s="27"/>
      <c r="GWI14" s="27"/>
      <c r="GWJ14" s="27"/>
      <c r="GWP14" s="27"/>
      <c r="GWQ14" s="27"/>
      <c r="GWR14" s="27"/>
      <c r="GWX14" s="27"/>
      <c r="GWY14" s="27"/>
      <c r="GWZ14" s="27"/>
      <c r="GXF14" s="27"/>
      <c r="GXG14" s="27"/>
      <c r="GXH14" s="27"/>
      <c r="GXN14" s="27"/>
      <c r="GXO14" s="27"/>
      <c r="GXP14" s="27"/>
      <c r="GXV14" s="27"/>
      <c r="GXW14" s="27"/>
      <c r="GXX14" s="27"/>
      <c r="GYD14" s="27"/>
      <c r="GYE14" s="27"/>
      <c r="GYF14" s="27"/>
      <c r="GYL14" s="27"/>
      <c r="GYM14" s="27"/>
      <c r="GYN14" s="27"/>
      <c r="GYT14" s="27"/>
      <c r="GYU14" s="27"/>
      <c r="GYV14" s="27"/>
      <c r="GZB14" s="27"/>
      <c r="GZC14" s="27"/>
      <c r="GZD14" s="27"/>
      <c r="GZJ14" s="27"/>
      <c r="GZK14" s="27"/>
      <c r="GZL14" s="27"/>
      <c r="GZR14" s="27"/>
      <c r="GZS14" s="27"/>
      <c r="GZT14" s="27"/>
      <c r="GZZ14" s="27"/>
      <c r="HAA14" s="27"/>
      <c r="HAB14" s="27"/>
      <c r="HAH14" s="27"/>
      <c r="HAI14" s="27"/>
      <c r="HAJ14" s="27"/>
      <c r="HAP14" s="27"/>
      <c r="HAQ14" s="27"/>
      <c r="HAR14" s="27"/>
      <c r="HAX14" s="27"/>
      <c r="HAY14" s="27"/>
      <c r="HAZ14" s="27"/>
      <c r="HBF14" s="27"/>
      <c r="HBG14" s="27"/>
      <c r="HBH14" s="27"/>
      <c r="HBN14" s="27"/>
      <c r="HBO14" s="27"/>
      <c r="HBP14" s="27"/>
      <c r="HBV14" s="27"/>
      <c r="HBW14" s="27"/>
      <c r="HBX14" s="27"/>
      <c r="HCD14" s="27"/>
      <c r="HCE14" s="27"/>
      <c r="HCF14" s="27"/>
      <c r="HCL14" s="27"/>
      <c r="HCM14" s="27"/>
      <c r="HCN14" s="27"/>
      <c r="HCT14" s="27"/>
      <c r="HCU14" s="27"/>
      <c r="HCV14" s="27"/>
      <c r="HDB14" s="27"/>
      <c r="HDC14" s="27"/>
      <c r="HDD14" s="27"/>
      <c r="HDJ14" s="27"/>
      <c r="HDK14" s="27"/>
      <c r="HDL14" s="27"/>
      <c r="HDR14" s="27"/>
      <c r="HDS14" s="27"/>
      <c r="HDT14" s="27"/>
      <c r="HDZ14" s="27"/>
      <c r="HEA14" s="27"/>
      <c r="HEB14" s="27"/>
      <c r="HEH14" s="27"/>
      <c r="HEI14" s="27"/>
      <c r="HEJ14" s="27"/>
      <c r="HEP14" s="27"/>
      <c r="HEQ14" s="27"/>
      <c r="HER14" s="27"/>
      <c r="HEX14" s="27"/>
      <c r="HEY14" s="27"/>
      <c r="HEZ14" s="27"/>
      <c r="HFF14" s="27"/>
      <c r="HFG14" s="27"/>
      <c r="HFH14" s="27"/>
      <c r="HFN14" s="27"/>
      <c r="HFO14" s="27"/>
      <c r="HFP14" s="27"/>
      <c r="HFV14" s="27"/>
      <c r="HFW14" s="27"/>
      <c r="HFX14" s="27"/>
      <c r="HGD14" s="27"/>
      <c r="HGE14" s="27"/>
      <c r="HGF14" s="27"/>
      <c r="HGL14" s="27"/>
      <c r="HGM14" s="27"/>
      <c r="HGN14" s="27"/>
      <c r="HGT14" s="27"/>
      <c r="HGU14" s="27"/>
      <c r="HGV14" s="27"/>
      <c r="HHB14" s="27"/>
      <c r="HHC14" s="27"/>
      <c r="HHD14" s="27"/>
      <c r="HHJ14" s="27"/>
      <c r="HHK14" s="27"/>
      <c r="HHL14" s="27"/>
      <c r="HHR14" s="27"/>
      <c r="HHS14" s="27"/>
      <c r="HHT14" s="27"/>
      <c r="HHZ14" s="27"/>
      <c r="HIA14" s="27"/>
      <c r="HIB14" s="27"/>
      <c r="HIH14" s="27"/>
      <c r="HII14" s="27"/>
      <c r="HIJ14" s="27"/>
      <c r="HIP14" s="27"/>
      <c r="HIQ14" s="27"/>
      <c r="HIR14" s="27"/>
      <c r="HIX14" s="27"/>
      <c r="HIY14" s="27"/>
      <c r="HIZ14" s="27"/>
      <c r="HJF14" s="27"/>
      <c r="HJG14" s="27"/>
      <c r="HJH14" s="27"/>
      <c r="HJN14" s="27"/>
      <c r="HJO14" s="27"/>
      <c r="HJP14" s="27"/>
      <c r="HJV14" s="27"/>
      <c r="HJW14" s="27"/>
      <c r="HJX14" s="27"/>
      <c r="HKD14" s="27"/>
      <c r="HKE14" s="27"/>
      <c r="HKF14" s="27"/>
      <c r="HKL14" s="27"/>
      <c r="HKM14" s="27"/>
      <c r="HKN14" s="27"/>
      <c r="HKT14" s="27"/>
      <c r="HKU14" s="27"/>
      <c r="HKV14" s="27"/>
      <c r="HLB14" s="27"/>
      <c r="HLC14" s="27"/>
      <c r="HLD14" s="27"/>
      <c r="HLJ14" s="27"/>
      <c r="HLK14" s="27"/>
      <c r="HLL14" s="27"/>
      <c r="HLR14" s="27"/>
      <c r="HLS14" s="27"/>
      <c r="HLT14" s="27"/>
      <c r="HLZ14" s="27"/>
      <c r="HMA14" s="27"/>
      <c r="HMB14" s="27"/>
      <c r="HMH14" s="27"/>
      <c r="HMI14" s="27"/>
      <c r="HMJ14" s="27"/>
      <c r="HMP14" s="27"/>
      <c r="HMQ14" s="27"/>
      <c r="HMR14" s="27"/>
      <c r="HMX14" s="27"/>
      <c r="HMY14" s="27"/>
      <c r="HMZ14" s="27"/>
      <c r="HNF14" s="27"/>
      <c r="HNG14" s="27"/>
      <c r="HNH14" s="27"/>
      <c r="HNN14" s="27"/>
      <c r="HNO14" s="27"/>
      <c r="HNP14" s="27"/>
      <c r="HNV14" s="27"/>
      <c r="HNW14" s="27"/>
      <c r="HNX14" s="27"/>
      <c r="HOD14" s="27"/>
      <c r="HOE14" s="27"/>
      <c r="HOF14" s="27"/>
      <c r="HOL14" s="27"/>
      <c r="HOM14" s="27"/>
      <c r="HON14" s="27"/>
      <c r="HOT14" s="27"/>
      <c r="HOU14" s="27"/>
      <c r="HOV14" s="27"/>
      <c r="HPB14" s="27"/>
      <c r="HPC14" s="27"/>
      <c r="HPD14" s="27"/>
      <c r="HPJ14" s="27"/>
      <c r="HPK14" s="27"/>
      <c r="HPL14" s="27"/>
      <c r="HPR14" s="27"/>
      <c r="HPS14" s="27"/>
      <c r="HPT14" s="27"/>
      <c r="HPZ14" s="27"/>
      <c r="HQA14" s="27"/>
      <c r="HQB14" s="27"/>
      <c r="HQH14" s="27"/>
      <c r="HQI14" s="27"/>
      <c r="HQJ14" s="27"/>
      <c r="HQP14" s="27"/>
      <c r="HQQ14" s="27"/>
      <c r="HQR14" s="27"/>
      <c r="HQX14" s="27"/>
      <c r="HQY14" s="27"/>
      <c r="HQZ14" s="27"/>
      <c r="HRF14" s="27"/>
      <c r="HRG14" s="27"/>
      <c r="HRH14" s="27"/>
      <c r="HRN14" s="27"/>
      <c r="HRO14" s="27"/>
      <c r="HRP14" s="27"/>
      <c r="HRV14" s="27"/>
      <c r="HRW14" s="27"/>
      <c r="HRX14" s="27"/>
      <c r="HSD14" s="27"/>
      <c r="HSE14" s="27"/>
      <c r="HSF14" s="27"/>
      <c r="HSL14" s="27"/>
      <c r="HSM14" s="27"/>
      <c r="HSN14" s="27"/>
      <c r="HST14" s="27"/>
      <c r="HSU14" s="27"/>
      <c r="HSV14" s="27"/>
      <c r="HTB14" s="27"/>
      <c r="HTC14" s="27"/>
      <c r="HTD14" s="27"/>
      <c r="HTJ14" s="27"/>
      <c r="HTK14" s="27"/>
      <c r="HTL14" s="27"/>
      <c r="HTR14" s="27"/>
      <c r="HTS14" s="27"/>
      <c r="HTT14" s="27"/>
      <c r="HTZ14" s="27"/>
      <c r="HUA14" s="27"/>
      <c r="HUB14" s="27"/>
      <c r="HUH14" s="27"/>
      <c r="HUI14" s="27"/>
      <c r="HUJ14" s="27"/>
      <c r="HUP14" s="27"/>
      <c r="HUQ14" s="27"/>
      <c r="HUR14" s="27"/>
      <c r="HUX14" s="27"/>
      <c r="HUY14" s="27"/>
      <c r="HUZ14" s="27"/>
      <c r="HVF14" s="27"/>
      <c r="HVG14" s="27"/>
      <c r="HVH14" s="27"/>
      <c r="HVN14" s="27"/>
      <c r="HVO14" s="27"/>
      <c r="HVP14" s="27"/>
      <c r="HVV14" s="27"/>
      <c r="HVW14" s="27"/>
      <c r="HVX14" s="27"/>
      <c r="HWD14" s="27"/>
      <c r="HWE14" s="27"/>
      <c r="HWF14" s="27"/>
      <c r="HWL14" s="27"/>
      <c r="HWM14" s="27"/>
      <c r="HWN14" s="27"/>
      <c r="HWT14" s="27"/>
      <c r="HWU14" s="27"/>
      <c r="HWV14" s="27"/>
      <c r="HXB14" s="27"/>
      <c r="HXC14" s="27"/>
      <c r="HXD14" s="27"/>
      <c r="HXJ14" s="27"/>
      <c r="HXK14" s="27"/>
      <c r="HXL14" s="27"/>
      <c r="HXR14" s="27"/>
      <c r="HXS14" s="27"/>
      <c r="HXT14" s="27"/>
      <c r="HXZ14" s="27"/>
      <c r="HYA14" s="27"/>
      <c r="HYB14" s="27"/>
      <c r="HYH14" s="27"/>
      <c r="HYI14" s="27"/>
      <c r="HYJ14" s="27"/>
      <c r="HYP14" s="27"/>
      <c r="HYQ14" s="27"/>
      <c r="HYR14" s="27"/>
      <c r="HYX14" s="27"/>
      <c r="HYY14" s="27"/>
      <c r="HYZ14" s="27"/>
      <c r="HZF14" s="27"/>
      <c r="HZG14" s="27"/>
      <c r="HZH14" s="27"/>
      <c r="HZN14" s="27"/>
      <c r="HZO14" s="27"/>
      <c r="HZP14" s="27"/>
      <c r="HZV14" s="27"/>
      <c r="HZW14" s="27"/>
      <c r="HZX14" s="27"/>
      <c r="IAD14" s="27"/>
      <c r="IAE14" s="27"/>
      <c r="IAF14" s="27"/>
      <c r="IAL14" s="27"/>
      <c r="IAM14" s="27"/>
      <c r="IAN14" s="27"/>
      <c r="IAT14" s="27"/>
      <c r="IAU14" s="27"/>
      <c r="IAV14" s="27"/>
      <c r="IBB14" s="27"/>
      <c r="IBC14" s="27"/>
      <c r="IBD14" s="27"/>
      <c r="IBJ14" s="27"/>
      <c r="IBK14" s="27"/>
      <c r="IBL14" s="27"/>
      <c r="IBR14" s="27"/>
      <c r="IBS14" s="27"/>
      <c r="IBT14" s="27"/>
      <c r="IBZ14" s="27"/>
      <c r="ICA14" s="27"/>
      <c r="ICB14" s="27"/>
      <c r="ICH14" s="27"/>
      <c r="ICI14" s="27"/>
      <c r="ICJ14" s="27"/>
      <c r="ICP14" s="27"/>
      <c r="ICQ14" s="27"/>
      <c r="ICR14" s="27"/>
      <c r="ICX14" s="27"/>
      <c r="ICY14" s="27"/>
      <c r="ICZ14" s="27"/>
      <c r="IDF14" s="27"/>
      <c r="IDG14" s="27"/>
      <c r="IDH14" s="27"/>
      <c r="IDN14" s="27"/>
      <c r="IDO14" s="27"/>
      <c r="IDP14" s="27"/>
      <c r="IDV14" s="27"/>
      <c r="IDW14" s="27"/>
      <c r="IDX14" s="27"/>
      <c r="IED14" s="27"/>
      <c r="IEE14" s="27"/>
      <c r="IEF14" s="27"/>
      <c r="IEL14" s="27"/>
      <c r="IEM14" s="27"/>
      <c r="IEN14" s="27"/>
      <c r="IET14" s="27"/>
      <c r="IEU14" s="27"/>
      <c r="IEV14" s="27"/>
      <c r="IFB14" s="27"/>
      <c r="IFC14" s="27"/>
      <c r="IFD14" s="27"/>
      <c r="IFJ14" s="27"/>
      <c r="IFK14" s="27"/>
      <c r="IFL14" s="27"/>
      <c r="IFR14" s="27"/>
      <c r="IFS14" s="27"/>
      <c r="IFT14" s="27"/>
      <c r="IFZ14" s="27"/>
      <c r="IGA14" s="27"/>
      <c r="IGB14" s="27"/>
      <c r="IGH14" s="27"/>
      <c r="IGI14" s="27"/>
      <c r="IGJ14" s="27"/>
      <c r="IGP14" s="27"/>
      <c r="IGQ14" s="27"/>
      <c r="IGR14" s="27"/>
      <c r="IGX14" s="27"/>
      <c r="IGY14" s="27"/>
      <c r="IGZ14" s="27"/>
      <c r="IHF14" s="27"/>
      <c r="IHG14" s="27"/>
      <c r="IHH14" s="27"/>
      <c r="IHN14" s="27"/>
      <c r="IHO14" s="27"/>
      <c r="IHP14" s="27"/>
      <c r="IHV14" s="27"/>
      <c r="IHW14" s="27"/>
      <c r="IHX14" s="27"/>
      <c r="IID14" s="27"/>
      <c r="IIE14" s="27"/>
      <c r="IIF14" s="27"/>
      <c r="IIL14" s="27"/>
      <c r="IIM14" s="27"/>
      <c r="IIN14" s="27"/>
      <c r="IIT14" s="27"/>
      <c r="IIU14" s="27"/>
      <c r="IIV14" s="27"/>
      <c r="IJB14" s="27"/>
      <c r="IJC14" s="27"/>
      <c r="IJD14" s="27"/>
      <c r="IJJ14" s="27"/>
      <c r="IJK14" s="27"/>
      <c r="IJL14" s="27"/>
      <c r="IJR14" s="27"/>
      <c r="IJS14" s="27"/>
      <c r="IJT14" s="27"/>
      <c r="IJZ14" s="27"/>
      <c r="IKA14" s="27"/>
      <c r="IKB14" s="27"/>
      <c r="IKH14" s="27"/>
      <c r="IKI14" s="27"/>
      <c r="IKJ14" s="27"/>
      <c r="IKP14" s="27"/>
      <c r="IKQ14" s="27"/>
      <c r="IKR14" s="27"/>
      <c r="IKX14" s="27"/>
      <c r="IKY14" s="27"/>
      <c r="IKZ14" s="27"/>
      <c r="ILF14" s="27"/>
      <c r="ILG14" s="27"/>
      <c r="ILH14" s="27"/>
      <c r="ILN14" s="27"/>
      <c r="ILO14" s="27"/>
      <c r="ILP14" s="27"/>
      <c r="ILV14" s="27"/>
      <c r="ILW14" s="27"/>
      <c r="ILX14" s="27"/>
      <c r="IMD14" s="27"/>
      <c r="IME14" s="27"/>
      <c r="IMF14" s="27"/>
      <c r="IML14" s="27"/>
      <c r="IMM14" s="27"/>
      <c r="IMN14" s="27"/>
      <c r="IMT14" s="27"/>
      <c r="IMU14" s="27"/>
      <c r="IMV14" s="27"/>
      <c r="INB14" s="27"/>
      <c r="INC14" s="27"/>
      <c r="IND14" s="27"/>
      <c r="INJ14" s="27"/>
      <c r="INK14" s="27"/>
      <c r="INL14" s="27"/>
      <c r="INR14" s="27"/>
      <c r="INS14" s="27"/>
      <c r="INT14" s="27"/>
      <c r="INZ14" s="27"/>
      <c r="IOA14" s="27"/>
      <c r="IOB14" s="27"/>
      <c r="IOH14" s="27"/>
      <c r="IOI14" s="27"/>
      <c r="IOJ14" s="27"/>
      <c r="IOP14" s="27"/>
      <c r="IOQ14" s="27"/>
      <c r="IOR14" s="27"/>
      <c r="IOX14" s="27"/>
      <c r="IOY14" s="27"/>
      <c r="IOZ14" s="27"/>
      <c r="IPF14" s="27"/>
      <c r="IPG14" s="27"/>
      <c r="IPH14" s="27"/>
      <c r="IPN14" s="27"/>
      <c r="IPO14" s="27"/>
      <c r="IPP14" s="27"/>
      <c r="IPV14" s="27"/>
      <c r="IPW14" s="27"/>
      <c r="IPX14" s="27"/>
      <c r="IQD14" s="27"/>
      <c r="IQE14" s="27"/>
      <c r="IQF14" s="27"/>
      <c r="IQL14" s="27"/>
      <c r="IQM14" s="27"/>
      <c r="IQN14" s="27"/>
      <c r="IQT14" s="27"/>
      <c r="IQU14" s="27"/>
      <c r="IQV14" s="27"/>
      <c r="IRB14" s="27"/>
      <c r="IRC14" s="27"/>
      <c r="IRD14" s="27"/>
      <c r="IRJ14" s="27"/>
      <c r="IRK14" s="27"/>
      <c r="IRL14" s="27"/>
      <c r="IRR14" s="27"/>
      <c r="IRS14" s="27"/>
      <c r="IRT14" s="27"/>
      <c r="IRZ14" s="27"/>
      <c r="ISA14" s="27"/>
      <c r="ISB14" s="27"/>
      <c r="ISH14" s="27"/>
      <c r="ISI14" s="27"/>
      <c r="ISJ14" s="27"/>
      <c r="ISP14" s="27"/>
      <c r="ISQ14" s="27"/>
      <c r="ISR14" s="27"/>
      <c r="ISX14" s="27"/>
      <c r="ISY14" s="27"/>
      <c r="ISZ14" s="27"/>
      <c r="ITF14" s="27"/>
      <c r="ITG14" s="27"/>
      <c r="ITH14" s="27"/>
      <c r="ITN14" s="27"/>
      <c r="ITO14" s="27"/>
      <c r="ITP14" s="27"/>
      <c r="ITV14" s="27"/>
      <c r="ITW14" s="27"/>
      <c r="ITX14" s="27"/>
      <c r="IUD14" s="27"/>
      <c r="IUE14" s="27"/>
      <c r="IUF14" s="27"/>
      <c r="IUL14" s="27"/>
      <c r="IUM14" s="27"/>
      <c r="IUN14" s="27"/>
      <c r="IUT14" s="27"/>
      <c r="IUU14" s="27"/>
      <c r="IUV14" s="27"/>
      <c r="IVB14" s="27"/>
      <c r="IVC14" s="27"/>
      <c r="IVD14" s="27"/>
      <c r="IVJ14" s="27"/>
      <c r="IVK14" s="27"/>
      <c r="IVL14" s="27"/>
      <c r="IVR14" s="27"/>
      <c r="IVS14" s="27"/>
      <c r="IVT14" s="27"/>
      <c r="IVZ14" s="27"/>
      <c r="IWA14" s="27"/>
      <c r="IWB14" s="27"/>
      <c r="IWH14" s="27"/>
      <c r="IWI14" s="27"/>
      <c r="IWJ14" s="27"/>
      <c r="IWP14" s="27"/>
      <c r="IWQ14" s="27"/>
      <c r="IWR14" s="27"/>
      <c r="IWX14" s="27"/>
      <c r="IWY14" s="27"/>
      <c r="IWZ14" s="27"/>
      <c r="IXF14" s="27"/>
      <c r="IXG14" s="27"/>
      <c r="IXH14" s="27"/>
      <c r="IXN14" s="27"/>
      <c r="IXO14" s="27"/>
      <c r="IXP14" s="27"/>
      <c r="IXV14" s="27"/>
      <c r="IXW14" s="27"/>
      <c r="IXX14" s="27"/>
      <c r="IYD14" s="27"/>
      <c r="IYE14" s="27"/>
      <c r="IYF14" s="27"/>
      <c r="IYL14" s="27"/>
      <c r="IYM14" s="27"/>
      <c r="IYN14" s="27"/>
      <c r="IYT14" s="27"/>
      <c r="IYU14" s="27"/>
      <c r="IYV14" s="27"/>
      <c r="IZB14" s="27"/>
      <c r="IZC14" s="27"/>
      <c r="IZD14" s="27"/>
      <c r="IZJ14" s="27"/>
      <c r="IZK14" s="27"/>
      <c r="IZL14" s="27"/>
      <c r="IZR14" s="27"/>
      <c r="IZS14" s="27"/>
      <c r="IZT14" s="27"/>
      <c r="IZZ14" s="27"/>
      <c r="JAA14" s="27"/>
      <c r="JAB14" s="27"/>
      <c r="JAH14" s="27"/>
      <c r="JAI14" s="27"/>
      <c r="JAJ14" s="27"/>
      <c r="JAP14" s="27"/>
      <c r="JAQ14" s="27"/>
      <c r="JAR14" s="27"/>
      <c r="JAX14" s="27"/>
      <c r="JAY14" s="27"/>
      <c r="JAZ14" s="27"/>
      <c r="JBF14" s="27"/>
      <c r="JBG14" s="27"/>
      <c r="JBH14" s="27"/>
      <c r="JBN14" s="27"/>
      <c r="JBO14" s="27"/>
      <c r="JBP14" s="27"/>
      <c r="JBV14" s="27"/>
      <c r="JBW14" s="27"/>
      <c r="JBX14" s="27"/>
      <c r="JCD14" s="27"/>
      <c r="JCE14" s="27"/>
      <c r="JCF14" s="27"/>
      <c r="JCL14" s="27"/>
      <c r="JCM14" s="27"/>
      <c r="JCN14" s="27"/>
      <c r="JCT14" s="27"/>
      <c r="JCU14" s="27"/>
      <c r="JCV14" s="27"/>
      <c r="JDB14" s="27"/>
      <c r="JDC14" s="27"/>
      <c r="JDD14" s="27"/>
      <c r="JDJ14" s="27"/>
      <c r="JDK14" s="27"/>
      <c r="JDL14" s="27"/>
      <c r="JDR14" s="27"/>
      <c r="JDS14" s="27"/>
      <c r="JDT14" s="27"/>
      <c r="JDZ14" s="27"/>
      <c r="JEA14" s="27"/>
      <c r="JEB14" s="27"/>
      <c r="JEH14" s="27"/>
      <c r="JEI14" s="27"/>
      <c r="JEJ14" s="27"/>
      <c r="JEP14" s="27"/>
      <c r="JEQ14" s="27"/>
      <c r="JER14" s="27"/>
      <c r="JEX14" s="27"/>
      <c r="JEY14" s="27"/>
      <c r="JEZ14" s="27"/>
      <c r="JFF14" s="27"/>
      <c r="JFG14" s="27"/>
      <c r="JFH14" s="27"/>
      <c r="JFN14" s="27"/>
      <c r="JFO14" s="27"/>
      <c r="JFP14" s="27"/>
      <c r="JFV14" s="27"/>
      <c r="JFW14" s="27"/>
      <c r="JFX14" s="27"/>
      <c r="JGD14" s="27"/>
      <c r="JGE14" s="27"/>
      <c r="JGF14" s="27"/>
      <c r="JGL14" s="27"/>
      <c r="JGM14" s="27"/>
      <c r="JGN14" s="27"/>
      <c r="JGT14" s="27"/>
      <c r="JGU14" s="27"/>
      <c r="JGV14" s="27"/>
      <c r="JHB14" s="27"/>
      <c r="JHC14" s="27"/>
      <c r="JHD14" s="27"/>
      <c r="JHJ14" s="27"/>
      <c r="JHK14" s="27"/>
      <c r="JHL14" s="27"/>
      <c r="JHR14" s="27"/>
      <c r="JHS14" s="27"/>
      <c r="JHT14" s="27"/>
      <c r="JHZ14" s="27"/>
      <c r="JIA14" s="27"/>
      <c r="JIB14" s="27"/>
      <c r="JIH14" s="27"/>
      <c r="JII14" s="27"/>
      <c r="JIJ14" s="27"/>
      <c r="JIP14" s="27"/>
      <c r="JIQ14" s="27"/>
      <c r="JIR14" s="27"/>
      <c r="JIX14" s="27"/>
      <c r="JIY14" s="27"/>
      <c r="JIZ14" s="27"/>
      <c r="JJF14" s="27"/>
      <c r="JJG14" s="27"/>
      <c r="JJH14" s="27"/>
      <c r="JJN14" s="27"/>
      <c r="JJO14" s="27"/>
      <c r="JJP14" s="27"/>
      <c r="JJV14" s="27"/>
      <c r="JJW14" s="27"/>
      <c r="JJX14" s="27"/>
      <c r="JKD14" s="27"/>
      <c r="JKE14" s="27"/>
      <c r="JKF14" s="27"/>
      <c r="JKL14" s="27"/>
      <c r="JKM14" s="27"/>
      <c r="JKN14" s="27"/>
      <c r="JKT14" s="27"/>
      <c r="JKU14" s="27"/>
      <c r="JKV14" s="27"/>
      <c r="JLB14" s="27"/>
      <c r="JLC14" s="27"/>
      <c r="JLD14" s="27"/>
      <c r="JLJ14" s="27"/>
      <c r="JLK14" s="27"/>
      <c r="JLL14" s="27"/>
      <c r="JLR14" s="27"/>
      <c r="JLS14" s="27"/>
      <c r="JLT14" s="27"/>
      <c r="JLZ14" s="27"/>
      <c r="JMA14" s="27"/>
      <c r="JMB14" s="27"/>
      <c r="JMH14" s="27"/>
      <c r="JMI14" s="27"/>
      <c r="JMJ14" s="27"/>
      <c r="JMP14" s="27"/>
      <c r="JMQ14" s="27"/>
      <c r="JMR14" s="27"/>
      <c r="JMX14" s="27"/>
      <c r="JMY14" s="27"/>
      <c r="JMZ14" s="27"/>
      <c r="JNF14" s="27"/>
      <c r="JNG14" s="27"/>
      <c r="JNH14" s="27"/>
      <c r="JNN14" s="27"/>
      <c r="JNO14" s="27"/>
      <c r="JNP14" s="27"/>
      <c r="JNV14" s="27"/>
      <c r="JNW14" s="27"/>
      <c r="JNX14" s="27"/>
      <c r="JOD14" s="27"/>
      <c r="JOE14" s="27"/>
      <c r="JOF14" s="27"/>
      <c r="JOL14" s="27"/>
      <c r="JOM14" s="27"/>
      <c r="JON14" s="27"/>
      <c r="JOT14" s="27"/>
      <c r="JOU14" s="27"/>
      <c r="JOV14" s="27"/>
      <c r="JPB14" s="27"/>
      <c r="JPC14" s="27"/>
      <c r="JPD14" s="27"/>
      <c r="JPJ14" s="27"/>
      <c r="JPK14" s="27"/>
      <c r="JPL14" s="27"/>
      <c r="JPR14" s="27"/>
      <c r="JPS14" s="27"/>
      <c r="JPT14" s="27"/>
      <c r="JPZ14" s="27"/>
      <c r="JQA14" s="27"/>
      <c r="JQB14" s="27"/>
      <c r="JQH14" s="27"/>
      <c r="JQI14" s="27"/>
      <c r="JQJ14" s="27"/>
      <c r="JQP14" s="27"/>
      <c r="JQQ14" s="27"/>
      <c r="JQR14" s="27"/>
      <c r="JQX14" s="27"/>
      <c r="JQY14" s="27"/>
      <c r="JQZ14" s="27"/>
      <c r="JRF14" s="27"/>
      <c r="JRG14" s="27"/>
      <c r="JRH14" s="27"/>
      <c r="JRN14" s="27"/>
      <c r="JRO14" s="27"/>
      <c r="JRP14" s="27"/>
      <c r="JRV14" s="27"/>
      <c r="JRW14" s="27"/>
      <c r="JRX14" s="27"/>
      <c r="JSD14" s="27"/>
      <c r="JSE14" s="27"/>
      <c r="JSF14" s="27"/>
      <c r="JSL14" s="27"/>
      <c r="JSM14" s="27"/>
      <c r="JSN14" s="27"/>
      <c r="JST14" s="27"/>
      <c r="JSU14" s="27"/>
      <c r="JSV14" s="27"/>
      <c r="JTB14" s="27"/>
      <c r="JTC14" s="27"/>
      <c r="JTD14" s="27"/>
      <c r="JTJ14" s="27"/>
      <c r="JTK14" s="27"/>
      <c r="JTL14" s="27"/>
      <c r="JTR14" s="27"/>
      <c r="JTS14" s="27"/>
      <c r="JTT14" s="27"/>
      <c r="JTZ14" s="27"/>
      <c r="JUA14" s="27"/>
      <c r="JUB14" s="27"/>
      <c r="JUH14" s="27"/>
      <c r="JUI14" s="27"/>
      <c r="JUJ14" s="27"/>
      <c r="JUP14" s="27"/>
      <c r="JUQ14" s="27"/>
      <c r="JUR14" s="27"/>
      <c r="JUX14" s="27"/>
      <c r="JUY14" s="27"/>
      <c r="JUZ14" s="27"/>
      <c r="JVF14" s="27"/>
      <c r="JVG14" s="27"/>
      <c r="JVH14" s="27"/>
      <c r="JVN14" s="27"/>
      <c r="JVO14" s="27"/>
      <c r="JVP14" s="27"/>
      <c r="JVV14" s="27"/>
      <c r="JVW14" s="27"/>
      <c r="JVX14" s="27"/>
      <c r="JWD14" s="27"/>
      <c r="JWE14" s="27"/>
      <c r="JWF14" s="27"/>
      <c r="JWL14" s="27"/>
      <c r="JWM14" s="27"/>
      <c r="JWN14" s="27"/>
      <c r="JWT14" s="27"/>
      <c r="JWU14" s="27"/>
      <c r="JWV14" s="27"/>
      <c r="JXB14" s="27"/>
      <c r="JXC14" s="27"/>
      <c r="JXD14" s="27"/>
      <c r="JXJ14" s="27"/>
      <c r="JXK14" s="27"/>
      <c r="JXL14" s="27"/>
      <c r="JXR14" s="27"/>
      <c r="JXS14" s="27"/>
      <c r="JXT14" s="27"/>
      <c r="JXZ14" s="27"/>
      <c r="JYA14" s="27"/>
      <c r="JYB14" s="27"/>
      <c r="JYH14" s="27"/>
      <c r="JYI14" s="27"/>
      <c r="JYJ14" s="27"/>
      <c r="JYP14" s="27"/>
      <c r="JYQ14" s="27"/>
      <c r="JYR14" s="27"/>
      <c r="JYX14" s="27"/>
      <c r="JYY14" s="27"/>
      <c r="JYZ14" s="27"/>
      <c r="JZF14" s="27"/>
      <c r="JZG14" s="27"/>
      <c r="JZH14" s="27"/>
      <c r="JZN14" s="27"/>
      <c r="JZO14" s="27"/>
      <c r="JZP14" s="27"/>
      <c r="JZV14" s="27"/>
      <c r="JZW14" s="27"/>
      <c r="JZX14" s="27"/>
      <c r="KAD14" s="27"/>
      <c r="KAE14" s="27"/>
      <c r="KAF14" s="27"/>
      <c r="KAL14" s="27"/>
      <c r="KAM14" s="27"/>
      <c r="KAN14" s="27"/>
      <c r="KAT14" s="27"/>
      <c r="KAU14" s="27"/>
      <c r="KAV14" s="27"/>
      <c r="KBB14" s="27"/>
      <c r="KBC14" s="27"/>
      <c r="KBD14" s="27"/>
      <c r="KBJ14" s="27"/>
      <c r="KBK14" s="27"/>
      <c r="KBL14" s="27"/>
      <c r="KBR14" s="27"/>
      <c r="KBS14" s="27"/>
      <c r="KBT14" s="27"/>
      <c r="KBZ14" s="27"/>
      <c r="KCA14" s="27"/>
      <c r="KCB14" s="27"/>
      <c r="KCH14" s="27"/>
      <c r="KCI14" s="27"/>
      <c r="KCJ14" s="27"/>
      <c r="KCP14" s="27"/>
      <c r="KCQ14" s="27"/>
      <c r="KCR14" s="27"/>
      <c r="KCX14" s="27"/>
      <c r="KCY14" s="27"/>
      <c r="KCZ14" s="27"/>
      <c r="KDF14" s="27"/>
      <c r="KDG14" s="27"/>
      <c r="KDH14" s="27"/>
      <c r="KDN14" s="27"/>
      <c r="KDO14" s="27"/>
      <c r="KDP14" s="27"/>
      <c r="KDV14" s="27"/>
      <c r="KDW14" s="27"/>
      <c r="KDX14" s="27"/>
      <c r="KED14" s="27"/>
      <c r="KEE14" s="27"/>
      <c r="KEF14" s="27"/>
      <c r="KEL14" s="27"/>
      <c r="KEM14" s="27"/>
      <c r="KEN14" s="27"/>
      <c r="KET14" s="27"/>
      <c r="KEU14" s="27"/>
      <c r="KEV14" s="27"/>
      <c r="KFB14" s="27"/>
      <c r="KFC14" s="27"/>
      <c r="KFD14" s="27"/>
      <c r="KFJ14" s="27"/>
      <c r="KFK14" s="27"/>
      <c r="KFL14" s="27"/>
      <c r="KFR14" s="27"/>
      <c r="KFS14" s="27"/>
      <c r="KFT14" s="27"/>
      <c r="KFZ14" s="27"/>
      <c r="KGA14" s="27"/>
      <c r="KGB14" s="27"/>
      <c r="KGH14" s="27"/>
      <c r="KGI14" s="27"/>
      <c r="KGJ14" s="27"/>
      <c r="KGP14" s="27"/>
      <c r="KGQ14" s="27"/>
      <c r="KGR14" s="27"/>
      <c r="KGX14" s="27"/>
      <c r="KGY14" s="27"/>
      <c r="KGZ14" s="27"/>
      <c r="KHF14" s="27"/>
      <c r="KHG14" s="27"/>
      <c r="KHH14" s="27"/>
      <c r="KHN14" s="27"/>
      <c r="KHO14" s="27"/>
      <c r="KHP14" s="27"/>
      <c r="KHV14" s="27"/>
      <c r="KHW14" s="27"/>
      <c r="KHX14" s="27"/>
      <c r="KID14" s="27"/>
      <c r="KIE14" s="27"/>
      <c r="KIF14" s="27"/>
      <c r="KIL14" s="27"/>
      <c r="KIM14" s="27"/>
      <c r="KIN14" s="27"/>
      <c r="KIT14" s="27"/>
      <c r="KIU14" s="27"/>
      <c r="KIV14" s="27"/>
      <c r="KJB14" s="27"/>
      <c r="KJC14" s="27"/>
      <c r="KJD14" s="27"/>
      <c r="KJJ14" s="27"/>
      <c r="KJK14" s="27"/>
      <c r="KJL14" s="27"/>
      <c r="KJR14" s="27"/>
      <c r="KJS14" s="27"/>
      <c r="KJT14" s="27"/>
      <c r="KJZ14" s="27"/>
      <c r="KKA14" s="27"/>
      <c r="KKB14" s="27"/>
      <c r="KKH14" s="27"/>
      <c r="KKI14" s="27"/>
      <c r="KKJ14" s="27"/>
      <c r="KKP14" s="27"/>
      <c r="KKQ14" s="27"/>
      <c r="KKR14" s="27"/>
      <c r="KKX14" s="27"/>
      <c r="KKY14" s="27"/>
      <c r="KKZ14" s="27"/>
      <c r="KLF14" s="27"/>
      <c r="KLG14" s="27"/>
      <c r="KLH14" s="27"/>
      <c r="KLN14" s="27"/>
      <c r="KLO14" s="27"/>
      <c r="KLP14" s="27"/>
      <c r="KLV14" s="27"/>
      <c r="KLW14" s="27"/>
      <c r="KLX14" s="27"/>
      <c r="KMD14" s="27"/>
      <c r="KME14" s="27"/>
      <c r="KMF14" s="27"/>
      <c r="KML14" s="27"/>
      <c r="KMM14" s="27"/>
      <c r="KMN14" s="27"/>
      <c r="KMT14" s="27"/>
      <c r="KMU14" s="27"/>
      <c r="KMV14" s="27"/>
      <c r="KNB14" s="27"/>
      <c r="KNC14" s="27"/>
      <c r="KND14" s="27"/>
      <c r="KNJ14" s="27"/>
      <c r="KNK14" s="27"/>
      <c r="KNL14" s="27"/>
      <c r="KNR14" s="27"/>
      <c r="KNS14" s="27"/>
      <c r="KNT14" s="27"/>
      <c r="KNZ14" s="27"/>
      <c r="KOA14" s="27"/>
      <c r="KOB14" s="27"/>
      <c r="KOH14" s="27"/>
      <c r="KOI14" s="27"/>
      <c r="KOJ14" s="27"/>
      <c r="KOP14" s="27"/>
      <c r="KOQ14" s="27"/>
      <c r="KOR14" s="27"/>
      <c r="KOX14" s="27"/>
      <c r="KOY14" s="27"/>
      <c r="KOZ14" s="27"/>
      <c r="KPF14" s="27"/>
      <c r="KPG14" s="27"/>
      <c r="KPH14" s="27"/>
      <c r="KPN14" s="27"/>
      <c r="KPO14" s="27"/>
      <c r="KPP14" s="27"/>
      <c r="KPV14" s="27"/>
      <c r="KPW14" s="27"/>
      <c r="KPX14" s="27"/>
      <c r="KQD14" s="27"/>
      <c r="KQE14" s="27"/>
      <c r="KQF14" s="27"/>
      <c r="KQL14" s="27"/>
      <c r="KQM14" s="27"/>
      <c r="KQN14" s="27"/>
      <c r="KQT14" s="27"/>
      <c r="KQU14" s="27"/>
      <c r="KQV14" s="27"/>
      <c r="KRB14" s="27"/>
      <c r="KRC14" s="27"/>
      <c r="KRD14" s="27"/>
      <c r="KRJ14" s="27"/>
      <c r="KRK14" s="27"/>
      <c r="KRL14" s="27"/>
      <c r="KRR14" s="27"/>
      <c r="KRS14" s="27"/>
      <c r="KRT14" s="27"/>
      <c r="KRZ14" s="27"/>
      <c r="KSA14" s="27"/>
      <c r="KSB14" s="27"/>
      <c r="KSH14" s="27"/>
      <c r="KSI14" s="27"/>
      <c r="KSJ14" s="27"/>
      <c r="KSP14" s="27"/>
      <c r="KSQ14" s="27"/>
      <c r="KSR14" s="27"/>
      <c r="KSX14" s="27"/>
      <c r="KSY14" s="27"/>
      <c r="KSZ14" s="27"/>
      <c r="KTF14" s="27"/>
      <c r="KTG14" s="27"/>
      <c r="KTH14" s="27"/>
      <c r="KTN14" s="27"/>
      <c r="KTO14" s="27"/>
      <c r="KTP14" s="27"/>
      <c r="KTV14" s="27"/>
      <c r="KTW14" s="27"/>
      <c r="KTX14" s="27"/>
      <c r="KUD14" s="27"/>
      <c r="KUE14" s="27"/>
      <c r="KUF14" s="27"/>
      <c r="KUL14" s="27"/>
      <c r="KUM14" s="27"/>
      <c r="KUN14" s="27"/>
      <c r="KUT14" s="27"/>
      <c r="KUU14" s="27"/>
      <c r="KUV14" s="27"/>
      <c r="KVB14" s="27"/>
      <c r="KVC14" s="27"/>
      <c r="KVD14" s="27"/>
      <c r="KVJ14" s="27"/>
      <c r="KVK14" s="27"/>
      <c r="KVL14" s="27"/>
      <c r="KVR14" s="27"/>
      <c r="KVS14" s="27"/>
      <c r="KVT14" s="27"/>
      <c r="KVZ14" s="27"/>
      <c r="KWA14" s="27"/>
      <c r="KWB14" s="27"/>
      <c r="KWH14" s="27"/>
      <c r="KWI14" s="27"/>
      <c r="KWJ14" s="27"/>
      <c r="KWP14" s="27"/>
      <c r="KWQ14" s="27"/>
      <c r="KWR14" s="27"/>
      <c r="KWX14" s="27"/>
      <c r="KWY14" s="27"/>
      <c r="KWZ14" s="27"/>
      <c r="KXF14" s="27"/>
      <c r="KXG14" s="27"/>
      <c r="KXH14" s="27"/>
      <c r="KXN14" s="27"/>
      <c r="KXO14" s="27"/>
      <c r="KXP14" s="27"/>
      <c r="KXV14" s="27"/>
      <c r="KXW14" s="27"/>
      <c r="KXX14" s="27"/>
      <c r="KYD14" s="27"/>
      <c r="KYE14" s="27"/>
      <c r="KYF14" s="27"/>
      <c r="KYL14" s="27"/>
      <c r="KYM14" s="27"/>
      <c r="KYN14" s="27"/>
      <c r="KYT14" s="27"/>
      <c r="KYU14" s="27"/>
      <c r="KYV14" s="27"/>
      <c r="KZB14" s="27"/>
      <c r="KZC14" s="27"/>
      <c r="KZD14" s="27"/>
      <c r="KZJ14" s="27"/>
      <c r="KZK14" s="27"/>
      <c r="KZL14" s="27"/>
      <c r="KZR14" s="27"/>
      <c r="KZS14" s="27"/>
      <c r="KZT14" s="27"/>
      <c r="KZZ14" s="27"/>
      <c r="LAA14" s="27"/>
      <c r="LAB14" s="27"/>
      <c r="LAH14" s="27"/>
      <c r="LAI14" s="27"/>
      <c r="LAJ14" s="27"/>
      <c r="LAP14" s="27"/>
      <c r="LAQ14" s="27"/>
      <c r="LAR14" s="27"/>
      <c r="LAX14" s="27"/>
      <c r="LAY14" s="27"/>
      <c r="LAZ14" s="27"/>
      <c r="LBF14" s="27"/>
      <c r="LBG14" s="27"/>
      <c r="LBH14" s="27"/>
      <c r="LBN14" s="27"/>
      <c r="LBO14" s="27"/>
      <c r="LBP14" s="27"/>
      <c r="LBV14" s="27"/>
      <c r="LBW14" s="27"/>
      <c r="LBX14" s="27"/>
      <c r="LCD14" s="27"/>
      <c r="LCE14" s="27"/>
      <c r="LCF14" s="27"/>
      <c r="LCL14" s="27"/>
      <c r="LCM14" s="27"/>
      <c r="LCN14" s="27"/>
      <c r="LCT14" s="27"/>
      <c r="LCU14" s="27"/>
      <c r="LCV14" s="27"/>
      <c r="LDB14" s="27"/>
      <c r="LDC14" s="27"/>
      <c r="LDD14" s="27"/>
      <c r="LDJ14" s="27"/>
      <c r="LDK14" s="27"/>
      <c r="LDL14" s="27"/>
      <c r="LDR14" s="27"/>
      <c r="LDS14" s="27"/>
      <c r="LDT14" s="27"/>
      <c r="LDZ14" s="27"/>
      <c r="LEA14" s="27"/>
      <c r="LEB14" s="27"/>
      <c r="LEH14" s="27"/>
      <c r="LEI14" s="27"/>
      <c r="LEJ14" s="27"/>
      <c r="LEP14" s="27"/>
      <c r="LEQ14" s="27"/>
      <c r="LER14" s="27"/>
      <c r="LEX14" s="27"/>
      <c r="LEY14" s="27"/>
      <c r="LEZ14" s="27"/>
      <c r="LFF14" s="27"/>
      <c r="LFG14" s="27"/>
      <c r="LFH14" s="27"/>
      <c r="LFN14" s="27"/>
      <c r="LFO14" s="27"/>
      <c r="LFP14" s="27"/>
      <c r="LFV14" s="27"/>
      <c r="LFW14" s="27"/>
      <c r="LFX14" s="27"/>
      <c r="LGD14" s="27"/>
      <c r="LGE14" s="27"/>
      <c r="LGF14" s="27"/>
      <c r="LGL14" s="27"/>
      <c r="LGM14" s="27"/>
      <c r="LGN14" s="27"/>
      <c r="LGT14" s="27"/>
      <c r="LGU14" s="27"/>
      <c r="LGV14" s="27"/>
      <c r="LHB14" s="27"/>
      <c r="LHC14" s="27"/>
      <c r="LHD14" s="27"/>
      <c r="LHJ14" s="27"/>
      <c r="LHK14" s="27"/>
      <c r="LHL14" s="27"/>
      <c r="LHR14" s="27"/>
      <c r="LHS14" s="27"/>
      <c r="LHT14" s="27"/>
      <c r="LHZ14" s="27"/>
      <c r="LIA14" s="27"/>
      <c r="LIB14" s="27"/>
      <c r="LIH14" s="27"/>
      <c r="LII14" s="27"/>
      <c r="LIJ14" s="27"/>
      <c r="LIP14" s="27"/>
      <c r="LIQ14" s="27"/>
      <c r="LIR14" s="27"/>
      <c r="LIX14" s="27"/>
      <c r="LIY14" s="27"/>
      <c r="LIZ14" s="27"/>
      <c r="LJF14" s="27"/>
      <c r="LJG14" s="27"/>
      <c r="LJH14" s="27"/>
      <c r="LJN14" s="27"/>
      <c r="LJO14" s="27"/>
      <c r="LJP14" s="27"/>
      <c r="LJV14" s="27"/>
      <c r="LJW14" s="27"/>
      <c r="LJX14" s="27"/>
      <c r="LKD14" s="27"/>
      <c r="LKE14" s="27"/>
      <c r="LKF14" s="27"/>
      <c r="LKL14" s="27"/>
      <c r="LKM14" s="27"/>
      <c r="LKN14" s="27"/>
      <c r="LKT14" s="27"/>
      <c r="LKU14" s="27"/>
      <c r="LKV14" s="27"/>
      <c r="LLB14" s="27"/>
      <c r="LLC14" s="27"/>
      <c r="LLD14" s="27"/>
      <c r="LLJ14" s="27"/>
      <c r="LLK14" s="27"/>
      <c r="LLL14" s="27"/>
      <c r="LLR14" s="27"/>
      <c r="LLS14" s="27"/>
      <c r="LLT14" s="27"/>
      <c r="LLZ14" s="27"/>
      <c r="LMA14" s="27"/>
      <c r="LMB14" s="27"/>
      <c r="LMH14" s="27"/>
      <c r="LMI14" s="27"/>
      <c r="LMJ14" s="27"/>
      <c r="LMP14" s="27"/>
      <c r="LMQ14" s="27"/>
      <c r="LMR14" s="27"/>
      <c r="LMX14" s="27"/>
      <c r="LMY14" s="27"/>
      <c r="LMZ14" s="27"/>
      <c r="LNF14" s="27"/>
      <c r="LNG14" s="27"/>
      <c r="LNH14" s="27"/>
      <c r="LNN14" s="27"/>
      <c r="LNO14" s="27"/>
      <c r="LNP14" s="27"/>
      <c r="LNV14" s="27"/>
      <c r="LNW14" s="27"/>
      <c r="LNX14" s="27"/>
      <c r="LOD14" s="27"/>
      <c r="LOE14" s="27"/>
      <c r="LOF14" s="27"/>
      <c r="LOL14" s="27"/>
      <c r="LOM14" s="27"/>
      <c r="LON14" s="27"/>
      <c r="LOT14" s="27"/>
      <c r="LOU14" s="27"/>
      <c r="LOV14" s="27"/>
      <c r="LPB14" s="27"/>
      <c r="LPC14" s="27"/>
      <c r="LPD14" s="27"/>
      <c r="LPJ14" s="27"/>
      <c r="LPK14" s="27"/>
      <c r="LPL14" s="27"/>
      <c r="LPR14" s="27"/>
      <c r="LPS14" s="27"/>
      <c r="LPT14" s="27"/>
      <c r="LPZ14" s="27"/>
      <c r="LQA14" s="27"/>
      <c r="LQB14" s="27"/>
      <c r="LQH14" s="27"/>
      <c r="LQI14" s="27"/>
      <c r="LQJ14" s="27"/>
      <c r="LQP14" s="27"/>
      <c r="LQQ14" s="27"/>
      <c r="LQR14" s="27"/>
      <c r="LQX14" s="27"/>
      <c r="LQY14" s="27"/>
      <c r="LQZ14" s="27"/>
      <c r="LRF14" s="27"/>
      <c r="LRG14" s="27"/>
      <c r="LRH14" s="27"/>
      <c r="LRN14" s="27"/>
      <c r="LRO14" s="27"/>
      <c r="LRP14" s="27"/>
      <c r="LRV14" s="27"/>
      <c r="LRW14" s="27"/>
      <c r="LRX14" s="27"/>
      <c r="LSD14" s="27"/>
      <c r="LSE14" s="27"/>
      <c r="LSF14" s="27"/>
      <c r="LSL14" s="27"/>
      <c r="LSM14" s="27"/>
      <c r="LSN14" s="27"/>
      <c r="LST14" s="27"/>
      <c r="LSU14" s="27"/>
      <c r="LSV14" s="27"/>
      <c r="LTB14" s="27"/>
      <c r="LTC14" s="27"/>
      <c r="LTD14" s="27"/>
      <c r="LTJ14" s="27"/>
      <c r="LTK14" s="27"/>
      <c r="LTL14" s="27"/>
      <c r="LTR14" s="27"/>
      <c r="LTS14" s="27"/>
      <c r="LTT14" s="27"/>
      <c r="LTZ14" s="27"/>
      <c r="LUA14" s="27"/>
      <c r="LUB14" s="27"/>
      <c r="LUH14" s="27"/>
      <c r="LUI14" s="27"/>
      <c r="LUJ14" s="27"/>
      <c r="LUP14" s="27"/>
      <c r="LUQ14" s="27"/>
      <c r="LUR14" s="27"/>
      <c r="LUX14" s="27"/>
      <c r="LUY14" s="27"/>
      <c r="LUZ14" s="27"/>
      <c r="LVF14" s="27"/>
      <c r="LVG14" s="27"/>
      <c r="LVH14" s="27"/>
      <c r="LVN14" s="27"/>
      <c r="LVO14" s="27"/>
      <c r="LVP14" s="27"/>
      <c r="LVV14" s="27"/>
      <c r="LVW14" s="27"/>
      <c r="LVX14" s="27"/>
      <c r="LWD14" s="27"/>
      <c r="LWE14" s="27"/>
      <c r="LWF14" s="27"/>
      <c r="LWL14" s="27"/>
      <c r="LWM14" s="27"/>
      <c r="LWN14" s="27"/>
      <c r="LWT14" s="27"/>
      <c r="LWU14" s="27"/>
      <c r="LWV14" s="27"/>
      <c r="LXB14" s="27"/>
      <c r="LXC14" s="27"/>
      <c r="LXD14" s="27"/>
      <c r="LXJ14" s="27"/>
      <c r="LXK14" s="27"/>
      <c r="LXL14" s="27"/>
      <c r="LXR14" s="27"/>
      <c r="LXS14" s="27"/>
      <c r="LXT14" s="27"/>
      <c r="LXZ14" s="27"/>
      <c r="LYA14" s="27"/>
      <c r="LYB14" s="27"/>
      <c r="LYH14" s="27"/>
      <c r="LYI14" s="27"/>
      <c r="LYJ14" s="27"/>
      <c r="LYP14" s="27"/>
      <c r="LYQ14" s="27"/>
      <c r="LYR14" s="27"/>
      <c r="LYX14" s="27"/>
      <c r="LYY14" s="27"/>
      <c r="LYZ14" s="27"/>
      <c r="LZF14" s="27"/>
      <c r="LZG14" s="27"/>
      <c r="LZH14" s="27"/>
      <c r="LZN14" s="27"/>
      <c r="LZO14" s="27"/>
      <c r="LZP14" s="27"/>
      <c r="LZV14" s="27"/>
      <c r="LZW14" s="27"/>
      <c r="LZX14" s="27"/>
      <c r="MAD14" s="27"/>
      <c r="MAE14" s="27"/>
      <c r="MAF14" s="27"/>
      <c r="MAL14" s="27"/>
      <c r="MAM14" s="27"/>
      <c r="MAN14" s="27"/>
      <c r="MAT14" s="27"/>
      <c r="MAU14" s="27"/>
      <c r="MAV14" s="27"/>
      <c r="MBB14" s="27"/>
      <c r="MBC14" s="27"/>
      <c r="MBD14" s="27"/>
      <c r="MBJ14" s="27"/>
      <c r="MBK14" s="27"/>
      <c r="MBL14" s="27"/>
      <c r="MBR14" s="27"/>
      <c r="MBS14" s="27"/>
      <c r="MBT14" s="27"/>
      <c r="MBZ14" s="27"/>
      <c r="MCA14" s="27"/>
      <c r="MCB14" s="27"/>
      <c r="MCH14" s="27"/>
      <c r="MCI14" s="27"/>
      <c r="MCJ14" s="27"/>
      <c r="MCP14" s="27"/>
      <c r="MCQ14" s="27"/>
      <c r="MCR14" s="27"/>
      <c r="MCX14" s="27"/>
      <c r="MCY14" s="27"/>
      <c r="MCZ14" s="27"/>
      <c r="MDF14" s="27"/>
      <c r="MDG14" s="27"/>
      <c r="MDH14" s="27"/>
      <c r="MDN14" s="27"/>
      <c r="MDO14" s="27"/>
      <c r="MDP14" s="27"/>
      <c r="MDV14" s="27"/>
      <c r="MDW14" s="27"/>
      <c r="MDX14" s="27"/>
      <c r="MED14" s="27"/>
      <c r="MEE14" s="27"/>
      <c r="MEF14" s="27"/>
      <c r="MEL14" s="27"/>
      <c r="MEM14" s="27"/>
      <c r="MEN14" s="27"/>
      <c r="MET14" s="27"/>
      <c r="MEU14" s="27"/>
      <c r="MEV14" s="27"/>
      <c r="MFB14" s="27"/>
      <c r="MFC14" s="27"/>
      <c r="MFD14" s="27"/>
      <c r="MFJ14" s="27"/>
      <c r="MFK14" s="27"/>
      <c r="MFL14" s="27"/>
      <c r="MFR14" s="27"/>
      <c r="MFS14" s="27"/>
      <c r="MFT14" s="27"/>
      <c r="MFZ14" s="27"/>
      <c r="MGA14" s="27"/>
      <c r="MGB14" s="27"/>
      <c r="MGH14" s="27"/>
      <c r="MGI14" s="27"/>
      <c r="MGJ14" s="27"/>
      <c r="MGP14" s="27"/>
      <c r="MGQ14" s="27"/>
      <c r="MGR14" s="27"/>
      <c r="MGX14" s="27"/>
      <c r="MGY14" s="27"/>
      <c r="MGZ14" s="27"/>
      <c r="MHF14" s="27"/>
      <c r="MHG14" s="27"/>
      <c r="MHH14" s="27"/>
      <c r="MHN14" s="27"/>
      <c r="MHO14" s="27"/>
      <c r="MHP14" s="27"/>
      <c r="MHV14" s="27"/>
      <c r="MHW14" s="27"/>
      <c r="MHX14" s="27"/>
      <c r="MID14" s="27"/>
      <c r="MIE14" s="27"/>
      <c r="MIF14" s="27"/>
      <c r="MIL14" s="27"/>
      <c r="MIM14" s="27"/>
      <c r="MIN14" s="27"/>
      <c r="MIT14" s="27"/>
      <c r="MIU14" s="27"/>
      <c r="MIV14" s="27"/>
      <c r="MJB14" s="27"/>
      <c r="MJC14" s="27"/>
      <c r="MJD14" s="27"/>
      <c r="MJJ14" s="27"/>
      <c r="MJK14" s="27"/>
      <c r="MJL14" s="27"/>
      <c r="MJR14" s="27"/>
      <c r="MJS14" s="27"/>
      <c r="MJT14" s="27"/>
      <c r="MJZ14" s="27"/>
      <c r="MKA14" s="27"/>
      <c r="MKB14" s="27"/>
      <c r="MKH14" s="27"/>
      <c r="MKI14" s="27"/>
      <c r="MKJ14" s="27"/>
      <c r="MKP14" s="27"/>
      <c r="MKQ14" s="27"/>
      <c r="MKR14" s="27"/>
      <c r="MKX14" s="27"/>
      <c r="MKY14" s="27"/>
      <c r="MKZ14" s="27"/>
      <c r="MLF14" s="27"/>
      <c r="MLG14" s="27"/>
      <c r="MLH14" s="27"/>
      <c r="MLN14" s="27"/>
      <c r="MLO14" s="27"/>
      <c r="MLP14" s="27"/>
      <c r="MLV14" s="27"/>
      <c r="MLW14" s="27"/>
      <c r="MLX14" s="27"/>
      <c r="MMD14" s="27"/>
      <c r="MME14" s="27"/>
      <c r="MMF14" s="27"/>
      <c r="MML14" s="27"/>
      <c r="MMM14" s="27"/>
      <c r="MMN14" s="27"/>
      <c r="MMT14" s="27"/>
      <c r="MMU14" s="27"/>
      <c r="MMV14" s="27"/>
      <c r="MNB14" s="27"/>
      <c r="MNC14" s="27"/>
      <c r="MND14" s="27"/>
      <c r="MNJ14" s="27"/>
      <c r="MNK14" s="27"/>
      <c r="MNL14" s="27"/>
      <c r="MNR14" s="27"/>
      <c r="MNS14" s="27"/>
      <c r="MNT14" s="27"/>
      <c r="MNZ14" s="27"/>
      <c r="MOA14" s="27"/>
      <c r="MOB14" s="27"/>
      <c r="MOH14" s="27"/>
      <c r="MOI14" s="27"/>
      <c r="MOJ14" s="27"/>
      <c r="MOP14" s="27"/>
      <c r="MOQ14" s="27"/>
      <c r="MOR14" s="27"/>
      <c r="MOX14" s="27"/>
      <c r="MOY14" s="27"/>
      <c r="MOZ14" s="27"/>
      <c r="MPF14" s="27"/>
      <c r="MPG14" s="27"/>
      <c r="MPH14" s="27"/>
      <c r="MPN14" s="27"/>
      <c r="MPO14" s="27"/>
      <c r="MPP14" s="27"/>
      <c r="MPV14" s="27"/>
      <c r="MPW14" s="27"/>
      <c r="MPX14" s="27"/>
      <c r="MQD14" s="27"/>
      <c r="MQE14" s="27"/>
      <c r="MQF14" s="27"/>
      <c r="MQL14" s="27"/>
      <c r="MQM14" s="27"/>
      <c r="MQN14" s="27"/>
      <c r="MQT14" s="27"/>
      <c r="MQU14" s="27"/>
      <c r="MQV14" s="27"/>
      <c r="MRB14" s="27"/>
      <c r="MRC14" s="27"/>
      <c r="MRD14" s="27"/>
      <c r="MRJ14" s="27"/>
      <c r="MRK14" s="27"/>
      <c r="MRL14" s="27"/>
      <c r="MRR14" s="27"/>
      <c r="MRS14" s="27"/>
      <c r="MRT14" s="27"/>
      <c r="MRZ14" s="27"/>
      <c r="MSA14" s="27"/>
      <c r="MSB14" s="27"/>
      <c r="MSH14" s="27"/>
      <c r="MSI14" s="27"/>
      <c r="MSJ14" s="27"/>
      <c r="MSP14" s="27"/>
      <c r="MSQ14" s="27"/>
      <c r="MSR14" s="27"/>
      <c r="MSX14" s="27"/>
      <c r="MSY14" s="27"/>
      <c r="MSZ14" s="27"/>
      <c r="MTF14" s="27"/>
      <c r="MTG14" s="27"/>
      <c r="MTH14" s="27"/>
      <c r="MTN14" s="27"/>
      <c r="MTO14" s="27"/>
      <c r="MTP14" s="27"/>
      <c r="MTV14" s="27"/>
      <c r="MTW14" s="27"/>
      <c r="MTX14" s="27"/>
      <c r="MUD14" s="27"/>
      <c r="MUE14" s="27"/>
      <c r="MUF14" s="27"/>
      <c r="MUL14" s="27"/>
      <c r="MUM14" s="27"/>
      <c r="MUN14" s="27"/>
      <c r="MUT14" s="27"/>
      <c r="MUU14" s="27"/>
      <c r="MUV14" s="27"/>
      <c r="MVB14" s="27"/>
      <c r="MVC14" s="27"/>
      <c r="MVD14" s="27"/>
      <c r="MVJ14" s="27"/>
      <c r="MVK14" s="27"/>
      <c r="MVL14" s="27"/>
      <c r="MVR14" s="27"/>
      <c r="MVS14" s="27"/>
      <c r="MVT14" s="27"/>
      <c r="MVZ14" s="27"/>
      <c r="MWA14" s="27"/>
      <c r="MWB14" s="27"/>
      <c r="MWH14" s="27"/>
      <c r="MWI14" s="27"/>
      <c r="MWJ14" s="27"/>
      <c r="MWP14" s="27"/>
      <c r="MWQ14" s="27"/>
      <c r="MWR14" s="27"/>
      <c r="MWX14" s="27"/>
      <c r="MWY14" s="27"/>
      <c r="MWZ14" s="27"/>
      <c r="MXF14" s="27"/>
      <c r="MXG14" s="27"/>
      <c r="MXH14" s="27"/>
      <c r="MXN14" s="27"/>
      <c r="MXO14" s="27"/>
      <c r="MXP14" s="27"/>
      <c r="MXV14" s="27"/>
      <c r="MXW14" s="27"/>
      <c r="MXX14" s="27"/>
      <c r="MYD14" s="27"/>
      <c r="MYE14" s="27"/>
      <c r="MYF14" s="27"/>
      <c r="MYL14" s="27"/>
      <c r="MYM14" s="27"/>
      <c r="MYN14" s="27"/>
      <c r="MYT14" s="27"/>
      <c r="MYU14" s="27"/>
      <c r="MYV14" s="27"/>
      <c r="MZB14" s="27"/>
      <c r="MZC14" s="27"/>
      <c r="MZD14" s="27"/>
      <c r="MZJ14" s="27"/>
      <c r="MZK14" s="27"/>
      <c r="MZL14" s="27"/>
      <c r="MZR14" s="27"/>
      <c r="MZS14" s="27"/>
      <c r="MZT14" s="27"/>
      <c r="MZZ14" s="27"/>
      <c r="NAA14" s="27"/>
      <c r="NAB14" s="27"/>
      <c r="NAH14" s="27"/>
      <c r="NAI14" s="27"/>
      <c r="NAJ14" s="27"/>
      <c r="NAP14" s="27"/>
      <c r="NAQ14" s="27"/>
      <c r="NAR14" s="27"/>
      <c r="NAX14" s="27"/>
      <c r="NAY14" s="27"/>
      <c r="NAZ14" s="27"/>
      <c r="NBF14" s="27"/>
      <c r="NBG14" s="27"/>
      <c r="NBH14" s="27"/>
      <c r="NBN14" s="27"/>
      <c r="NBO14" s="27"/>
      <c r="NBP14" s="27"/>
      <c r="NBV14" s="27"/>
      <c r="NBW14" s="27"/>
      <c r="NBX14" s="27"/>
      <c r="NCD14" s="27"/>
      <c r="NCE14" s="27"/>
      <c r="NCF14" s="27"/>
      <c r="NCL14" s="27"/>
      <c r="NCM14" s="27"/>
      <c r="NCN14" s="27"/>
      <c r="NCT14" s="27"/>
      <c r="NCU14" s="27"/>
      <c r="NCV14" s="27"/>
      <c r="NDB14" s="27"/>
      <c r="NDC14" s="27"/>
      <c r="NDD14" s="27"/>
      <c r="NDJ14" s="27"/>
      <c r="NDK14" s="27"/>
      <c r="NDL14" s="27"/>
      <c r="NDR14" s="27"/>
      <c r="NDS14" s="27"/>
      <c r="NDT14" s="27"/>
      <c r="NDZ14" s="27"/>
      <c r="NEA14" s="27"/>
      <c r="NEB14" s="27"/>
      <c r="NEH14" s="27"/>
      <c r="NEI14" s="27"/>
      <c r="NEJ14" s="27"/>
      <c r="NEP14" s="27"/>
      <c r="NEQ14" s="27"/>
      <c r="NER14" s="27"/>
      <c r="NEX14" s="27"/>
      <c r="NEY14" s="27"/>
      <c r="NEZ14" s="27"/>
      <c r="NFF14" s="27"/>
      <c r="NFG14" s="27"/>
      <c r="NFH14" s="27"/>
      <c r="NFN14" s="27"/>
      <c r="NFO14" s="27"/>
      <c r="NFP14" s="27"/>
      <c r="NFV14" s="27"/>
      <c r="NFW14" s="27"/>
      <c r="NFX14" s="27"/>
      <c r="NGD14" s="27"/>
      <c r="NGE14" s="27"/>
      <c r="NGF14" s="27"/>
      <c r="NGL14" s="27"/>
      <c r="NGM14" s="27"/>
      <c r="NGN14" s="27"/>
      <c r="NGT14" s="27"/>
      <c r="NGU14" s="27"/>
      <c r="NGV14" s="27"/>
      <c r="NHB14" s="27"/>
      <c r="NHC14" s="27"/>
      <c r="NHD14" s="27"/>
      <c r="NHJ14" s="27"/>
      <c r="NHK14" s="27"/>
      <c r="NHL14" s="27"/>
      <c r="NHR14" s="27"/>
      <c r="NHS14" s="27"/>
      <c r="NHT14" s="27"/>
      <c r="NHZ14" s="27"/>
      <c r="NIA14" s="27"/>
      <c r="NIB14" s="27"/>
      <c r="NIH14" s="27"/>
      <c r="NII14" s="27"/>
      <c r="NIJ14" s="27"/>
      <c r="NIP14" s="27"/>
      <c r="NIQ14" s="27"/>
      <c r="NIR14" s="27"/>
      <c r="NIX14" s="27"/>
      <c r="NIY14" s="27"/>
      <c r="NIZ14" s="27"/>
      <c r="NJF14" s="27"/>
      <c r="NJG14" s="27"/>
      <c r="NJH14" s="27"/>
      <c r="NJN14" s="27"/>
      <c r="NJO14" s="27"/>
      <c r="NJP14" s="27"/>
      <c r="NJV14" s="27"/>
      <c r="NJW14" s="27"/>
      <c r="NJX14" s="27"/>
      <c r="NKD14" s="27"/>
      <c r="NKE14" s="27"/>
      <c r="NKF14" s="27"/>
      <c r="NKL14" s="27"/>
      <c r="NKM14" s="27"/>
      <c r="NKN14" s="27"/>
      <c r="NKT14" s="27"/>
      <c r="NKU14" s="27"/>
      <c r="NKV14" s="27"/>
      <c r="NLB14" s="27"/>
      <c r="NLC14" s="27"/>
      <c r="NLD14" s="27"/>
      <c r="NLJ14" s="27"/>
      <c r="NLK14" s="27"/>
      <c r="NLL14" s="27"/>
      <c r="NLR14" s="27"/>
      <c r="NLS14" s="27"/>
      <c r="NLT14" s="27"/>
      <c r="NLZ14" s="27"/>
      <c r="NMA14" s="27"/>
      <c r="NMB14" s="27"/>
      <c r="NMH14" s="27"/>
      <c r="NMI14" s="27"/>
      <c r="NMJ14" s="27"/>
      <c r="NMP14" s="27"/>
      <c r="NMQ14" s="27"/>
      <c r="NMR14" s="27"/>
      <c r="NMX14" s="27"/>
      <c r="NMY14" s="27"/>
      <c r="NMZ14" s="27"/>
      <c r="NNF14" s="27"/>
      <c r="NNG14" s="27"/>
      <c r="NNH14" s="27"/>
      <c r="NNN14" s="27"/>
      <c r="NNO14" s="27"/>
      <c r="NNP14" s="27"/>
      <c r="NNV14" s="27"/>
      <c r="NNW14" s="27"/>
      <c r="NNX14" s="27"/>
      <c r="NOD14" s="27"/>
      <c r="NOE14" s="27"/>
      <c r="NOF14" s="27"/>
      <c r="NOL14" s="27"/>
      <c r="NOM14" s="27"/>
      <c r="NON14" s="27"/>
      <c r="NOT14" s="27"/>
      <c r="NOU14" s="27"/>
      <c r="NOV14" s="27"/>
      <c r="NPB14" s="27"/>
      <c r="NPC14" s="27"/>
      <c r="NPD14" s="27"/>
      <c r="NPJ14" s="27"/>
      <c r="NPK14" s="27"/>
      <c r="NPL14" s="27"/>
      <c r="NPR14" s="27"/>
      <c r="NPS14" s="27"/>
      <c r="NPT14" s="27"/>
      <c r="NPZ14" s="27"/>
      <c r="NQA14" s="27"/>
      <c r="NQB14" s="27"/>
      <c r="NQH14" s="27"/>
      <c r="NQI14" s="27"/>
      <c r="NQJ14" s="27"/>
      <c r="NQP14" s="27"/>
      <c r="NQQ14" s="27"/>
      <c r="NQR14" s="27"/>
      <c r="NQX14" s="27"/>
      <c r="NQY14" s="27"/>
      <c r="NQZ14" s="27"/>
      <c r="NRF14" s="27"/>
      <c r="NRG14" s="27"/>
      <c r="NRH14" s="27"/>
      <c r="NRN14" s="27"/>
      <c r="NRO14" s="27"/>
      <c r="NRP14" s="27"/>
      <c r="NRV14" s="27"/>
      <c r="NRW14" s="27"/>
      <c r="NRX14" s="27"/>
      <c r="NSD14" s="27"/>
      <c r="NSE14" s="27"/>
      <c r="NSF14" s="27"/>
      <c r="NSL14" s="27"/>
      <c r="NSM14" s="27"/>
      <c r="NSN14" s="27"/>
      <c r="NST14" s="27"/>
      <c r="NSU14" s="27"/>
      <c r="NSV14" s="27"/>
      <c r="NTB14" s="27"/>
      <c r="NTC14" s="27"/>
      <c r="NTD14" s="27"/>
      <c r="NTJ14" s="27"/>
      <c r="NTK14" s="27"/>
      <c r="NTL14" s="27"/>
      <c r="NTR14" s="27"/>
      <c r="NTS14" s="27"/>
      <c r="NTT14" s="27"/>
      <c r="NTZ14" s="27"/>
      <c r="NUA14" s="27"/>
      <c r="NUB14" s="27"/>
      <c r="NUH14" s="27"/>
      <c r="NUI14" s="27"/>
      <c r="NUJ14" s="27"/>
      <c r="NUP14" s="27"/>
      <c r="NUQ14" s="27"/>
      <c r="NUR14" s="27"/>
      <c r="NUX14" s="27"/>
      <c r="NUY14" s="27"/>
      <c r="NUZ14" s="27"/>
      <c r="NVF14" s="27"/>
      <c r="NVG14" s="27"/>
      <c r="NVH14" s="27"/>
      <c r="NVN14" s="27"/>
      <c r="NVO14" s="27"/>
      <c r="NVP14" s="27"/>
      <c r="NVV14" s="27"/>
      <c r="NVW14" s="27"/>
      <c r="NVX14" s="27"/>
      <c r="NWD14" s="27"/>
      <c r="NWE14" s="27"/>
      <c r="NWF14" s="27"/>
      <c r="NWL14" s="27"/>
      <c r="NWM14" s="27"/>
      <c r="NWN14" s="27"/>
      <c r="NWT14" s="27"/>
      <c r="NWU14" s="27"/>
      <c r="NWV14" s="27"/>
      <c r="NXB14" s="27"/>
      <c r="NXC14" s="27"/>
      <c r="NXD14" s="27"/>
      <c r="NXJ14" s="27"/>
      <c r="NXK14" s="27"/>
      <c r="NXL14" s="27"/>
      <c r="NXR14" s="27"/>
      <c r="NXS14" s="27"/>
      <c r="NXT14" s="27"/>
      <c r="NXZ14" s="27"/>
      <c r="NYA14" s="27"/>
      <c r="NYB14" s="27"/>
      <c r="NYH14" s="27"/>
      <c r="NYI14" s="27"/>
      <c r="NYJ14" s="27"/>
      <c r="NYP14" s="27"/>
      <c r="NYQ14" s="27"/>
      <c r="NYR14" s="27"/>
      <c r="NYX14" s="27"/>
      <c r="NYY14" s="27"/>
      <c r="NYZ14" s="27"/>
      <c r="NZF14" s="27"/>
      <c r="NZG14" s="27"/>
      <c r="NZH14" s="27"/>
      <c r="NZN14" s="27"/>
      <c r="NZO14" s="27"/>
      <c r="NZP14" s="27"/>
      <c r="NZV14" s="27"/>
      <c r="NZW14" s="27"/>
      <c r="NZX14" s="27"/>
      <c r="OAD14" s="27"/>
      <c r="OAE14" s="27"/>
      <c r="OAF14" s="27"/>
      <c r="OAL14" s="27"/>
      <c r="OAM14" s="27"/>
      <c r="OAN14" s="27"/>
      <c r="OAT14" s="27"/>
      <c r="OAU14" s="27"/>
      <c r="OAV14" s="27"/>
      <c r="OBB14" s="27"/>
      <c r="OBC14" s="27"/>
      <c r="OBD14" s="27"/>
      <c r="OBJ14" s="27"/>
      <c r="OBK14" s="27"/>
      <c r="OBL14" s="27"/>
      <c r="OBR14" s="27"/>
      <c r="OBS14" s="27"/>
      <c r="OBT14" s="27"/>
      <c r="OBZ14" s="27"/>
      <c r="OCA14" s="27"/>
      <c r="OCB14" s="27"/>
      <c r="OCH14" s="27"/>
      <c r="OCI14" s="27"/>
      <c r="OCJ14" s="27"/>
      <c r="OCP14" s="27"/>
      <c r="OCQ14" s="27"/>
      <c r="OCR14" s="27"/>
      <c r="OCX14" s="27"/>
      <c r="OCY14" s="27"/>
      <c r="OCZ14" s="27"/>
      <c r="ODF14" s="27"/>
      <c r="ODG14" s="27"/>
      <c r="ODH14" s="27"/>
      <c r="ODN14" s="27"/>
      <c r="ODO14" s="27"/>
      <c r="ODP14" s="27"/>
      <c r="ODV14" s="27"/>
      <c r="ODW14" s="27"/>
      <c r="ODX14" s="27"/>
      <c r="OED14" s="27"/>
      <c r="OEE14" s="27"/>
      <c r="OEF14" s="27"/>
      <c r="OEL14" s="27"/>
      <c r="OEM14" s="27"/>
      <c r="OEN14" s="27"/>
      <c r="OET14" s="27"/>
      <c r="OEU14" s="27"/>
      <c r="OEV14" s="27"/>
      <c r="OFB14" s="27"/>
      <c r="OFC14" s="27"/>
      <c r="OFD14" s="27"/>
      <c r="OFJ14" s="27"/>
      <c r="OFK14" s="27"/>
      <c r="OFL14" s="27"/>
      <c r="OFR14" s="27"/>
      <c r="OFS14" s="27"/>
      <c r="OFT14" s="27"/>
      <c r="OFZ14" s="27"/>
      <c r="OGA14" s="27"/>
      <c r="OGB14" s="27"/>
      <c r="OGH14" s="27"/>
      <c r="OGI14" s="27"/>
      <c r="OGJ14" s="27"/>
      <c r="OGP14" s="27"/>
      <c r="OGQ14" s="27"/>
      <c r="OGR14" s="27"/>
      <c r="OGX14" s="27"/>
      <c r="OGY14" s="27"/>
      <c r="OGZ14" s="27"/>
      <c r="OHF14" s="27"/>
      <c r="OHG14" s="27"/>
      <c r="OHH14" s="27"/>
      <c r="OHN14" s="27"/>
      <c r="OHO14" s="27"/>
      <c r="OHP14" s="27"/>
      <c r="OHV14" s="27"/>
      <c r="OHW14" s="27"/>
      <c r="OHX14" s="27"/>
      <c r="OID14" s="27"/>
      <c r="OIE14" s="27"/>
      <c r="OIF14" s="27"/>
      <c r="OIL14" s="27"/>
      <c r="OIM14" s="27"/>
      <c r="OIN14" s="27"/>
      <c r="OIT14" s="27"/>
      <c r="OIU14" s="27"/>
      <c r="OIV14" s="27"/>
      <c r="OJB14" s="27"/>
      <c r="OJC14" s="27"/>
      <c r="OJD14" s="27"/>
      <c r="OJJ14" s="27"/>
      <c r="OJK14" s="27"/>
      <c r="OJL14" s="27"/>
      <c r="OJR14" s="27"/>
      <c r="OJS14" s="27"/>
      <c r="OJT14" s="27"/>
      <c r="OJZ14" s="27"/>
      <c r="OKA14" s="27"/>
      <c r="OKB14" s="27"/>
      <c r="OKH14" s="27"/>
      <c r="OKI14" s="27"/>
      <c r="OKJ14" s="27"/>
      <c r="OKP14" s="27"/>
      <c r="OKQ14" s="27"/>
      <c r="OKR14" s="27"/>
      <c r="OKX14" s="27"/>
      <c r="OKY14" s="27"/>
      <c r="OKZ14" s="27"/>
      <c r="OLF14" s="27"/>
      <c r="OLG14" s="27"/>
      <c r="OLH14" s="27"/>
      <c r="OLN14" s="27"/>
      <c r="OLO14" s="27"/>
      <c r="OLP14" s="27"/>
      <c r="OLV14" s="27"/>
      <c r="OLW14" s="27"/>
      <c r="OLX14" s="27"/>
      <c r="OMD14" s="27"/>
      <c r="OME14" s="27"/>
      <c r="OMF14" s="27"/>
      <c r="OML14" s="27"/>
      <c r="OMM14" s="27"/>
      <c r="OMN14" s="27"/>
      <c r="OMT14" s="27"/>
      <c r="OMU14" s="27"/>
      <c r="OMV14" s="27"/>
      <c r="ONB14" s="27"/>
      <c r="ONC14" s="27"/>
      <c r="OND14" s="27"/>
      <c r="ONJ14" s="27"/>
      <c r="ONK14" s="27"/>
      <c r="ONL14" s="27"/>
      <c r="ONR14" s="27"/>
      <c r="ONS14" s="27"/>
      <c r="ONT14" s="27"/>
      <c r="ONZ14" s="27"/>
      <c r="OOA14" s="27"/>
      <c r="OOB14" s="27"/>
      <c r="OOH14" s="27"/>
      <c r="OOI14" s="27"/>
      <c r="OOJ14" s="27"/>
      <c r="OOP14" s="27"/>
      <c r="OOQ14" s="27"/>
      <c r="OOR14" s="27"/>
      <c r="OOX14" s="27"/>
      <c r="OOY14" s="27"/>
      <c r="OOZ14" s="27"/>
      <c r="OPF14" s="27"/>
      <c r="OPG14" s="27"/>
      <c r="OPH14" s="27"/>
      <c r="OPN14" s="27"/>
      <c r="OPO14" s="27"/>
      <c r="OPP14" s="27"/>
      <c r="OPV14" s="27"/>
      <c r="OPW14" s="27"/>
      <c r="OPX14" s="27"/>
      <c r="OQD14" s="27"/>
      <c r="OQE14" s="27"/>
      <c r="OQF14" s="27"/>
      <c r="OQL14" s="27"/>
      <c r="OQM14" s="27"/>
      <c r="OQN14" s="27"/>
      <c r="OQT14" s="27"/>
      <c r="OQU14" s="27"/>
      <c r="OQV14" s="27"/>
      <c r="ORB14" s="27"/>
      <c r="ORC14" s="27"/>
      <c r="ORD14" s="27"/>
      <c r="ORJ14" s="27"/>
      <c r="ORK14" s="27"/>
      <c r="ORL14" s="27"/>
      <c r="ORR14" s="27"/>
      <c r="ORS14" s="27"/>
      <c r="ORT14" s="27"/>
      <c r="ORZ14" s="27"/>
      <c r="OSA14" s="27"/>
      <c r="OSB14" s="27"/>
      <c r="OSH14" s="27"/>
      <c r="OSI14" s="27"/>
      <c r="OSJ14" s="27"/>
      <c r="OSP14" s="27"/>
      <c r="OSQ14" s="27"/>
      <c r="OSR14" s="27"/>
      <c r="OSX14" s="27"/>
      <c r="OSY14" s="27"/>
      <c r="OSZ14" s="27"/>
      <c r="OTF14" s="27"/>
      <c r="OTG14" s="27"/>
      <c r="OTH14" s="27"/>
      <c r="OTN14" s="27"/>
      <c r="OTO14" s="27"/>
      <c r="OTP14" s="27"/>
      <c r="OTV14" s="27"/>
      <c r="OTW14" s="27"/>
      <c r="OTX14" s="27"/>
      <c r="OUD14" s="27"/>
      <c r="OUE14" s="27"/>
      <c r="OUF14" s="27"/>
      <c r="OUL14" s="27"/>
      <c r="OUM14" s="27"/>
      <c r="OUN14" s="27"/>
      <c r="OUT14" s="27"/>
      <c r="OUU14" s="27"/>
      <c r="OUV14" s="27"/>
      <c r="OVB14" s="27"/>
      <c r="OVC14" s="27"/>
      <c r="OVD14" s="27"/>
      <c r="OVJ14" s="27"/>
      <c r="OVK14" s="27"/>
      <c r="OVL14" s="27"/>
      <c r="OVR14" s="27"/>
      <c r="OVS14" s="27"/>
      <c r="OVT14" s="27"/>
      <c r="OVZ14" s="27"/>
      <c r="OWA14" s="27"/>
      <c r="OWB14" s="27"/>
      <c r="OWH14" s="27"/>
      <c r="OWI14" s="27"/>
      <c r="OWJ14" s="27"/>
      <c r="OWP14" s="27"/>
      <c r="OWQ14" s="27"/>
      <c r="OWR14" s="27"/>
      <c r="OWX14" s="27"/>
      <c r="OWY14" s="27"/>
      <c r="OWZ14" s="27"/>
      <c r="OXF14" s="27"/>
      <c r="OXG14" s="27"/>
      <c r="OXH14" s="27"/>
      <c r="OXN14" s="27"/>
      <c r="OXO14" s="27"/>
      <c r="OXP14" s="27"/>
      <c r="OXV14" s="27"/>
      <c r="OXW14" s="27"/>
      <c r="OXX14" s="27"/>
      <c r="OYD14" s="27"/>
      <c r="OYE14" s="27"/>
      <c r="OYF14" s="27"/>
      <c r="OYL14" s="27"/>
      <c r="OYM14" s="27"/>
      <c r="OYN14" s="27"/>
      <c r="OYT14" s="27"/>
      <c r="OYU14" s="27"/>
      <c r="OYV14" s="27"/>
      <c r="OZB14" s="27"/>
      <c r="OZC14" s="27"/>
      <c r="OZD14" s="27"/>
      <c r="OZJ14" s="27"/>
      <c r="OZK14" s="27"/>
      <c r="OZL14" s="27"/>
      <c r="OZR14" s="27"/>
      <c r="OZS14" s="27"/>
      <c r="OZT14" s="27"/>
      <c r="OZZ14" s="27"/>
      <c r="PAA14" s="27"/>
      <c r="PAB14" s="27"/>
      <c r="PAH14" s="27"/>
      <c r="PAI14" s="27"/>
      <c r="PAJ14" s="27"/>
      <c r="PAP14" s="27"/>
      <c r="PAQ14" s="27"/>
      <c r="PAR14" s="27"/>
      <c r="PAX14" s="27"/>
      <c r="PAY14" s="27"/>
      <c r="PAZ14" s="27"/>
      <c r="PBF14" s="27"/>
      <c r="PBG14" s="27"/>
      <c r="PBH14" s="27"/>
      <c r="PBN14" s="27"/>
      <c r="PBO14" s="27"/>
      <c r="PBP14" s="27"/>
      <c r="PBV14" s="27"/>
      <c r="PBW14" s="27"/>
      <c r="PBX14" s="27"/>
      <c r="PCD14" s="27"/>
      <c r="PCE14" s="27"/>
      <c r="PCF14" s="27"/>
      <c r="PCL14" s="27"/>
      <c r="PCM14" s="27"/>
      <c r="PCN14" s="27"/>
      <c r="PCT14" s="27"/>
      <c r="PCU14" s="27"/>
      <c r="PCV14" s="27"/>
      <c r="PDB14" s="27"/>
      <c r="PDC14" s="27"/>
      <c r="PDD14" s="27"/>
      <c r="PDJ14" s="27"/>
      <c r="PDK14" s="27"/>
      <c r="PDL14" s="27"/>
      <c r="PDR14" s="27"/>
      <c r="PDS14" s="27"/>
      <c r="PDT14" s="27"/>
      <c r="PDZ14" s="27"/>
      <c r="PEA14" s="27"/>
      <c r="PEB14" s="27"/>
      <c r="PEH14" s="27"/>
      <c r="PEI14" s="27"/>
      <c r="PEJ14" s="27"/>
      <c r="PEP14" s="27"/>
      <c r="PEQ14" s="27"/>
      <c r="PER14" s="27"/>
      <c r="PEX14" s="27"/>
      <c r="PEY14" s="27"/>
      <c r="PEZ14" s="27"/>
      <c r="PFF14" s="27"/>
      <c r="PFG14" s="27"/>
      <c r="PFH14" s="27"/>
      <c r="PFN14" s="27"/>
      <c r="PFO14" s="27"/>
      <c r="PFP14" s="27"/>
      <c r="PFV14" s="27"/>
      <c r="PFW14" s="27"/>
      <c r="PFX14" s="27"/>
      <c r="PGD14" s="27"/>
      <c r="PGE14" s="27"/>
      <c r="PGF14" s="27"/>
      <c r="PGL14" s="27"/>
      <c r="PGM14" s="27"/>
      <c r="PGN14" s="27"/>
      <c r="PGT14" s="27"/>
      <c r="PGU14" s="27"/>
      <c r="PGV14" s="27"/>
      <c r="PHB14" s="27"/>
      <c r="PHC14" s="27"/>
      <c r="PHD14" s="27"/>
      <c r="PHJ14" s="27"/>
      <c r="PHK14" s="27"/>
      <c r="PHL14" s="27"/>
      <c r="PHR14" s="27"/>
      <c r="PHS14" s="27"/>
      <c r="PHT14" s="27"/>
      <c r="PHZ14" s="27"/>
      <c r="PIA14" s="27"/>
      <c r="PIB14" s="27"/>
      <c r="PIH14" s="27"/>
      <c r="PII14" s="27"/>
      <c r="PIJ14" s="27"/>
      <c r="PIP14" s="27"/>
      <c r="PIQ14" s="27"/>
      <c r="PIR14" s="27"/>
      <c r="PIX14" s="27"/>
      <c r="PIY14" s="27"/>
      <c r="PIZ14" s="27"/>
      <c r="PJF14" s="27"/>
      <c r="PJG14" s="27"/>
      <c r="PJH14" s="27"/>
      <c r="PJN14" s="27"/>
      <c r="PJO14" s="27"/>
      <c r="PJP14" s="27"/>
      <c r="PJV14" s="27"/>
      <c r="PJW14" s="27"/>
      <c r="PJX14" s="27"/>
      <c r="PKD14" s="27"/>
      <c r="PKE14" s="27"/>
      <c r="PKF14" s="27"/>
      <c r="PKL14" s="27"/>
      <c r="PKM14" s="27"/>
      <c r="PKN14" s="27"/>
      <c r="PKT14" s="27"/>
      <c r="PKU14" s="27"/>
      <c r="PKV14" s="27"/>
      <c r="PLB14" s="27"/>
      <c r="PLC14" s="27"/>
      <c r="PLD14" s="27"/>
      <c r="PLJ14" s="27"/>
      <c r="PLK14" s="27"/>
      <c r="PLL14" s="27"/>
      <c r="PLR14" s="27"/>
      <c r="PLS14" s="27"/>
      <c r="PLT14" s="27"/>
      <c r="PLZ14" s="27"/>
      <c r="PMA14" s="27"/>
      <c r="PMB14" s="27"/>
      <c r="PMH14" s="27"/>
      <c r="PMI14" s="27"/>
      <c r="PMJ14" s="27"/>
      <c r="PMP14" s="27"/>
      <c r="PMQ14" s="27"/>
      <c r="PMR14" s="27"/>
      <c r="PMX14" s="27"/>
      <c r="PMY14" s="27"/>
      <c r="PMZ14" s="27"/>
      <c r="PNF14" s="27"/>
      <c r="PNG14" s="27"/>
      <c r="PNH14" s="27"/>
      <c r="PNN14" s="27"/>
      <c r="PNO14" s="27"/>
      <c r="PNP14" s="27"/>
      <c r="PNV14" s="27"/>
      <c r="PNW14" s="27"/>
      <c r="PNX14" s="27"/>
      <c r="POD14" s="27"/>
      <c r="POE14" s="27"/>
      <c r="POF14" s="27"/>
      <c r="POL14" s="27"/>
      <c r="POM14" s="27"/>
      <c r="PON14" s="27"/>
      <c r="POT14" s="27"/>
      <c r="POU14" s="27"/>
      <c r="POV14" s="27"/>
      <c r="PPB14" s="27"/>
      <c r="PPC14" s="27"/>
      <c r="PPD14" s="27"/>
      <c r="PPJ14" s="27"/>
      <c r="PPK14" s="27"/>
      <c r="PPL14" s="27"/>
      <c r="PPR14" s="27"/>
      <c r="PPS14" s="27"/>
      <c r="PPT14" s="27"/>
      <c r="PPZ14" s="27"/>
      <c r="PQA14" s="27"/>
      <c r="PQB14" s="27"/>
      <c r="PQH14" s="27"/>
      <c r="PQI14" s="27"/>
      <c r="PQJ14" s="27"/>
      <c r="PQP14" s="27"/>
      <c r="PQQ14" s="27"/>
      <c r="PQR14" s="27"/>
      <c r="PQX14" s="27"/>
      <c r="PQY14" s="27"/>
      <c r="PQZ14" s="27"/>
      <c r="PRF14" s="27"/>
      <c r="PRG14" s="27"/>
      <c r="PRH14" s="27"/>
      <c r="PRN14" s="27"/>
      <c r="PRO14" s="27"/>
      <c r="PRP14" s="27"/>
      <c r="PRV14" s="27"/>
      <c r="PRW14" s="27"/>
      <c r="PRX14" s="27"/>
      <c r="PSD14" s="27"/>
      <c r="PSE14" s="27"/>
      <c r="PSF14" s="27"/>
      <c r="PSL14" s="27"/>
      <c r="PSM14" s="27"/>
      <c r="PSN14" s="27"/>
      <c r="PST14" s="27"/>
      <c r="PSU14" s="27"/>
      <c r="PSV14" s="27"/>
      <c r="PTB14" s="27"/>
      <c r="PTC14" s="27"/>
      <c r="PTD14" s="27"/>
      <c r="PTJ14" s="27"/>
      <c r="PTK14" s="27"/>
      <c r="PTL14" s="27"/>
      <c r="PTR14" s="27"/>
      <c r="PTS14" s="27"/>
      <c r="PTT14" s="27"/>
      <c r="PTZ14" s="27"/>
      <c r="PUA14" s="27"/>
      <c r="PUB14" s="27"/>
      <c r="PUH14" s="27"/>
      <c r="PUI14" s="27"/>
      <c r="PUJ14" s="27"/>
      <c r="PUP14" s="27"/>
      <c r="PUQ14" s="27"/>
      <c r="PUR14" s="27"/>
      <c r="PUX14" s="27"/>
      <c r="PUY14" s="27"/>
      <c r="PUZ14" s="27"/>
      <c r="PVF14" s="27"/>
      <c r="PVG14" s="27"/>
      <c r="PVH14" s="27"/>
      <c r="PVN14" s="27"/>
      <c r="PVO14" s="27"/>
      <c r="PVP14" s="27"/>
      <c r="PVV14" s="27"/>
      <c r="PVW14" s="27"/>
      <c r="PVX14" s="27"/>
      <c r="PWD14" s="27"/>
      <c r="PWE14" s="27"/>
      <c r="PWF14" s="27"/>
      <c r="PWL14" s="27"/>
      <c r="PWM14" s="27"/>
      <c r="PWN14" s="27"/>
      <c r="PWT14" s="27"/>
      <c r="PWU14" s="27"/>
      <c r="PWV14" s="27"/>
      <c r="PXB14" s="27"/>
      <c r="PXC14" s="27"/>
      <c r="PXD14" s="27"/>
      <c r="PXJ14" s="27"/>
      <c r="PXK14" s="27"/>
      <c r="PXL14" s="27"/>
      <c r="PXR14" s="27"/>
      <c r="PXS14" s="27"/>
      <c r="PXT14" s="27"/>
      <c r="PXZ14" s="27"/>
      <c r="PYA14" s="27"/>
      <c r="PYB14" s="27"/>
      <c r="PYH14" s="27"/>
      <c r="PYI14" s="27"/>
      <c r="PYJ14" s="27"/>
      <c r="PYP14" s="27"/>
      <c r="PYQ14" s="27"/>
      <c r="PYR14" s="27"/>
      <c r="PYX14" s="27"/>
      <c r="PYY14" s="27"/>
      <c r="PYZ14" s="27"/>
      <c r="PZF14" s="27"/>
      <c r="PZG14" s="27"/>
      <c r="PZH14" s="27"/>
      <c r="PZN14" s="27"/>
      <c r="PZO14" s="27"/>
      <c r="PZP14" s="27"/>
      <c r="PZV14" s="27"/>
      <c r="PZW14" s="27"/>
      <c r="PZX14" s="27"/>
      <c r="QAD14" s="27"/>
      <c r="QAE14" s="27"/>
      <c r="QAF14" s="27"/>
      <c r="QAL14" s="27"/>
      <c r="QAM14" s="27"/>
      <c r="QAN14" s="27"/>
      <c r="QAT14" s="27"/>
      <c r="QAU14" s="27"/>
      <c r="QAV14" s="27"/>
      <c r="QBB14" s="27"/>
      <c r="QBC14" s="27"/>
      <c r="QBD14" s="27"/>
      <c r="QBJ14" s="27"/>
      <c r="QBK14" s="27"/>
      <c r="QBL14" s="27"/>
      <c r="QBR14" s="27"/>
      <c r="QBS14" s="27"/>
      <c r="QBT14" s="27"/>
      <c r="QBZ14" s="27"/>
      <c r="QCA14" s="27"/>
      <c r="QCB14" s="27"/>
      <c r="QCH14" s="27"/>
      <c r="QCI14" s="27"/>
      <c r="QCJ14" s="27"/>
      <c r="QCP14" s="27"/>
      <c r="QCQ14" s="27"/>
      <c r="QCR14" s="27"/>
      <c r="QCX14" s="27"/>
      <c r="QCY14" s="27"/>
      <c r="QCZ14" s="27"/>
      <c r="QDF14" s="27"/>
      <c r="QDG14" s="27"/>
      <c r="QDH14" s="27"/>
      <c r="QDN14" s="27"/>
      <c r="QDO14" s="27"/>
      <c r="QDP14" s="27"/>
      <c r="QDV14" s="27"/>
      <c r="QDW14" s="27"/>
      <c r="QDX14" s="27"/>
      <c r="QED14" s="27"/>
      <c r="QEE14" s="27"/>
      <c r="QEF14" s="27"/>
      <c r="QEL14" s="27"/>
      <c r="QEM14" s="27"/>
      <c r="QEN14" s="27"/>
      <c r="QET14" s="27"/>
      <c r="QEU14" s="27"/>
      <c r="QEV14" s="27"/>
      <c r="QFB14" s="27"/>
      <c r="QFC14" s="27"/>
      <c r="QFD14" s="27"/>
      <c r="QFJ14" s="27"/>
      <c r="QFK14" s="27"/>
      <c r="QFL14" s="27"/>
      <c r="QFR14" s="27"/>
      <c r="QFS14" s="27"/>
      <c r="QFT14" s="27"/>
      <c r="QFZ14" s="27"/>
      <c r="QGA14" s="27"/>
      <c r="QGB14" s="27"/>
      <c r="QGH14" s="27"/>
      <c r="QGI14" s="27"/>
      <c r="QGJ14" s="27"/>
      <c r="QGP14" s="27"/>
      <c r="QGQ14" s="27"/>
      <c r="QGR14" s="27"/>
      <c r="QGX14" s="27"/>
      <c r="QGY14" s="27"/>
      <c r="QGZ14" s="27"/>
      <c r="QHF14" s="27"/>
      <c r="QHG14" s="27"/>
      <c r="QHH14" s="27"/>
      <c r="QHN14" s="27"/>
      <c r="QHO14" s="27"/>
      <c r="QHP14" s="27"/>
      <c r="QHV14" s="27"/>
      <c r="QHW14" s="27"/>
      <c r="QHX14" s="27"/>
      <c r="QID14" s="27"/>
      <c r="QIE14" s="27"/>
      <c r="QIF14" s="27"/>
      <c r="QIL14" s="27"/>
      <c r="QIM14" s="27"/>
      <c r="QIN14" s="27"/>
      <c r="QIT14" s="27"/>
      <c r="QIU14" s="27"/>
      <c r="QIV14" s="27"/>
      <c r="QJB14" s="27"/>
      <c r="QJC14" s="27"/>
      <c r="QJD14" s="27"/>
      <c r="QJJ14" s="27"/>
      <c r="QJK14" s="27"/>
      <c r="QJL14" s="27"/>
      <c r="QJR14" s="27"/>
      <c r="QJS14" s="27"/>
      <c r="QJT14" s="27"/>
      <c r="QJZ14" s="27"/>
      <c r="QKA14" s="27"/>
      <c r="QKB14" s="27"/>
      <c r="QKH14" s="27"/>
      <c r="QKI14" s="27"/>
      <c r="QKJ14" s="27"/>
      <c r="QKP14" s="27"/>
      <c r="QKQ14" s="27"/>
      <c r="QKR14" s="27"/>
      <c r="QKX14" s="27"/>
      <c r="QKY14" s="27"/>
      <c r="QKZ14" s="27"/>
      <c r="QLF14" s="27"/>
      <c r="QLG14" s="27"/>
      <c r="QLH14" s="27"/>
      <c r="QLN14" s="27"/>
      <c r="QLO14" s="27"/>
      <c r="QLP14" s="27"/>
      <c r="QLV14" s="27"/>
      <c r="QLW14" s="27"/>
      <c r="QLX14" s="27"/>
      <c r="QMD14" s="27"/>
      <c r="QME14" s="27"/>
      <c r="QMF14" s="27"/>
      <c r="QML14" s="27"/>
      <c r="QMM14" s="27"/>
      <c r="QMN14" s="27"/>
      <c r="QMT14" s="27"/>
      <c r="QMU14" s="27"/>
      <c r="QMV14" s="27"/>
      <c r="QNB14" s="27"/>
      <c r="QNC14" s="27"/>
      <c r="QND14" s="27"/>
      <c r="QNJ14" s="27"/>
      <c r="QNK14" s="27"/>
      <c r="QNL14" s="27"/>
      <c r="QNR14" s="27"/>
      <c r="QNS14" s="27"/>
      <c r="QNT14" s="27"/>
      <c r="QNZ14" s="27"/>
      <c r="QOA14" s="27"/>
      <c r="QOB14" s="27"/>
      <c r="QOH14" s="27"/>
      <c r="QOI14" s="27"/>
      <c r="QOJ14" s="27"/>
      <c r="QOP14" s="27"/>
      <c r="QOQ14" s="27"/>
      <c r="QOR14" s="27"/>
      <c r="QOX14" s="27"/>
      <c r="QOY14" s="27"/>
      <c r="QOZ14" s="27"/>
      <c r="QPF14" s="27"/>
      <c r="QPG14" s="27"/>
      <c r="QPH14" s="27"/>
      <c r="QPN14" s="27"/>
      <c r="QPO14" s="27"/>
      <c r="QPP14" s="27"/>
      <c r="QPV14" s="27"/>
      <c r="QPW14" s="27"/>
      <c r="QPX14" s="27"/>
      <c r="QQD14" s="27"/>
      <c r="QQE14" s="27"/>
      <c r="QQF14" s="27"/>
      <c r="QQL14" s="27"/>
      <c r="QQM14" s="27"/>
      <c r="QQN14" s="27"/>
      <c r="QQT14" s="27"/>
      <c r="QQU14" s="27"/>
      <c r="QQV14" s="27"/>
      <c r="QRB14" s="27"/>
      <c r="QRC14" s="27"/>
      <c r="QRD14" s="27"/>
      <c r="QRJ14" s="27"/>
      <c r="QRK14" s="27"/>
      <c r="QRL14" s="27"/>
      <c r="QRR14" s="27"/>
      <c r="QRS14" s="27"/>
      <c r="QRT14" s="27"/>
      <c r="QRZ14" s="27"/>
      <c r="QSA14" s="27"/>
      <c r="QSB14" s="27"/>
      <c r="QSH14" s="27"/>
      <c r="QSI14" s="27"/>
      <c r="QSJ14" s="27"/>
      <c r="QSP14" s="27"/>
      <c r="QSQ14" s="27"/>
      <c r="QSR14" s="27"/>
      <c r="QSX14" s="27"/>
      <c r="QSY14" s="27"/>
      <c r="QSZ14" s="27"/>
      <c r="QTF14" s="27"/>
      <c r="QTG14" s="27"/>
      <c r="QTH14" s="27"/>
      <c r="QTN14" s="27"/>
      <c r="QTO14" s="27"/>
      <c r="QTP14" s="27"/>
      <c r="QTV14" s="27"/>
      <c r="QTW14" s="27"/>
      <c r="QTX14" s="27"/>
      <c r="QUD14" s="27"/>
      <c r="QUE14" s="27"/>
      <c r="QUF14" s="27"/>
      <c r="QUL14" s="27"/>
      <c r="QUM14" s="27"/>
      <c r="QUN14" s="27"/>
      <c r="QUT14" s="27"/>
      <c r="QUU14" s="27"/>
      <c r="QUV14" s="27"/>
      <c r="QVB14" s="27"/>
      <c r="QVC14" s="27"/>
      <c r="QVD14" s="27"/>
      <c r="QVJ14" s="27"/>
      <c r="QVK14" s="27"/>
      <c r="QVL14" s="27"/>
      <c r="QVR14" s="27"/>
      <c r="QVS14" s="27"/>
      <c r="QVT14" s="27"/>
      <c r="QVZ14" s="27"/>
      <c r="QWA14" s="27"/>
      <c r="QWB14" s="27"/>
      <c r="QWH14" s="27"/>
      <c r="QWI14" s="27"/>
      <c r="QWJ14" s="27"/>
      <c r="QWP14" s="27"/>
      <c r="QWQ14" s="27"/>
      <c r="QWR14" s="27"/>
      <c r="QWX14" s="27"/>
      <c r="QWY14" s="27"/>
      <c r="QWZ14" s="27"/>
      <c r="QXF14" s="27"/>
      <c r="QXG14" s="27"/>
      <c r="QXH14" s="27"/>
      <c r="QXN14" s="27"/>
      <c r="QXO14" s="27"/>
      <c r="QXP14" s="27"/>
      <c r="QXV14" s="27"/>
      <c r="QXW14" s="27"/>
      <c r="QXX14" s="27"/>
      <c r="QYD14" s="27"/>
      <c r="QYE14" s="27"/>
      <c r="QYF14" s="27"/>
      <c r="QYL14" s="27"/>
      <c r="QYM14" s="27"/>
      <c r="QYN14" s="27"/>
      <c r="QYT14" s="27"/>
      <c r="QYU14" s="27"/>
      <c r="QYV14" s="27"/>
      <c r="QZB14" s="27"/>
      <c r="QZC14" s="27"/>
      <c r="QZD14" s="27"/>
      <c r="QZJ14" s="27"/>
      <c r="QZK14" s="27"/>
      <c r="QZL14" s="27"/>
      <c r="QZR14" s="27"/>
      <c r="QZS14" s="27"/>
      <c r="QZT14" s="27"/>
      <c r="QZZ14" s="27"/>
      <c r="RAA14" s="27"/>
      <c r="RAB14" s="27"/>
      <c r="RAH14" s="27"/>
      <c r="RAI14" s="27"/>
      <c r="RAJ14" s="27"/>
      <c r="RAP14" s="27"/>
      <c r="RAQ14" s="27"/>
      <c r="RAR14" s="27"/>
      <c r="RAX14" s="27"/>
      <c r="RAY14" s="27"/>
      <c r="RAZ14" s="27"/>
      <c r="RBF14" s="27"/>
      <c r="RBG14" s="27"/>
      <c r="RBH14" s="27"/>
      <c r="RBN14" s="27"/>
      <c r="RBO14" s="27"/>
      <c r="RBP14" s="27"/>
      <c r="RBV14" s="27"/>
      <c r="RBW14" s="27"/>
      <c r="RBX14" s="27"/>
      <c r="RCD14" s="27"/>
      <c r="RCE14" s="27"/>
      <c r="RCF14" s="27"/>
      <c r="RCL14" s="27"/>
      <c r="RCM14" s="27"/>
      <c r="RCN14" s="27"/>
      <c r="RCT14" s="27"/>
      <c r="RCU14" s="27"/>
      <c r="RCV14" s="27"/>
      <c r="RDB14" s="27"/>
      <c r="RDC14" s="27"/>
      <c r="RDD14" s="27"/>
      <c r="RDJ14" s="27"/>
      <c r="RDK14" s="27"/>
      <c r="RDL14" s="27"/>
      <c r="RDR14" s="27"/>
      <c r="RDS14" s="27"/>
      <c r="RDT14" s="27"/>
      <c r="RDZ14" s="27"/>
      <c r="REA14" s="27"/>
      <c r="REB14" s="27"/>
      <c r="REH14" s="27"/>
      <c r="REI14" s="27"/>
      <c r="REJ14" s="27"/>
      <c r="REP14" s="27"/>
      <c r="REQ14" s="27"/>
      <c r="RER14" s="27"/>
      <c r="REX14" s="27"/>
      <c r="REY14" s="27"/>
      <c r="REZ14" s="27"/>
      <c r="RFF14" s="27"/>
      <c r="RFG14" s="27"/>
      <c r="RFH14" s="27"/>
      <c r="RFN14" s="27"/>
      <c r="RFO14" s="27"/>
      <c r="RFP14" s="27"/>
      <c r="RFV14" s="27"/>
      <c r="RFW14" s="27"/>
      <c r="RFX14" s="27"/>
      <c r="RGD14" s="27"/>
      <c r="RGE14" s="27"/>
      <c r="RGF14" s="27"/>
      <c r="RGL14" s="27"/>
      <c r="RGM14" s="27"/>
      <c r="RGN14" s="27"/>
      <c r="RGT14" s="27"/>
      <c r="RGU14" s="27"/>
      <c r="RGV14" s="27"/>
      <c r="RHB14" s="27"/>
      <c r="RHC14" s="27"/>
      <c r="RHD14" s="27"/>
      <c r="RHJ14" s="27"/>
      <c r="RHK14" s="27"/>
      <c r="RHL14" s="27"/>
      <c r="RHR14" s="27"/>
      <c r="RHS14" s="27"/>
      <c r="RHT14" s="27"/>
      <c r="RHZ14" s="27"/>
      <c r="RIA14" s="27"/>
      <c r="RIB14" s="27"/>
      <c r="RIH14" s="27"/>
      <c r="RII14" s="27"/>
      <c r="RIJ14" s="27"/>
      <c r="RIP14" s="27"/>
      <c r="RIQ14" s="27"/>
      <c r="RIR14" s="27"/>
      <c r="RIX14" s="27"/>
      <c r="RIY14" s="27"/>
      <c r="RIZ14" s="27"/>
      <c r="RJF14" s="27"/>
      <c r="RJG14" s="27"/>
      <c r="RJH14" s="27"/>
      <c r="RJN14" s="27"/>
      <c r="RJO14" s="27"/>
      <c r="RJP14" s="27"/>
      <c r="RJV14" s="27"/>
      <c r="RJW14" s="27"/>
      <c r="RJX14" s="27"/>
      <c r="RKD14" s="27"/>
      <c r="RKE14" s="27"/>
      <c r="RKF14" s="27"/>
      <c r="RKL14" s="27"/>
      <c r="RKM14" s="27"/>
      <c r="RKN14" s="27"/>
      <c r="RKT14" s="27"/>
      <c r="RKU14" s="27"/>
      <c r="RKV14" s="27"/>
      <c r="RLB14" s="27"/>
      <c r="RLC14" s="27"/>
      <c r="RLD14" s="27"/>
      <c r="RLJ14" s="27"/>
      <c r="RLK14" s="27"/>
      <c r="RLL14" s="27"/>
      <c r="RLR14" s="27"/>
      <c r="RLS14" s="27"/>
      <c r="RLT14" s="27"/>
      <c r="RLZ14" s="27"/>
      <c r="RMA14" s="27"/>
      <c r="RMB14" s="27"/>
      <c r="RMH14" s="27"/>
      <c r="RMI14" s="27"/>
      <c r="RMJ14" s="27"/>
      <c r="RMP14" s="27"/>
      <c r="RMQ14" s="27"/>
      <c r="RMR14" s="27"/>
      <c r="RMX14" s="27"/>
      <c r="RMY14" s="27"/>
      <c r="RMZ14" s="27"/>
      <c r="RNF14" s="27"/>
      <c r="RNG14" s="27"/>
      <c r="RNH14" s="27"/>
      <c r="RNN14" s="27"/>
      <c r="RNO14" s="27"/>
      <c r="RNP14" s="27"/>
      <c r="RNV14" s="27"/>
      <c r="RNW14" s="27"/>
      <c r="RNX14" s="27"/>
      <c r="ROD14" s="27"/>
      <c r="ROE14" s="27"/>
      <c r="ROF14" s="27"/>
      <c r="ROL14" s="27"/>
      <c r="ROM14" s="27"/>
      <c r="RON14" s="27"/>
      <c r="ROT14" s="27"/>
      <c r="ROU14" s="27"/>
      <c r="ROV14" s="27"/>
      <c r="RPB14" s="27"/>
      <c r="RPC14" s="27"/>
      <c r="RPD14" s="27"/>
      <c r="RPJ14" s="27"/>
      <c r="RPK14" s="27"/>
      <c r="RPL14" s="27"/>
      <c r="RPR14" s="27"/>
      <c r="RPS14" s="27"/>
      <c r="RPT14" s="27"/>
      <c r="RPZ14" s="27"/>
      <c r="RQA14" s="27"/>
      <c r="RQB14" s="27"/>
      <c r="RQH14" s="27"/>
      <c r="RQI14" s="27"/>
      <c r="RQJ14" s="27"/>
      <c r="RQP14" s="27"/>
      <c r="RQQ14" s="27"/>
      <c r="RQR14" s="27"/>
      <c r="RQX14" s="27"/>
      <c r="RQY14" s="27"/>
      <c r="RQZ14" s="27"/>
      <c r="RRF14" s="27"/>
      <c r="RRG14" s="27"/>
      <c r="RRH14" s="27"/>
      <c r="RRN14" s="27"/>
      <c r="RRO14" s="27"/>
      <c r="RRP14" s="27"/>
      <c r="RRV14" s="27"/>
      <c r="RRW14" s="27"/>
      <c r="RRX14" s="27"/>
      <c r="RSD14" s="27"/>
      <c r="RSE14" s="27"/>
      <c r="RSF14" s="27"/>
      <c r="RSL14" s="27"/>
      <c r="RSM14" s="27"/>
      <c r="RSN14" s="27"/>
      <c r="RST14" s="27"/>
      <c r="RSU14" s="27"/>
      <c r="RSV14" s="27"/>
      <c r="RTB14" s="27"/>
      <c r="RTC14" s="27"/>
      <c r="RTD14" s="27"/>
      <c r="RTJ14" s="27"/>
      <c r="RTK14" s="27"/>
      <c r="RTL14" s="27"/>
      <c r="RTR14" s="27"/>
      <c r="RTS14" s="27"/>
      <c r="RTT14" s="27"/>
      <c r="RTZ14" s="27"/>
      <c r="RUA14" s="27"/>
      <c r="RUB14" s="27"/>
      <c r="RUH14" s="27"/>
      <c r="RUI14" s="27"/>
      <c r="RUJ14" s="27"/>
      <c r="RUP14" s="27"/>
      <c r="RUQ14" s="27"/>
      <c r="RUR14" s="27"/>
      <c r="RUX14" s="27"/>
      <c r="RUY14" s="27"/>
      <c r="RUZ14" s="27"/>
      <c r="RVF14" s="27"/>
      <c r="RVG14" s="27"/>
      <c r="RVH14" s="27"/>
      <c r="RVN14" s="27"/>
      <c r="RVO14" s="27"/>
      <c r="RVP14" s="27"/>
      <c r="RVV14" s="27"/>
      <c r="RVW14" s="27"/>
      <c r="RVX14" s="27"/>
      <c r="RWD14" s="27"/>
      <c r="RWE14" s="27"/>
      <c r="RWF14" s="27"/>
      <c r="RWL14" s="27"/>
      <c r="RWM14" s="27"/>
      <c r="RWN14" s="27"/>
      <c r="RWT14" s="27"/>
      <c r="RWU14" s="27"/>
      <c r="RWV14" s="27"/>
      <c r="RXB14" s="27"/>
      <c r="RXC14" s="27"/>
      <c r="RXD14" s="27"/>
      <c r="RXJ14" s="27"/>
      <c r="RXK14" s="27"/>
      <c r="RXL14" s="27"/>
      <c r="RXR14" s="27"/>
      <c r="RXS14" s="27"/>
      <c r="RXT14" s="27"/>
      <c r="RXZ14" s="27"/>
      <c r="RYA14" s="27"/>
      <c r="RYB14" s="27"/>
      <c r="RYH14" s="27"/>
      <c r="RYI14" s="27"/>
      <c r="RYJ14" s="27"/>
      <c r="RYP14" s="27"/>
      <c r="RYQ14" s="27"/>
      <c r="RYR14" s="27"/>
      <c r="RYX14" s="27"/>
      <c r="RYY14" s="27"/>
      <c r="RYZ14" s="27"/>
      <c r="RZF14" s="27"/>
      <c r="RZG14" s="27"/>
      <c r="RZH14" s="27"/>
      <c r="RZN14" s="27"/>
      <c r="RZO14" s="27"/>
      <c r="RZP14" s="27"/>
      <c r="RZV14" s="27"/>
      <c r="RZW14" s="27"/>
      <c r="RZX14" s="27"/>
      <c r="SAD14" s="27"/>
      <c r="SAE14" s="27"/>
      <c r="SAF14" s="27"/>
      <c r="SAL14" s="27"/>
      <c r="SAM14" s="27"/>
      <c r="SAN14" s="27"/>
      <c r="SAT14" s="27"/>
      <c r="SAU14" s="27"/>
      <c r="SAV14" s="27"/>
      <c r="SBB14" s="27"/>
      <c r="SBC14" s="27"/>
      <c r="SBD14" s="27"/>
      <c r="SBJ14" s="27"/>
      <c r="SBK14" s="27"/>
      <c r="SBL14" s="27"/>
      <c r="SBR14" s="27"/>
      <c r="SBS14" s="27"/>
      <c r="SBT14" s="27"/>
      <c r="SBZ14" s="27"/>
      <c r="SCA14" s="27"/>
      <c r="SCB14" s="27"/>
      <c r="SCH14" s="27"/>
      <c r="SCI14" s="27"/>
      <c r="SCJ14" s="27"/>
      <c r="SCP14" s="27"/>
      <c r="SCQ14" s="27"/>
      <c r="SCR14" s="27"/>
      <c r="SCX14" s="27"/>
      <c r="SCY14" s="27"/>
      <c r="SCZ14" s="27"/>
      <c r="SDF14" s="27"/>
      <c r="SDG14" s="27"/>
      <c r="SDH14" s="27"/>
      <c r="SDN14" s="27"/>
      <c r="SDO14" s="27"/>
      <c r="SDP14" s="27"/>
      <c r="SDV14" s="27"/>
      <c r="SDW14" s="27"/>
      <c r="SDX14" s="27"/>
      <c r="SED14" s="27"/>
      <c r="SEE14" s="27"/>
      <c r="SEF14" s="27"/>
      <c r="SEL14" s="27"/>
      <c r="SEM14" s="27"/>
      <c r="SEN14" s="27"/>
      <c r="SET14" s="27"/>
      <c r="SEU14" s="27"/>
      <c r="SEV14" s="27"/>
      <c r="SFB14" s="27"/>
      <c r="SFC14" s="27"/>
      <c r="SFD14" s="27"/>
      <c r="SFJ14" s="27"/>
      <c r="SFK14" s="27"/>
      <c r="SFL14" s="27"/>
      <c r="SFR14" s="27"/>
      <c r="SFS14" s="27"/>
      <c r="SFT14" s="27"/>
      <c r="SFZ14" s="27"/>
      <c r="SGA14" s="27"/>
      <c r="SGB14" s="27"/>
      <c r="SGH14" s="27"/>
      <c r="SGI14" s="27"/>
      <c r="SGJ14" s="27"/>
      <c r="SGP14" s="27"/>
      <c r="SGQ14" s="27"/>
      <c r="SGR14" s="27"/>
      <c r="SGX14" s="27"/>
      <c r="SGY14" s="27"/>
      <c r="SGZ14" s="27"/>
      <c r="SHF14" s="27"/>
      <c r="SHG14" s="27"/>
      <c r="SHH14" s="27"/>
      <c r="SHN14" s="27"/>
      <c r="SHO14" s="27"/>
      <c r="SHP14" s="27"/>
      <c r="SHV14" s="27"/>
      <c r="SHW14" s="27"/>
      <c r="SHX14" s="27"/>
      <c r="SID14" s="27"/>
      <c r="SIE14" s="27"/>
      <c r="SIF14" s="27"/>
      <c r="SIL14" s="27"/>
      <c r="SIM14" s="27"/>
      <c r="SIN14" s="27"/>
      <c r="SIT14" s="27"/>
      <c r="SIU14" s="27"/>
      <c r="SIV14" s="27"/>
      <c r="SJB14" s="27"/>
      <c r="SJC14" s="27"/>
      <c r="SJD14" s="27"/>
      <c r="SJJ14" s="27"/>
      <c r="SJK14" s="27"/>
      <c r="SJL14" s="27"/>
      <c r="SJR14" s="27"/>
      <c r="SJS14" s="27"/>
      <c r="SJT14" s="27"/>
      <c r="SJZ14" s="27"/>
      <c r="SKA14" s="27"/>
      <c r="SKB14" s="27"/>
      <c r="SKH14" s="27"/>
      <c r="SKI14" s="27"/>
      <c r="SKJ14" s="27"/>
      <c r="SKP14" s="27"/>
      <c r="SKQ14" s="27"/>
      <c r="SKR14" s="27"/>
      <c r="SKX14" s="27"/>
      <c r="SKY14" s="27"/>
      <c r="SKZ14" s="27"/>
      <c r="SLF14" s="27"/>
      <c r="SLG14" s="27"/>
      <c r="SLH14" s="27"/>
      <c r="SLN14" s="27"/>
      <c r="SLO14" s="27"/>
      <c r="SLP14" s="27"/>
      <c r="SLV14" s="27"/>
      <c r="SLW14" s="27"/>
      <c r="SLX14" s="27"/>
      <c r="SMD14" s="27"/>
      <c r="SME14" s="27"/>
      <c r="SMF14" s="27"/>
      <c r="SML14" s="27"/>
      <c r="SMM14" s="27"/>
      <c r="SMN14" s="27"/>
      <c r="SMT14" s="27"/>
      <c r="SMU14" s="27"/>
      <c r="SMV14" s="27"/>
      <c r="SNB14" s="27"/>
      <c r="SNC14" s="27"/>
      <c r="SND14" s="27"/>
      <c r="SNJ14" s="27"/>
      <c r="SNK14" s="27"/>
      <c r="SNL14" s="27"/>
      <c r="SNR14" s="27"/>
      <c r="SNS14" s="27"/>
      <c r="SNT14" s="27"/>
      <c r="SNZ14" s="27"/>
      <c r="SOA14" s="27"/>
      <c r="SOB14" s="27"/>
      <c r="SOH14" s="27"/>
      <c r="SOI14" s="27"/>
      <c r="SOJ14" s="27"/>
      <c r="SOP14" s="27"/>
      <c r="SOQ14" s="27"/>
      <c r="SOR14" s="27"/>
      <c r="SOX14" s="27"/>
      <c r="SOY14" s="27"/>
      <c r="SOZ14" s="27"/>
      <c r="SPF14" s="27"/>
      <c r="SPG14" s="27"/>
      <c r="SPH14" s="27"/>
      <c r="SPN14" s="27"/>
      <c r="SPO14" s="27"/>
      <c r="SPP14" s="27"/>
      <c r="SPV14" s="27"/>
      <c r="SPW14" s="27"/>
      <c r="SPX14" s="27"/>
      <c r="SQD14" s="27"/>
      <c r="SQE14" s="27"/>
      <c r="SQF14" s="27"/>
      <c r="SQL14" s="27"/>
      <c r="SQM14" s="27"/>
      <c r="SQN14" s="27"/>
      <c r="SQT14" s="27"/>
      <c r="SQU14" s="27"/>
      <c r="SQV14" s="27"/>
      <c r="SRB14" s="27"/>
      <c r="SRC14" s="27"/>
      <c r="SRD14" s="27"/>
      <c r="SRJ14" s="27"/>
      <c r="SRK14" s="27"/>
      <c r="SRL14" s="27"/>
      <c r="SRR14" s="27"/>
      <c r="SRS14" s="27"/>
      <c r="SRT14" s="27"/>
      <c r="SRZ14" s="27"/>
      <c r="SSA14" s="27"/>
      <c r="SSB14" s="27"/>
      <c r="SSH14" s="27"/>
      <c r="SSI14" s="27"/>
      <c r="SSJ14" s="27"/>
      <c r="SSP14" s="27"/>
      <c r="SSQ14" s="27"/>
      <c r="SSR14" s="27"/>
      <c r="SSX14" s="27"/>
      <c r="SSY14" s="27"/>
      <c r="SSZ14" s="27"/>
      <c r="STF14" s="27"/>
      <c r="STG14" s="27"/>
      <c r="STH14" s="27"/>
      <c r="STN14" s="27"/>
      <c r="STO14" s="27"/>
      <c r="STP14" s="27"/>
      <c r="STV14" s="27"/>
      <c r="STW14" s="27"/>
      <c r="STX14" s="27"/>
      <c r="SUD14" s="27"/>
      <c r="SUE14" s="27"/>
      <c r="SUF14" s="27"/>
      <c r="SUL14" s="27"/>
      <c r="SUM14" s="27"/>
      <c r="SUN14" s="27"/>
      <c r="SUT14" s="27"/>
      <c r="SUU14" s="27"/>
      <c r="SUV14" s="27"/>
      <c r="SVB14" s="27"/>
      <c r="SVC14" s="27"/>
      <c r="SVD14" s="27"/>
      <c r="SVJ14" s="27"/>
      <c r="SVK14" s="27"/>
      <c r="SVL14" s="27"/>
      <c r="SVR14" s="27"/>
      <c r="SVS14" s="27"/>
      <c r="SVT14" s="27"/>
      <c r="SVZ14" s="27"/>
      <c r="SWA14" s="27"/>
      <c r="SWB14" s="27"/>
      <c r="SWH14" s="27"/>
      <c r="SWI14" s="27"/>
      <c r="SWJ14" s="27"/>
      <c r="SWP14" s="27"/>
      <c r="SWQ14" s="27"/>
      <c r="SWR14" s="27"/>
      <c r="SWX14" s="27"/>
      <c r="SWY14" s="27"/>
      <c r="SWZ14" s="27"/>
      <c r="SXF14" s="27"/>
      <c r="SXG14" s="27"/>
      <c r="SXH14" s="27"/>
      <c r="SXN14" s="27"/>
      <c r="SXO14" s="27"/>
      <c r="SXP14" s="27"/>
      <c r="SXV14" s="27"/>
      <c r="SXW14" s="27"/>
      <c r="SXX14" s="27"/>
      <c r="SYD14" s="27"/>
      <c r="SYE14" s="27"/>
      <c r="SYF14" s="27"/>
      <c r="SYL14" s="27"/>
      <c r="SYM14" s="27"/>
      <c r="SYN14" s="27"/>
      <c r="SYT14" s="27"/>
      <c r="SYU14" s="27"/>
      <c r="SYV14" s="27"/>
      <c r="SZB14" s="27"/>
      <c r="SZC14" s="27"/>
      <c r="SZD14" s="27"/>
      <c r="SZJ14" s="27"/>
      <c r="SZK14" s="27"/>
      <c r="SZL14" s="27"/>
      <c r="SZR14" s="27"/>
      <c r="SZS14" s="27"/>
      <c r="SZT14" s="27"/>
      <c r="SZZ14" s="27"/>
      <c r="TAA14" s="27"/>
      <c r="TAB14" s="27"/>
      <c r="TAH14" s="27"/>
      <c r="TAI14" s="27"/>
      <c r="TAJ14" s="27"/>
      <c r="TAP14" s="27"/>
      <c r="TAQ14" s="27"/>
      <c r="TAR14" s="27"/>
      <c r="TAX14" s="27"/>
      <c r="TAY14" s="27"/>
      <c r="TAZ14" s="27"/>
      <c r="TBF14" s="27"/>
      <c r="TBG14" s="27"/>
      <c r="TBH14" s="27"/>
      <c r="TBN14" s="27"/>
      <c r="TBO14" s="27"/>
      <c r="TBP14" s="27"/>
      <c r="TBV14" s="27"/>
      <c r="TBW14" s="27"/>
      <c r="TBX14" s="27"/>
      <c r="TCD14" s="27"/>
      <c r="TCE14" s="27"/>
      <c r="TCF14" s="27"/>
      <c r="TCL14" s="27"/>
      <c r="TCM14" s="27"/>
      <c r="TCN14" s="27"/>
      <c r="TCT14" s="27"/>
      <c r="TCU14" s="27"/>
      <c r="TCV14" s="27"/>
      <c r="TDB14" s="27"/>
      <c r="TDC14" s="27"/>
      <c r="TDD14" s="27"/>
      <c r="TDJ14" s="27"/>
      <c r="TDK14" s="27"/>
      <c r="TDL14" s="27"/>
      <c r="TDR14" s="27"/>
      <c r="TDS14" s="27"/>
      <c r="TDT14" s="27"/>
      <c r="TDZ14" s="27"/>
      <c r="TEA14" s="27"/>
      <c r="TEB14" s="27"/>
      <c r="TEH14" s="27"/>
      <c r="TEI14" s="27"/>
      <c r="TEJ14" s="27"/>
      <c r="TEP14" s="27"/>
      <c r="TEQ14" s="27"/>
      <c r="TER14" s="27"/>
      <c r="TEX14" s="27"/>
      <c r="TEY14" s="27"/>
      <c r="TEZ14" s="27"/>
      <c r="TFF14" s="27"/>
      <c r="TFG14" s="27"/>
      <c r="TFH14" s="27"/>
      <c r="TFN14" s="27"/>
      <c r="TFO14" s="27"/>
      <c r="TFP14" s="27"/>
      <c r="TFV14" s="27"/>
      <c r="TFW14" s="27"/>
      <c r="TFX14" s="27"/>
      <c r="TGD14" s="27"/>
      <c r="TGE14" s="27"/>
      <c r="TGF14" s="27"/>
      <c r="TGL14" s="27"/>
      <c r="TGM14" s="27"/>
      <c r="TGN14" s="27"/>
      <c r="TGT14" s="27"/>
      <c r="TGU14" s="27"/>
      <c r="TGV14" s="27"/>
      <c r="THB14" s="27"/>
      <c r="THC14" s="27"/>
      <c r="THD14" s="27"/>
      <c r="THJ14" s="27"/>
      <c r="THK14" s="27"/>
      <c r="THL14" s="27"/>
      <c r="THR14" s="27"/>
      <c r="THS14" s="27"/>
      <c r="THT14" s="27"/>
      <c r="THZ14" s="27"/>
      <c r="TIA14" s="27"/>
      <c r="TIB14" s="27"/>
      <c r="TIH14" s="27"/>
      <c r="TII14" s="27"/>
      <c r="TIJ14" s="27"/>
      <c r="TIP14" s="27"/>
      <c r="TIQ14" s="27"/>
      <c r="TIR14" s="27"/>
      <c r="TIX14" s="27"/>
      <c r="TIY14" s="27"/>
      <c r="TIZ14" s="27"/>
      <c r="TJF14" s="27"/>
      <c r="TJG14" s="27"/>
      <c r="TJH14" s="27"/>
      <c r="TJN14" s="27"/>
      <c r="TJO14" s="27"/>
      <c r="TJP14" s="27"/>
      <c r="TJV14" s="27"/>
      <c r="TJW14" s="27"/>
      <c r="TJX14" s="27"/>
      <c r="TKD14" s="27"/>
      <c r="TKE14" s="27"/>
      <c r="TKF14" s="27"/>
      <c r="TKL14" s="27"/>
      <c r="TKM14" s="27"/>
      <c r="TKN14" s="27"/>
      <c r="TKT14" s="27"/>
      <c r="TKU14" s="27"/>
      <c r="TKV14" s="27"/>
      <c r="TLB14" s="27"/>
      <c r="TLC14" s="27"/>
      <c r="TLD14" s="27"/>
      <c r="TLJ14" s="27"/>
      <c r="TLK14" s="27"/>
      <c r="TLL14" s="27"/>
      <c r="TLR14" s="27"/>
      <c r="TLS14" s="27"/>
      <c r="TLT14" s="27"/>
      <c r="TLZ14" s="27"/>
      <c r="TMA14" s="27"/>
      <c r="TMB14" s="27"/>
      <c r="TMH14" s="27"/>
      <c r="TMI14" s="27"/>
      <c r="TMJ14" s="27"/>
      <c r="TMP14" s="27"/>
      <c r="TMQ14" s="27"/>
      <c r="TMR14" s="27"/>
      <c r="TMX14" s="27"/>
      <c r="TMY14" s="27"/>
      <c r="TMZ14" s="27"/>
      <c r="TNF14" s="27"/>
      <c r="TNG14" s="27"/>
      <c r="TNH14" s="27"/>
      <c r="TNN14" s="27"/>
      <c r="TNO14" s="27"/>
      <c r="TNP14" s="27"/>
      <c r="TNV14" s="27"/>
      <c r="TNW14" s="27"/>
      <c r="TNX14" s="27"/>
      <c r="TOD14" s="27"/>
      <c r="TOE14" s="27"/>
      <c r="TOF14" s="27"/>
      <c r="TOL14" s="27"/>
      <c r="TOM14" s="27"/>
      <c r="TON14" s="27"/>
      <c r="TOT14" s="27"/>
      <c r="TOU14" s="27"/>
      <c r="TOV14" s="27"/>
      <c r="TPB14" s="27"/>
      <c r="TPC14" s="27"/>
      <c r="TPD14" s="27"/>
      <c r="TPJ14" s="27"/>
      <c r="TPK14" s="27"/>
      <c r="TPL14" s="27"/>
      <c r="TPR14" s="27"/>
      <c r="TPS14" s="27"/>
      <c r="TPT14" s="27"/>
      <c r="TPZ14" s="27"/>
      <c r="TQA14" s="27"/>
      <c r="TQB14" s="27"/>
      <c r="TQH14" s="27"/>
      <c r="TQI14" s="27"/>
      <c r="TQJ14" s="27"/>
      <c r="TQP14" s="27"/>
      <c r="TQQ14" s="27"/>
      <c r="TQR14" s="27"/>
      <c r="TQX14" s="27"/>
      <c r="TQY14" s="27"/>
      <c r="TQZ14" s="27"/>
      <c r="TRF14" s="27"/>
      <c r="TRG14" s="27"/>
      <c r="TRH14" s="27"/>
      <c r="TRN14" s="27"/>
      <c r="TRO14" s="27"/>
      <c r="TRP14" s="27"/>
      <c r="TRV14" s="27"/>
      <c r="TRW14" s="27"/>
      <c r="TRX14" s="27"/>
      <c r="TSD14" s="27"/>
      <c r="TSE14" s="27"/>
      <c r="TSF14" s="27"/>
      <c r="TSL14" s="27"/>
      <c r="TSM14" s="27"/>
      <c r="TSN14" s="27"/>
      <c r="TST14" s="27"/>
      <c r="TSU14" s="27"/>
      <c r="TSV14" s="27"/>
      <c r="TTB14" s="27"/>
      <c r="TTC14" s="27"/>
      <c r="TTD14" s="27"/>
      <c r="TTJ14" s="27"/>
      <c r="TTK14" s="27"/>
      <c r="TTL14" s="27"/>
      <c r="TTR14" s="27"/>
      <c r="TTS14" s="27"/>
      <c r="TTT14" s="27"/>
      <c r="TTZ14" s="27"/>
      <c r="TUA14" s="27"/>
      <c r="TUB14" s="27"/>
      <c r="TUH14" s="27"/>
      <c r="TUI14" s="27"/>
      <c r="TUJ14" s="27"/>
      <c r="TUP14" s="27"/>
      <c r="TUQ14" s="27"/>
      <c r="TUR14" s="27"/>
      <c r="TUX14" s="27"/>
      <c r="TUY14" s="27"/>
      <c r="TUZ14" s="27"/>
      <c r="TVF14" s="27"/>
      <c r="TVG14" s="27"/>
      <c r="TVH14" s="27"/>
      <c r="TVN14" s="27"/>
      <c r="TVO14" s="27"/>
      <c r="TVP14" s="27"/>
      <c r="TVV14" s="27"/>
      <c r="TVW14" s="27"/>
      <c r="TVX14" s="27"/>
      <c r="TWD14" s="27"/>
      <c r="TWE14" s="27"/>
      <c r="TWF14" s="27"/>
      <c r="TWL14" s="27"/>
      <c r="TWM14" s="27"/>
      <c r="TWN14" s="27"/>
      <c r="TWT14" s="27"/>
      <c r="TWU14" s="27"/>
      <c r="TWV14" s="27"/>
      <c r="TXB14" s="27"/>
      <c r="TXC14" s="27"/>
      <c r="TXD14" s="27"/>
      <c r="TXJ14" s="27"/>
      <c r="TXK14" s="27"/>
      <c r="TXL14" s="27"/>
      <c r="TXR14" s="27"/>
      <c r="TXS14" s="27"/>
      <c r="TXT14" s="27"/>
      <c r="TXZ14" s="27"/>
      <c r="TYA14" s="27"/>
      <c r="TYB14" s="27"/>
      <c r="TYH14" s="27"/>
      <c r="TYI14" s="27"/>
      <c r="TYJ14" s="27"/>
      <c r="TYP14" s="27"/>
      <c r="TYQ14" s="27"/>
      <c r="TYR14" s="27"/>
      <c r="TYX14" s="27"/>
      <c r="TYY14" s="27"/>
      <c r="TYZ14" s="27"/>
      <c r="TZF14" s="27"/>
      <c r="TZG14" s="27"/>
      <c r="TZH14" s="27"/>
      <c r="TZN14" s="27"/>
      <c r="TZO14" s="27"/>
      <c r="TZP14" s="27"/>
      <c r="TZV14" s="27"/>
      <c r="TZW14" s="27"/>
      <c r="TZX14" s="27"/>
      <c r="UAD14" s="27"/>
      <c r="UAE14" s="27"/>
      <c r="UAF14" s="27"/>
      <c r="UAL14" s="27"/>
      <c r="UAM14" s="27"/>
      <c r="UAN14" s="27"/>
      <c r="UAT14" s="27"/>
      <c r="UAU14" s="27"/>
      <c r="UAV14" s="27"/>
      <c r="UBB14" s="27"/>
      <c r="UBC14" s="27"/>
      <c r="UBD14" s="27"/>
      <c r="UBJ14" s="27"/>
      <c r="UBK14" s="27"/>
      <c r="UBL14" s="27"/>
      <c r="UBR14" s="27"/>
      <c r="UBS14" s="27"/>
      <c r="UBT14" s="27"/>
      <c r="UBZ14" s="27"/>
      <c r="UCA14" s="27"/>
      <c r="UCB14" s="27"/>
      <c r="UCH14" s="27"/>
      <c r="UCI14" s="27"/>
      <c r="UCJ14" s="27"/>
      <c r="UCP14" s="27"/>
      <c r="UCQ14" s="27"/>
      <c r="UCR14" s="27"/>
      <c r="UCX14" s="27"/>
      <c r="UCY14" s="27"/>
      <c r="UCZ14" s="27"/>
      <c r="UDF14" s="27"/>
      <c r="UDG14" s="27"/>
      <c r="UDH14" s="27"/>
      <c r="UDN14" s="27"/>
      <c r="UDO14" s="27"/>
      <c r="UDP14" s="27"/>
      <c r="UDV14" s="27"/>
      <c r="UDW14" s="27"/>
      <c r="UDX14" s="27"/>
      <c r="UED14" s="27"/>
      <c r="UEE14" s="27"/>
      <c r="UEF14" s="27"/>
      <c r="UEL14" s="27"/>
      <c r="UEM14" s="27"/>
      <c r="UEN14" s="27"/>
      <c r="UET14" s="27"/>
      <c r="UEU14" s="27"/>
      <c r="UEV14" s="27"/>
      <c r="UFB14" s="27"/>
      <c r="UFC14" s="27"/>
      <c r="UFD14" s="27"/>
      <c r="UFJ14" s="27"/>
      <c r="UFK14" s="27"/>
      <c r="UFL14" s="27"/>
      <c r="UFR14" s="27"/>
      <c r="UFS14" s="27"/>
      <c r="UFT14" s="27"/>
      <c r="UFZ14" s="27"/>
      <c r="UGA14" s="27"/>
      <c r="UGB14" s="27"/>
      <c r="UGH14" s="27"/>
      <c r="UGI14" s="27"/>
      <c r="UGJ14" s="27"/>
      <c r="UGP14" s="27"/>
      <c r="UGQ14" s="27"/>
      <c r="UGR14" s="27"/>
      <c r="UGX14" s="27"/>
      <c r="UGY14" s="27"/>
      <c r="UGZ14" s="27"/>
      <c r="UHF14" s="27"/>
      <c r="UHG14" s="27"/>
      <c r="UHH14" s="27"/>
      <c r="UHN14" s="27"/>
      <c r="UHO14" s="27"/>
      <c r="UHP14" s="27"/>
      <c r="UHV14" s="27"/>
      <c r="UHW14" s="27"/>
      <c r="UHX14" s="27"/>
      <c r="UID14" s="27"/>
      <c r="UIE14" s="27"/>
      <c r="UIF14" s="27"/>
      <c r="UIL14" s="27"/>
      <c r="UIM14" s="27"/>
      <c r="UIN14" s="27"/>
      <c r="UIT14" s="27"/>
      <c r="UIU14" s="27"/>
      <c r="UIV14" s="27"/>
      <c r="UJB14" s="27"/>
      <c r="UJC14" s="27"/>
      <c r="UJD14" s="27"/>
      <c r="UJJ14" s="27"/>
      <c r="UJK14" s="27"/>
      <c r="UJL14" s="27"/>
      <c r="UJR14" s="27"/>
      <c r="UJS14" s="27"/>
      <c r="UJT14" s="27"/>
      <c r="UJZ14" s="27"/>
      <c r="UKA14" s="27"/>
      <c r="UKB14" s="27"/>
      <c r="UKH14" s="27"/>
      <c r="UKI14" s="27"/>
      <c r="UKJ14" s="27"/>
      <c r="UKP14" s="27"/>
      <c r="UKQ14" s="27"/>
      <c r="UKR14" s="27"/>
      <c r="UKX14" s="27"/>
      <c r="UKY14" s="27"/>
      <c r="UKZ14" s="27"/>
      <c r="ULF14" s="27"/>
      <c r="ULG14" s="27"/>
      <c r="ULH14" s="27"/>
      <c r="ULN14" s="27"/>
      <c r="ULO14" s="27"/>
      <c r="ULP14" s="27"/>
      <c r="ULV14" s="27"/>
      <c r="ULW14" s="27"/>
      <c r="ULX14" s="27"/>
      <c r="UMD14" s="27"/>
      <c r="UME14" s="27"/>
      <c r="UMF14" s="27"/>
      <c r="UML14" s="27"/>
      <c r="UMM14" s="27"/>
      <c r="UMN14" s="27"/>
      <c r="UMT14" s="27"/>
      <c r="UMU14" s="27"/>
      <c r="UMV14" s="27"/>
      <c r="UNB14" s="27"/>
      <c r="UNC14" s="27"/>
      <c r="UND14" s="27"/>
      <c r="UNJ14" s="27"/>
      <c r="UNK14" s="27"/>
      <c r="UNL14" s="27"/>
      <c r="UNR14" s="27"/>
      <c r="UNS14" s="27"/>
      <c r="UNT14" s="27"/>
      <c r="UNZ14" s="27"/>
      <c r="UOA14" s="27"/>
      <c r="UOB14" s="27"/>
      <c r="UOH14" s="27"/>
      <c r="UOI14" s="27"/>
      <c r="UOJ14" s="27"/>
      <c r="UOP14" s="27"/>
      <c r="UOQ14" s="27"/>
      <c r="UOR14" s="27"/>
      <c r="UOX14" s="27"/>
      <c r="UOY14" s="27"/>
      <c r="UOZ14" s="27"/>
      <c r="UPF14" s="27"/>
      <c r="UPG14" s="27"/>
      <c r="UPH14" s="27"/>
      <c r="UPN14" s="27"/>
      <c r="UPO14" s="27"/>
      <c r="UPP14" s="27"/>
      <c r="UPV14" s="27"/>
      <c r="UPW14" s="27"/>
      <c r="UPX14" s="27"/>
      <c r="UQD14" s="27"/>
      <c r="UQE14" s="27"/>
      <c r="UQF14" s="27"/>
      <c r="UQL14" s="27"/>
      <c r="UQM14" s="27"/>
      <c r="UQN14" s="27"/>
      <c r="UQT14" s="27"/>
      <c r="UQU14" s="27"/>
      <c r="UQV14" s="27"/>
      <c r="URB14" s="27"/>
      <c r="URC14" s="27"/>
      <c r="URD14" s="27"/>
      <c r="URJ14" s="27"/>
      <c r="URK14" s="27"/>
      <c r="URL14" s="27"/>
      <c r="URR14" s="27"/>
      <c r="URS14" s="27"/>
      <c r="URT14" s="27"/>
      <c r="URZ14" s="27"/>
      <c r="USA14" s="27"/>
      <c r="USB14" s="27"/>
      <c r="USH14" s="27"/>
      <c r="USI14" s="27"/>
      <c r="USJ14" s="27"/>
      <c r="USP14" s="27"/>
      <c r="USQ14" s="27"/>
      <c r="USR14" s="27"/>
      <c r="USX14" s="27"/>
      <c r="USY14" s="27"/>
      <c r="USZ14" s="27"/>
      <c r="UTF14" s="27"/>
      <c r="UTG14" s="27"/>
      <c r="UTH14" s="27"/>
      <c r="UTN14" s="27"/>
      <c r="UTO14" s="27"/>
      <c r="UTP14" s="27"/>
      <c r="UTV14" s="27"/>
      <c r="UTW14" s="27"/>
      <c r="UTX14" s="27"/>
      <c r="UUD14" s="27"/>
      <c r="UUE14" s="27"/>
      <c r="UUF14" s="27"/>
      <c r="UUL14" s="27"/>
      <c r="UUM14" s="27"/>
      <c r="UUN14" s="27"/>
      <c r="UUT14" s="27"/>
      <c r="UUU14" s="27"/>
      <c r="UUV14" s="27"/>
      <c r="UVB14" s="27"/>
      <c r="UVC14" s="27"/>
      <c r="UVD14" s="27"/>
      <c r="UVJ14" s="27"/>
      <c r="UVK14" s="27"/>
      <c r="UVL14" s="27"/>
      <c r="UVR14" s="27"/>
      <c r="UVS14" s="27"/>
      <c r="UVT14" s="27"/>
      <c r="UVZ14" s="27"/>
      <c r="UWA14" s="27"/>
      <c r="UWB14" s="27"/>
      <c r="UWH14" s="27"/>
      <c r="UWI14" s="27"/>
      <c r="UWJ14" s="27"/>
      <c r="UWP14" s="27"/>
      <c r="UWQ14" s="27"/>
      <c r="UWR14" s="27"/>
      <c r="UWX14" s="27"/>
      <c r="UWY14" s="27"/>
      <c r="UWZ14" s="27"/>
      <c r="UXF14" s="27"/>
      <c r="UXG14" s="27"/>
      <c r="UXH14" s="27"/>
      <c r="UXN14" s="27"/>
      <c r="UXO14" s="27"/>
      <c r="UXP14" s="27"/>
      <c r="UXV14" s="27"/>
      <c r="UXW14" s="27"/>
      <c r="UXX14" s="27"/>
      <c r="UYD14" s="27"/>
      <c r="UYE14" s="27"/>
      <c r="UYF14" s="27"/>
      <c r="UYL14" s="27"/>
      <c r="UYM14" s="27"/>
      <c r="UYN14" s="27"/>
      <c r="UYT14" s="27"/>
      <c r="UYU14" s="27"/>
      <c r="UYV14" s="27"/>
      <c r="UZB14" s="27"/>
      <c r="UZC14" s="27"/>
      <c r="UZD14" s="27"/>
      <c r="UZJ14" s="27"/>
      <c r="UZK14" s="27"/>
      <c r="UZL14" s="27"/>
      <c r="UZR14" s="27"/>
      <c r="UZS14" s="27"/>
      <c r="UZT14" s="27"/>
      <c r="UZZ14" s="27"/>
      <c r="VAA14" s="27"/>
      <c r="VAB14" s="27"/>
      <c r="VAH14" s="27"/>
      <c r="VAI14" s="27"/>
      <c r="VAJ14" s="27"/>
      <c r="VAP14" s="27"/>
      <c r="VAQ14" s="27"/>
      <c r="VAR14" s="27"/>
      <c r="VAX14" s="27"/>
      <c r="VAY14" s="27"/>
      <c r="VAZ14" s="27"/>
      <c r="VBF14" s="27"/>
      <c r="VBG14" s="27"/>
      <c r="VBH14" s="27"/>
      <c r="VBN14" s="27"/>
      <c r="VBO14" s="27"/>
      <c r="VBP14" s="27"/>
      <c r="VBV14" s="27"/>
      <c r="VBW14" s="27"/>
      <c r="VBX14" s="27"/>
      <c r="VCD14" s="27"/>
      <c r="VCE14" s="27"/>
      <c r="VCF14" s="27"/>
      <c r="VCL14" s="27"/>
      <c r="VCM14" s="27"/>
      <c r="VCN14" s="27"/>
      <c r="VCT14" s="27"/>
      <c r="VCU14" s="27"/>
      <c r="VCV14" s="27"/>
      <c r="VDB14" s="27"/>
      <c r="VDC14" s="27"/>
      <c r="VDD14" s="27"/>
      <c r="VDJ14" s="27"/>
      <c r="VDK14" s="27"/>
      <c r="VDL14" s="27"/>
      <c r="VDR14" s="27"/>
      <c r="VDS14" s="27"/>
      <c r="VDT14" s="27"/>
      <c r="VDZ14" s="27"/>
      <c r="VEA14" s="27"/>
      <c r="VEB14" s="27"/>
      <c r="VEH14" s="27"/>
      <c r="VEI14" s="27"/>
      <c r="VEJ14" s="27"/>
      <c r="VEP14" s="27"/>
      <c r="VEQ14" s="27"/>
      <c r="VER14" s="27"/>
      <c r="VEX14" s="27"/>
      <c r="VEY14" s="27"/>
      <c r="VEZ14" s="27"/>
      <c r="VFF14" s="27"/>
      <c r="VFG14" s="27"/>
      <c r="VFH14" s="27"/>
      <c r="VFN14" s="27"/>
      <c r="VFO14" s="27"/>
      <c r="VFP14" s="27"/>
      <c r="VFV14" s="27"/>
      <c r="VFW14" s="27"/>
      <c r="VFX14" s="27"/>
      <c r="VGD14" s="27"/>
      <c r="VGE14" s="27"/>
      <c r="VGF14" s="27"/>
      <c r="VGL14" s="27"/>
      <c r="VGM14" s="27"/>
      <c r="VGN14" s="27"/>
      <c r="VGT14" s="27"/>
      <c r="VGU14" s="27"/>
      <c r="VGV14" s="27"/>
      <c r="VHB14" s="27"/>
      <c r="VHC14" s="27"/>
      <c r="VHD14" s="27"/>
      <c r="VHJ14" s="27"/>
      <c r="VHK14" s="27"/>
      <c r="VHL14" s="27"/>
      <c r="VHR14" s="27"/>
      <c r="VHS14" s="27"/>
      <c r="VHT14" s="27"/>
      <c r="VHZ14" s="27"/>
      <c r="VIA14" s="27"/>
      <c r="VIB14" s="27"/>
      <c r="VIH14" s="27"/>
      <c r="VII14" s="27"/>
      <c r="VIJ14" s="27"/>
      <c r="VIP14" s="27"/>
      <c r="VIQ14" s="27"/>
      <c r="VIR14" s="27"/>
      <c r="VIX14" s="27"/>
      <c r="VIY14" s="27"/>
      <c r="VIZ14" s="27"/>
      <c r="VJF14" s="27"/>
      <c r="VJG14" s="27"/>
      <c r="VJH14" s="27"/>
      <c r="VJN14" s="27"/>
      <c r="VJO14" s="27"/>
      <c r="VJP14" s="27"/>
      <c r="VJV14" s="27"/>
      <c r="VJW14" s="27"/>
      <c r="VJX14" s="27"/>
      <c r="VKD14" s="27"/>
      <c r="VKE14" s="27"/>
      <c r="VKF14" s="27"/>
      <c r="VKL14" s="27"/>
      <c r="VKM14" s="27"/>
      <c r="VKN14" s="27"/>
      <c r="VKT14" s="27"/>
      <c r="VKU14" s="27"/>
      <c r="VKV14" s="27"/>
      <c r="VLB14" s="27"/>
      <c r="VLC14" s="27"/>
      <c r="VLD14" s="27"/>
      <c r="VLJ14" s="27"/>
      <c r="VLK14" s="27"/>
      <c r="VLL14" s="27"/>
      <c r="VLR14" s="27"/>
      <c r="VLS14" s="27"/>
      <c r="VLT14" s="27"/>
      <c r="VLZ14" s="27"/>
      <c r="VMA14" s="27"/>
      <c r="VMB14" s="27"/>
      <c r="VMH14" s="27"/>
      <c r="VMI14" s="27"/>
      <c r="VMJ14" s="27"/>
      <c r="VMP14" s="27"/>
      <c r="VMQ14" s="27"/>
      <c r="VMR14" s="27"/>
      <c r="VMX14" s="27"/>
      <c r="VMY14" s="27"/>
      <c r="VMZ14" s="27"/>
      <c r="VNF14" s="27"/>
      <c r="VNG14" s="27"/>
      <c r="VNH14" s="27"/>
      <c r="VNN14" s="27"/>
      <c r="VNO14" s="27"/>
      <c r="VNP14" s="27"/>
      <c r="VNV14" s="27"/>
      <c r="VNW14" s="27"/>
      <c r="VNX14" s="27"/>
      <c r="VOD14" s="27"/>
      <c r="VOE14" s="27"/>
      <c r="VOF14" s="27"/>
      <c r="VOL14" s="27"/>
      <c r="VOM14" s="27"/>
      <c r="VON14" s="27"/>
      <c r="VOT14" s="27"/>
      <c r="VOU14" s="27"/>
      <c r="VOV14" s="27"/>
      <c r="VPB14" s="27"/>
      <c r="VPC14" s="27"/>
      <c r="VPD14" s="27"/>
      <c r="VPJ14" s="27"/>
      <c r="VPK14" s="27"/>
      <c r="VPL14" s="27"/>
      <c r="VPR14" s="27"/>
      <c r="VPS14" s="27"/>
      <c r="VPT14" s="27"/>
      <c r="VPZ14" s="27"/>
      <c r="VQA14" s="27"/>
      <c r="VQB14" s="27"/>
      <c r="VQH14" s="27"/>
      <c r="VQI14" s="27"/>
      <c r="VQJ14" s="27"/>
      <c r="VQP14" s="27"/>
      <c r="VQQ14" s="27"/>
      <c r="VQR14" s="27"/>
      <c r="VQX14" s="27"/>
      <c r="VQY14" s="27"/>
      <c r="VQZ14" s="27"/>
      <c r="VRF14" s="27"/>
      <c r="VRG14" s="27"/>
      <c r="VRH14" s="27"/>
      <c r="VRN14" s="27"/>
      <c r="VRO14" s="27"/>
      <c r="VRP14" s="27"/>
      <c r="VRV14" s="27"/>
      <c r="VRW14" s="27"/>
      <c r="VRX14" s="27"/>
      <c r="VSD14" s="27"/>
      <c r="VSE14" s="27"/>
      <c r="VSF14" s="27"/>
      <c r="VSL14" s="27"/>
      <c r="VSM14" s="27"/>
      <c r="VSN14" s="27"/>
      <c r="VST14" s="27"/>
      <c r="VSU14" s="27"/>
      <c r="VSV14" s="27"/>
      <c r="VTB14" s="27"/>
      <c r="VTC14" s="27"/>
      <c r="VTD14" s="27"/>
      <c r="VTJ14" s="27"/>
      <c r="VTK14" s="27"/>
      <c r="VTL14" s="27"/>
      <c r="VTR14" s="27"/>
      <c r="VTS14" s="27"/>
      <c r="VTT14" s="27"/>
      <c r="VTZ14" s="27"/>
      <c r="VUA14" s="27"/>
      <c r="VUB14" s="27"/>
      <c r="VUH14" s="27"/>
      <c r="VUI14" s="27"/>
      <c r="VUJ14" s="27"/>
      <c r="VUP14" s="27"/>
      <c r="VUQ14" s="27"/>
      <c r="VUR14" s="27"/>
      <c r="VUX14" s="27"/>
      <c r="VUY14" s="27"/>
      <c r="VUZ14" s="27"/>
      <c r="VVF14" s="27"/>
      <c r="VVG14" s="27"/>
      <c r="VVH14" s="27"/>
      <c r="VVN14" s="27"/>
      <c r="VVO14" s="27"/>
      <c r="VVP14" s="27"/>
      <c r="VVV14" s="27"/>
      <c r="VVW14" s="27"/>
      <c r="VVX14" s="27"/>
      <c r="VWD14" s="27"/>
      <c r="VWE14" s="27"/>
      <c r="VWF14" s="27"/>
      <c r="VWL14" s="27"/>
      <c r="VWM14" s="27"/>
      <c r="VWN14" s="27"/>
      <c r="VWT14" s="27"/>
      <c r="VWU14" s="27"/>
      <c r="VWV14" s="27"/>
      <c r="VXB14" s="27"/>
      <c r="VXC14" s="27"/>
      <c r="VXD14" s="27"/>
      <c r="VXJ14" s="27"/>
      <c r="VXK14" s="27"/>
      <c r="VXL14" s="27"/>
      <c r="VXR14" s="27"/>
      <c r="VXS14" s="27"/>
      <c r="VXT14" s="27"/>
      <c r="VXZ14" s="27"/>
      <c r="VYA14" s="27"/>
      <c r="VYB14" s="27"/>
      <c r="VYH14" s="27"/>
      <c r="VYI14" s="27"/>
      <c r="VYJ14" s="27"/>
      <c r="VYP14" s="27"/>
      <c r="VYQ14" s="27"/>
      <c r="VYR14" s="27"/>
      <c r="VYX14" s="27"/>
      <c r="VYY14" s="27"/>
      <c r="VYZ14" s="27"/>
      <c r="VZF14" s="27"/>
      <c r="VZG14" s="27"/>
      <c r="VZH14" s="27"/>
      <c r="VZN14" s="27"/>
      <c r="VZO14" s="27"/>
      <c r="VZP14" s="27"/>
      <c r="VZV14" s="27"/>
      <c r="VZW14" s="27"/>
      <c r="VZX14" s="27"/>
      <c r="WAD14" s="27"/>
      <c r="WAE14" s="27"/>
      <c r="WAF14" s="27"/>
      <c r="WAL14" s="27"/>
      <c r="WAM14" s="27"/>
      <c r="WAN14" s="27"/>
      <c r="WAT14" s="27"/>
      <c r="WAU14" s="27"/>
      <c r="WAV14" s="27"/>
      <c r="WBB14" s="27"/>
      <c r="WBC14" s="27"/>
      <c r="WBD14" s="27"/>
      <c r="WBJ14" s="27"/>
      <c r="WBK14" s="27"/>
      <c r="WBL14" s="27"/>
      <c r="WBR14" s="27"/>
      <c r="WBS14" s="27"/>
      <c r="WBT14" s="27"/>
      <c r="WBZ14" s="27"/>
      <c r="WCA14" s="27"/>
      <c r="WCB14" s="27"/>
      <c r="WCH14" s="27"/>
      <c r="WCI14" s="27"/>
      <c r="WCJ14" s="27"/>
      <c r="WCP14" s="27"/>
      <c r="WCQ14" s="27"/>
      <c r="WCR14" s="27"/>
      <c r="WCX14" s="27"/>
      <c r="WCY14" s="27"/>
      <c r="WCZ14" s="27"/>
      <c r="WDF14" s="27"/>
      <c r="WDG14" s="27"/>
      <c r="WDH14" s="27"/>
      <c r="WDN14" s="27"/>
      <c r="WDO14" s="27"/>
      <c r="WDP14" s="27"/>
      <c r="WDV14" s="27"/>
      <c r="WDW14" s="27"/>
      <c r="WDX14" s="27"/>
      <c r="WED14" s="27"/>
      <c r="WEE14" s="27"/>
      <c r="WEF14" s="27"/>
      <c r="WEL14" s="27"/>
      <c r="WEM14" s="27"/>
      <c r="WEN14" s="27"/>
      <c r="WET14" s="27"/>
      <c r="WEU14" s="27"/>
      <c r="WEV14" s="27"/>
      <c r="WFB14" s="27"/>
      <c r="WFC14" s="27"/>
      <c r="WFD14" s="27"/>
      <c r="WFJ14" s="27"/>
      <c r="WFK14" s="27"/>
      <c r="WFL14" s="27"/>
      <c r="WFR14" s="27"/>
      <c r="WFS14" s="27"/>
      <c r="WFT14" s="27"/>
      <c r="WFZ14" s="27"/>
      <c r="WGA14" s="27"/>
      <c r="WGB14" s="27"/>
      <c r="WGH14" s="27"/>
      <c r="WGI14" s="27"/>
      <c r="WGJ14" s="27"/>
      <c r="WGP14" s="27"/>
      <c r="WGQ14" s="27"/>
      <c r="WGR14" s="27"/>
      <c r="WGX14" s="27"/>
      <c r="WGY14" s="27"/>
      <c r="WGZ14" s="27"/>
      <c r="WHF14" s="27"/>
      <c r="WHG14" s="27"/>
      <c r="WHH14" s="27"/>
      <c r="WHN14" s="27"/>
      <c r="WHO14" s="27"/>
      <c r="WHP14" s="27"/>
      <c r="WHV14" s="27"/>
      <c r="WHW14" s="27"/>
      <c r="WHX14" s="27"/>
      <c r="WID14" s="27"/>
      <c r="WIE14" s="27"/>
      <c r="WIF14" s="27"/>
      <c r="WIL14" s="27"/>
      <c r="WIM14" s="27"/>
      <c r="WIN14" s="27"/>
      <c r="WIT14" s="27"/>
      <c r="WIU14" s="27"/>
      <c r="WIV14" s="27"/>
      <c r="WJB14" s="27"/>
      <c r="WJC14" s="27"/>
      <c r="WJD14" s="27"/>
      <c r="WJJ14" s="27"/>
      <c r="WJK14" s="27"/>
      <c r="WJL14" s="27"/>
      <c r="WJR14" s="27"/>
      <c r="WJS14" s="27"/>
      <c r="WJT14" s="27"/>
      <c r="WJZ14" s="27"/>
      <c r="WKA14" s="27"/>
      <c r="WKB14" s="27"/>
      <c r="WKH14" s="27"/>
      <c r="WKI14" s="27"/>
      <c r="WKJ14" s="27"/>
      <c r="WKP14" s="27"/>
      <c r="WKQ14" s="27"/>
      <c r="WKR14" s="27"/>
      <c r="WKX14" s="27"/>
      <c r="WKY14" s="27"/>
      <c r="WKZ14" s="27"/>
      <c r="WLF14" s="27"/>
      <c r="WLG14" s="27"/>
      <c r="WLH14" s="27"/>
      <c r="WLN14" s="27"/>
      <c r="WLO14" s="27"/>
      <c r="WLP14" s="27"/>
      <c r="WLV14" s="27"/>
      <c r="WLW14" s="27"/>
      <c r="WLX14" s="27"/>
      <c r="WMD14" s="27"/>
      <c r="WME14" s="27"/>
      <c r="WMF14" s="27"/>
      <c r="WML14" s="27"/>
      <c r="WMM14" s="27"/>
      <c r="WMN14" s="27"/>
      <c r="WMT14" s="27"/>
      <c r="WMU14" s="27"/>
      <c r="WMV14" s="27"/>
      <c r="WNB14" s="27"/>
      <c r="WNC14" s="27"/>
      <c r="WND14" s="27"/>
      <c r="WNJ14" s="27"/>
      <c r="WNK14" s="27"/>
      <c r="WNL14" s="27"/>
      <c r="WNR14" s="27"/>
      <c r="WNS14" s="27"/>
      <c r="WNT14" s="27"/>
      <c r="WNZ14" s="27"/>
      <c r="WOA14" s="27"/>
      <c r="WOB14" s="27"/>
      <c r="WOH14" s="27"/>
      <c r="WOI14" s="27"/>
      <c r="WOJ14" s="27"/>
      <c r="WOP14" s="27"/>
      <c r="WOQ14" s="27"/>
      <c r="WOR14" s="27"/>
      <c r="WOX14" s="27"/>
      <c r="WOY14" s="27"/>
      <c r="WOZ14" s="27"/>
      <c r="WPF14" s="27"/>
      <c r="WPG14" s="27"/>
      <c r="WPH14" s="27"/>
      <c r="WPN14" s="27"/>
      <c r="WPO14" s="27"/>
      <c r="WPP14" s="27"/>
      <c r="WPV14" s="27"/>
      <c r="WPW14" s="27"/>
      <c r="WPX14" s="27"/>
      <c r="WQD14" s="27"/>
      <c r="WQE14" s="27"/>
      <c r="WQF14" s="27"/>
      <c r="WQL14" s="27"/>
      <c r="WQM14" s="27"/>
      <c r="WQN14" s="27"/>
      <c r="WQT14" s="27"/>
      <c r="WQU14" s="27"/>
      <c r="WQV14" s="27"/>
      <c r="WRB14" s="27"/>
      <c r="WRC14" s="27"/>
      <c r="WRD14" s="27"/>
      <c r="WRJ14" s="27"/>
      <c r="WRK14" s="27"/>
      <c r="WRL14" s="27"/>
      <c r="WRR14" s="27"/>
      <c r="WRS14" s="27"/>
      <c r="WRT14" s="27"/>
      <c r="WRZ14" s="27"/>
      <c r="WSA14" s="27"/>
      <c r="WSB14" s="27"/>
      <c r="WSH14" s="27"/>
      <c r="WSI14" s="27"/>
      <c r="WSJ14" s="27"/>
      <c r="WSP14" s="27"/>
      <c r="WSQ14" s="27"/>
      <c r="WSR14" s="27"/>
      <c r="WSX14" s="27"/>
      <c r="WSY14" s="27"/>
      <c r="WSZ14" s="27"/>
      <c r="WTF14" s="27"/>
      <c r="WTG14" s="27"/>
      <c r="WTH14" s="27"/>
      <c r="WTN14" s="27"/>
      <c r="WTO14" s="27"/>
      <c r="WTP14" s="27"/>
      <c r="WTV14" s="27"/>
      <c r="WTW14" s="27"/>
      <c r="WTX14" s="27"/>
      <c r="WUD14" s="27"/>
      <c r="WUE14" s="27"/>
      <c r="WUF14" s="27"/>
      <c r="WUL14" s="27"/>
      <c r="WUM14" s="27"/>
      <c r="WUN14" s="27"/>
      <c r="WUT14" s="27"/>
      <c r="WUU14" s="27"/>
      <c r="WUV14" s="27"/>
      <c r="WVB14" s="27"/>
      <c r="WVC14" s="27"/>
      <c r="WVD14" s="27"/>
      <c r="WVJ14" s="27"/>
      <c r="WVK14" s="27"/>
      <c r="WVL14" s="27"/>
      <c r="WVR14" s="27"/>
      <c r="WVS14" s="27"/>
      <c r="WVT14" s="27"/>
      <c r="WVZ14" s="27"/>
      <c r="WWA14" s="27"/>
      <c r="WWB14" s="27"/>
      <c r="WWH14" s="27"/>
      <c r="WWI14" s="27"/>
      <c r="WWJ14" s="27"/>
      <c r="WWP14" s="27"/>
      <c r="WWQ14" s="27"/>
      <c r="WWR14" s="27"/>
      <c r="WWX14" s="27"/>
      <c r="WWY14" s="27"/>
      <c r="WWZ14" s="27"/>
      <c r="WXF14" s="27"/>
      <c r="WXG14" s="27"/>
      <c r="WXH14" s="27"/>
      <c r="WXN14" s="27"/>
      <c r="WXO14" s="27"/>
      <c r="WXP14" s="27"/>
      <c r="WXV14" s="27"/>
      <c r="WXW14" s="27"/>
      <c r="WXX14" s="27"/>
      <c r="WYD14" s="27"/>
      <c r="WYE14" s="27"/>
      <c r="WYF14" s="27"/>
      <c r="WYL14" s="27"/>
      <c r="WYM14" s="27"/>
      <c r="WYN14" s="27"/>
      <c r="WYT14" s="27"/>
      <c r="WYU14" s="27"/>
      <c r="WYV14" s="27"/>
      <c r="WZB14" s="27"/>
      <c r="WZC14" s="27"/>
      <c r="WZD14" s="27"/>
      <c r="WZJ14" s="27"/>
      <c r="WZK14" s="27"/>
      <c r="WZL14" s="27"/>
      <c r="WZR14" s="27"/>
      <c r="WZS14" s="27"/>
      <c r="WZT14" s="27"/>
      <c r="WZZ14" s="27"/>
      <c r="XAA14" s="27"/>
      <c r="XAB14" s="27"/>
      <c r="XAH14" s="27"/>
      <c r="XAI14" s="27"/>
      <c r="XAJ14" s="27"/>
      <c r="XAP14" s="27"/>
      <c r="XAQ14" s="27"/>
      <c r="XAR14" s="27"/>
      <c r="XAX14" s="27"/>
      <c r="XAY14" s="27"/>
      <c r="XAZ14" s="27"/>
      <c r="XBF14" s="27"/>
      <c r="XBG14" s="27"/>
      <c r="XBH14" s="27"/>
      <c r="XBN14" s="27"/>
      <c r="XBO14" s="27"/>
      <c r="XBP14" s="27"/>
      <c r="XBV14" s="27"/>
      <c r="XBW14" s="27"/>
      <c r="XBX14" s="27"/>
      <c r="XCD14" s="27"/>
      <c r="XCE14" s="27"/>
      <c r="XCF14" s="27"/>
      <c r="XCL14" s="27"/>
      <c r="XCM14" s="27"/>
      <c r="XCN14" s="27"/>
      <c r="XCT14" s="27"/>
      <c r="XCU14" s="27"/>
      <c r="XCV14" s="27"/>
      <c r="XDB14" s="27"/>
      <c r="XDC14" s="27"/>
      <c r="XDD14" s="27"/>
      <c r="XDJ14" s="27"/>
      <c r="XDK14" s="27"/>
      <c r="XDL14" s="27"/>
      <c r="XDR14" s="27"/>
      <c r="XDS14" s="27"/>
      <c r="XDT14" s="27"/>
      <c r="XDZ14" s="27"/>
      <c r="XEA14" s="27"/>
      <c r="XEB14" s="27"/>
      <c r="XEH14" s="27"/>
      <c r="XEI14" s="27"/>
      <c r="XEJ14" s="27"/>
      <c r="XEP14" s="27"/>
      <c r="XEQ14" s="27"/>
      <c r="XER14" s="27"/>
      <c r="XEX14" s="27"/>
      <c r="XEY14" s="27"/>
      <c r="XEZ14" s="27"/>
      <c r="XFA14" s="0"/>
      <c r="XFB14" s="0"/>
      <c r="XFC14" s="0"/>
      <c r="XFD14" s="0"/>
    </row>
    <row r="15" customFormat="false" ht="15" hidden="false" customHeight="false" outlineLevel="0" collapsed="false">
      <c r="A15" s="1" t="n">
        <v>1108</v>
      </c>
      <c r="B15" s="29" t="s">
        <v>36</v>
      </c>
      <c r="C15" s="27" t="s">
        <v>37</v>
      </c>
      <c r="D15" s="27" t="s">
        <v>123</v>
      </c>
      <c r="F15" s="1" t="n">
        <v>71</v>
      </c>
    </row>
    <row r="16" customFormat="false" ht="15" hidden="false" customHeight="false" outlineLevel="0" collapsed="false">
      <c r="A16" s="1" t="n">
        <v>1109</v>
      </c>
      <c r="B16" s="29" t="s">
        <v>124</v>
      </c>
      <c r="C16" s="27" t="s">
        <v>35</v>
      </c>
      <c r="D16" s="27" t="s">
        <v>125</v>
      </c>
      <c r="F16" s="1" t="n">
        <v>70</v>
      </c>
    </row>
    <row r="17" customFormat="false" ht="15" hidden="false" customHeight="false" outlineLevel="0" collapsed="false">
      <c r="A17" s="1" t="n">
        <v>1110</v>
      </c>
      <c r="B17" s="1" t="s">
        <v>126</v>
      </c>
      <c r="C17" s="1" t="s">
        <v>127</v>
      </c>
      <c r="D17" s="1" t="s">
        <v>128</v>
      </c>
      <c r="F17" s="1" t="n">
        <v>5</v>
      </c>
      <c r="G17" s="1" t="n">
        <v>77</v>
      </c>
    </row>
    <row r="18" customFormat="false" ht="15" hidden="false" customHeight="false" outlineLevel="0" collapsed="false">
      <c r="A18" s="1" t="n">
        <v>1111</v>
      </c>
      <c r="B18" s="29" t="s">
        <v>129</v>
      </c>
      <c r="C18" s="27" t="s">
        <v>103</v>
      </c>
      <c r="D18" s="27" t="s">
        <v>130</v>
      </c>
      <c r="F18" s="1" t="n">
        <v>5</v>
      </c>
      <c r="G18" s="1" t="n">
        <v>77</v>
      </c>
    </row>
    <row r="19" customFormat="false" ht="15" hidden="false" customHeight="false" outlineLevel="0" collapsed="false">
      <c r="A19" s="1" t="n">
        <v>1115</v>
      </c>
      <c r="B19" s="29" t="s">
        <v>131</v>
      </c>
      <c r="C19" s="27" t="s">
        <v>132</v>
      </c>
      <c r="D19" s="27" t="s">
        <v>133</v>
      </c>
      <c r="F19" s="1" t="n">
        <v>72</v>
      </c>
    </row>
    <row r="20" customFormat="false" ht="15" hidden="false" customHeight="false" outlineLevel="0" collapsed="false">
      <c r="A20" s="1" t="n">
        <v>1117</v>
      </c>
      <c r="B20" s="27" t="s">
        <v>38</v>
      </c>
      <c r="C20" s="27" t="s">
        <v>31</v>
      </c>
      <c r="D20" s="27" t="s">
        <v>134</v>
      </c>
      <c r="F20" s="1" t="n">
        <v>74</v>
      </c>
    </row>
    <row r="21" customFormat="false" ht="15" hidden="false" customHeight="false" outlineLevel="0" collapsed="false">
      <c r="A21" s="1" t="n">
        <v>1118</v>
      </c>
      <c r="B21" s="27" t="s">
        <v>135</v>
      </c>
      <c r="C21" s="27" t="s">
        <v>136</v>
      </c>
      <c r="D21" s="27" t="s">
        <v>137</v>
      </c>
      <c r="F21" s="1" t="n">
        <v>75</v>
      </c>
    </row>
    <row r="22" customFormat="false" ht="15" hidden="false" customHeight="false" outlineLevel="0" collapsed="false">
      <c r="A22" s="1" t="n">
        <v>1119</v>
      </c>
      <c r="B22" s="27" t="s">
        <v>138</v>
      </c>
      <c r="C22" s="27" t="s">
        <v>139</v>
      </c>
      <c r="D22" s="27" t="s">
        <v>140</v>
      </c>
      <c r="F22" s="1" t="n">
        <v>75</v>
      </c>
    </row>
    <row r="23" customFormat="false" ht="15" hidden="false" customHeight="false" outlineLevel="0" collapsed="false">
      <c r="A23" s="1" t="n">
        <v>1121</v>
      </c>
      <c r="B23" s="27" t="s">
        <v>45</v>
      </c>
      <c r="C23" s="27" t="s">
        <v>141</v>
      </c>
      <c r="D23" s="27" t="s">
        <v>142</v>
      </c>
      <c r="F23" s="1" t="n">
        <v>76</v>
      </c>
    </row>
    <row r="24" customFormat="false" ht="15" hidden="false" customHeight="false" outlineLevel="0" collapsed="false">
      <c r="A24" s="1" t="n">
        <v>1123</v>
      </c>
      <c r="B24" s="27" t="s">
        <v>50</v>
      </c>
      <c r="C24" s="27" t="s">
        <v>51</v>
      </c>
      <c r="D24" s="27" t="s">
        <v>143</v>
      </c>
      <c r="F24" s="1" t="n">
        <v>79</v>
      </c>
    </row>
    <row r="25" customFormat="false" ht="15" hidden="false" customHeight="false" outlineLevel="0" collapsed="false">
      <c r="A25" s="1" t="n">
        <v>1124</v>
      </c>
      <c r="B25" s="27" t="s">
        <v>144</v>
      </c>
      <c r="C25" s="27" t="s">
        <v>145</v>
      </c>
      <c r="D25" s="27" t="s">
        <v>146</v>
      </c>
      <c r="F25" s="1" t="n">
        <v>80</v>
      </c>
    </row>
    <row r="26" customFormat="false" ht="15" hidden="false" customHeight="false" outlineLevel="0" collapsed="false">
      <c r="A26" s="1" t="n">
        <v>1126</v>
      </c>
      <c r="B26" s="27" t="s">
        <v>54</v>
      </c>
      <c r="C26" s="27" t="s">
        <v>147</v>
      </c>
      <c r="D26" s="27" t="s">
        <v>148</v>
      </c>
      <c r="F26" s="1" t="n">
        <v>84</v>
      </c>
      <c r="G26" s="1" t="n">
        <v>81</v>
      </c>
    </row>
    <row r="27" customFormat="false" ht="15" hidden="false" customHeight="false" outlineLevel="0" collapsed="false">
      <c r="A27" s="1" t="n">
        <v>1127</v>
      </c>
      <c r="B27" s="27" t="s">
        <v>62</v>
      </c>
      <c r="C27" s="27" t="s">
        <v>63</v>
      </c>
      <c r="D27" s="27" t="s">
        <v>149</v>
      </c>
      <c r="F27" s="1" t="n">
        <v>85</v>
      </c>
    </row>
    <row r="28" customFormat="false" ht="15" hidden="false" customHeight="false" outlineLevel="0" collapsed="false">
      <c r="A28" s="1" t="n">
        <v>1128</v>
      </c>
      <c r="B28" s="27" t="s">
        <v>150</v>
      </c>
      <c r="C28" s="27" t="s">
        <v>151</v>
      </c>
      <c r="D28" s="27" t="s">
        <v>152</v>
      </c>
      <c r="F28" s="1" t="n">
        <v>86</v>
      </c>
    </row>
    <row r="29" customFormat="false" ht="15" hidden="false" customHeight="false" outlineLevel="0" collapsed="false">
      <c r="A29" s="1" t="n">
        <v>1129</v>
      </c>
      <c r="B29" s="1" t="s">
        <v>64</v>
      </c>
      <c r="C29" s="1" t="s">
        <v>66</v>
      </c>
      <c r="F29" s="1" t="n">
        <v>87</v>
      </c>
      <c r="G29" s="1" t="n">
        <v>88</v>
      </c>
    </row>
    <row r="30" customFormat="false" ht="15" hidden="false" customHeight="false" outlineLevel="0" collapsed="false">
      <c r="A30" s="1" t="n">
        <v>1130</v>
      </c>
      <c r="B30" s="27" t="s">
        <v>153</v>
      </c>
      <c r="C30" s="27" t="s">
        <v>154</v>
      </c>
      <c r="D30" s="27" t="s">
        <v>155</v>
      </c>
      <c r="F30" s="1" t="n">
        <v>91</v>
      </c>
    </row>
    <row r="31" customFormat="false" ht="15" hidden="false" customHeight="false" outlineLevel="0" collapsed="false">
      <c r="A31" s="1" t="n">
        <v>1131</v>
      </c>
      <c r="B31" s="27" t="s">
        <v>40</v>
      </c>
      <c r="C31" s="27"/>
      <c r="D31" s="27" t="s">
        <v>156</v>
      </c>
      <c r="F31" s="1" t="n">
        <v>73</v>
      </c>
    </row>
    <row r="32" customFormat="false" ht="15" hidden="false" customHeight="false" outlineLevel="0" collapsed="false">
      <c r="A32" s="1" t="n">
        <v>1132</v>
      </c>
      <c r="B32" s="27" t="s">
        <v>81</v>
      </c>
      <c r="C32" s="27" t="s">
        <v>82</v>
      </c>
      <c r="D32" s="27" t="s">
        <v>157</v>
      </c>
      <c r="F32" s="1" t="n">
        <v>99</v>
      </c>
    </row>
    <row r="33" customFormat="false" ht="15" hidden="false" customHeight="false" outlineLevel="0" collapsed="false">
      <c r="A33" s="1" t="n">
        <v>1133</v>
      </c>
      <c r="B33" s="27" t="s">
        <v>158</v>
      </c>
      <c r="C33" s="27"/>
      <c r="D33" s="27" t="s">
        <v>159</v>
      </c>
      <c r="F33" s="1" t="n">
        <v>94</v>
      </c>
      <c r="G33" s="1" t="n">
        <v>95</v>
      </c>
    </row>
    <row r="34" customFormat="false" ht="15" hidden="false" customHeight="false" outlineLevel="0" collapsed="false">
      <c r="B34" s="27"/>
      <c r="C34" s="27"/>
      <c r="D34" s="27"/>
    </row>
    <row r="35" customFormat="false" ht="15" hidden="false" customHeight="false" outlineLevel="0" collapsed="false">
      <c r="B35" s="27"/>
      <c r="C35" s="27"/>
      <c r="D35" s="27"/>
    </row>
    <row r="36" customFormat="false" ht="15" hidden="false" customHeight="false" outlineLevel="0" collapsed="false">
      <c r="B36" s="27"/>
      <c r="C36" s="27"/>
      <c r="D36" s="27"/>
    </row>
    <row r="37" customFormat="false" ht="15" hidden="false" customHeight="false" outlineLevel="0" collapsed="false">
      <c r="B37" s="27"/>
      <c r="C37" s="27"/>
      <c r="D37" s="27"/>
    </row>
    <row r="38" customFormat="false" ht="15" hidden="false" customHeight="false" outlineLevel="0" collapsed="false">
      <c r="B38" s="27"/>
      <c r="C38" s="27"/>
      <c r="D38" s="27"/>
    </row>
    <row r="39" customFormat="false" ht="15" hidden="false" customHeight="false" outlineLevel="0" collapsed="false">
      <c r="B39" s="27"/>
      <c r="C39" s="27"/>
      <c r="D39" s="27"/>
    </row>
    <row r="40" customFormat="false" ht="15" hidden="false" customHeight="false" outlineLevel="0" collapsed="false">
      <c r="B40" s="27"/>
      <c r="C40" s="27"/>
      <c r="D40" s="27"/>
    </row>
    <row r="41" customFormat="false" ht="15" hidden="false" customHeight="false" outlineLevel="0" collapsed="false">
      <c r="B41" s="27"/>
      <c r="C41" s="27"/>
      <c r="D41" s="27"/>
    </row>
    <row r="42" customFormat="false" ht="15" hidden="false" customHeight="false" outlineLevel="0" collapsed="false">
      <c r="B42" s="27"/>
      <c r="C42" s="27"/>
      <c r="D42" s="27"/>
    </row>
    <row r="43" customFormat="false" ht="15" hidden="false" customHeight="false" outlineLevel="0" collapsed="false">
      <c r="B43" s="27"/>
      <c r="C43" s="27"/>
      <c r="D43" s="27"/>
    </row>
    <row r="44" customFormat="false" ht="15" hidden="false" customHeight="false" outlineLevel="0" collapsed="false">
      <c r="B44" s="27"/>
      <c r="C44" s="27"/>
      <c r="D44" s="27"/>
    </row>
    <row r="45" customFormat="false" ht="15" hidden="false" customHeight="false" outlineLevel="0" collapsed="false">
      <c r="B45" s="27"/>
      <c r="C45" s="27"/>
      <c r="D45" s="27"/>
    </row>
    <row r="46" customFormat="false" ht="15" hidden="false" customHeight="false" outlineLevel="0" collapsed="false">
      <c r="B46" s="27"/>
      <c r="C46" s="27"/>
      <c r="D46" s="27"/>
    </row>
    <row r="47" customFormat="false" ht="15" hidden="false" customHeight="false" outlineLevel="0" collapsed="false">
      <c r="B47" s="27"/>
      <c r="C47" s="27"/>
      <c r="D47" s="27"/>
    </row>
    <row r="48" customFormat="false" ht="15" hidden="false" customHeight="false" outlineLevel="0" collapsed="false">
      <c r="A48" s="1" t="n">
        <v>1048</v>
      </c>
      <c r="B48" s="27"/>
      <c r="C48" s="27"/>
      <c r="D48" s="27"/>
    </row>
    <row r="49" customFormat="false" ht="15" hidden="false" customHeight="false" outlineLevel="0" collapsed="false">
      <c r="A49" s="1" t="n">
        <v>1049</v>
      </c>
      <c r="B49" s="27"/>
      <c r="C49" s="27"/>
      <c r="D49" s="27"/>
    </row>
    <row r="50" customFormat="false" ht="15" hidden="false" customHeight="false" outlineLevel="0" collapsed="false">
      <c r="A50" s="1" t="n">
        <v>1050</v>
      </c>
      <c r="B50" s="27"/>
      <c r="C50" s="27"/>
      <c r="D50" s="27"/>
    </row>
    <row r="51" customFormat="false" ht="15" hidden="false" customHeight="false" outlineLevel="0" collapsed="false">
      <c r="A51" s="1" t="n">
        <v>1051</v>
      </c>
      <c r="B51" s="27"/>
      <c r="C51" s="27"/>
      <c r="D51" s="27"/>
    </row>
    <row r="52" customFormat="false" ht="15" hidden="false" customHeight="false" outlineLevel="0" collapsed="false">
      <c r="A52" s="1" t="n">
        <v>1052</v>
      </c>
      <c r="B52" s="27"/>
      <c r="C52" s="27"/>
      <c r="D52" s="27"/>
    </row>
    <row r="53" customFormat="false" ht="15" hidden="false" customHeight="false" outlineLevel="0" collapsed="false">
      <c r="A53" s="1" t="n">
        <v>1053</v>
      </c>
      <c r="B53" s="27"/>
      <c r="C53" s="27"/>
      <c r="D53" s="27"/>
    </row>
    <row r="54" customFormat="false" ht="15" hidden="false" customHeight="false" outlineLevel="0" collapsed="false">
      <c r="A54" s="1" t="n">
        <v>1054</v>
      </c>
      <c r="B54" s="27"/>
      <c r="C54" s="27"/>
      <c r="D54" s="27"/>
    </row>
    <row r="55" customFormat="false" ht="15" hidden="false" customHeight="false" outlineLevel="0" collapsed="false">
      <c r="A55" s="1" t="n">
        <v>1055</v>
      </c>
      <c r="B55" s="27"/>
      <c r="C55" s="27"/>
      <c r="D55" s="27"/>
    </row>
    <row r="56" customFormat="false" ht="15" hidden="false" customHeight="false" outlineLevel="0" collapsed="false">
      <c r="A56" s="1" t="n">
        <v>1056</v>
      </c>
      <c r="B56" s="27"/>
      <c r="C56" s="27"/>
      <c r="D56" s="27"/>
    </row>
    <row r="57" customFormat="false" ht="15" hidden="false" customHeight="false" outlineLevel="0" collapsed="false">
      <c r="A57" s="1" t="n">
        <v>1057</v>
      </c>
      <c r="B57" s="27"/>
      <c r="C57" s="27"/>
      <c r="D57" s="27"/>
    </row>
    <row r="58" customFormat="false" ht="15" hidden="false" customHeight="false" outlineLevel="0" collapsed="false">
      <c r="A58" s="1" t="n">
        <v>1058</v>
      </c>
      <c r="B58" s="27"/>
      <c r="C58" s="27"/>
      <c r="D58" s="27"/>
    </row>
    <row r="59" customFormat="false" ht="15" hidden="false" customHeight="false" outlineLevel="0" collapsed="false">
      <c r="A59" s="1" t="n">
        <v>1059</v>
      </c>
      <c r="B59" s="27"/>
      <c r="C59" s="27"/>
      <c r="D59" s="27"/>
    </row>
    <row r="60" customFormat="false" ht="15" hidden="false" customHeight="false" outlineLevel="0" collapsed="false">
      <c r="A60" s="1" t="n">
        <v>1060</v>
      </c>
      <c r="B60" s="27"/>
      <c r="C60" s="27"/>
      <c r="D60" s="27"/>
    </row>
    <row r="61" customFormat="false" ht="15" hidden="false" customHeight="false" outlineLevel="0" collapsed="false">
      <c r="A61" s="1" t="n">
        <v>1061</v>
      </c>
      <c r="B61" s="27"/>
      <c r="C61" s="27"/>
      <c r="D61" s="27"/>
    </row>
    <row r="62" customFormat="false" ht="15" hidden="false" customHeight="false" outlineLevel="0" collapsed="false">
      <c r="A62" s="1" t="n">
        <v>1062</v>
      </c>
      <c r="B62" s="27"/>
      <c r="C62" s="27"/>
      <c r="D62" s="27"/>
    </row>
    <row r="63" customFormat="false" ht="15" hidden="false" customHeight="false" outlineLevel="0" collapsed="false">
      <c r="A63" s="1" t="n">
        <v>1063</v>
      </c>
      <c r="B63" s="27"/>
      <c r="C63" s="27"/>
      <c r="D63" s="27"/>
    </row>
    <row r="64" customFormat="false" ht="15" hidden="false" customHeight="false" outlineLevel="0" collapsed="false">
      <c r="A64" s="1" t="n">
        <v>1064</v>
      </c>
      <c r="B64" s="27"/>
      <c r="C64" s="27"/>
      <c r="D64" s="27"/>
    </row>
    <row r="65" customFormat="false" ht="15" hidden="false" customHeight="false" outlineLevel="0" collapsed="false">
      <c r="A65" s="1" t="n">
        <v>1065</v>
      </c>
      <c r="B65" s="27"/>
      <c r="C65" s="27"/>
      <c r="D65" s="27"/>
    </row>
    <row r="66" customFormat="false" ht="15" hidden="false" customHeight="false" outlineLevel="0" collapsed="false">
      <c r="A66" s="1" t="n">
        <v>1066</v>
      </c>
      <c r="B66" s="27"/>
      <c r="C66" s="27"/>
      <c r="D66" s="27"/>
    </row>
    <row r="67" customFormat="false" ht="15" hidden="false" customHeight="false" outlineLevel="0" collapsed="false">
      <c r="A67" s="1" t="n">
        <v>1067</v>
      </c>
      <c r="B67" s="27"/>
      <c r="C67" s="27"/>
      <c r="D67" s="27"/>
    </row>
    <row r="68" customFormat="false" ht="15" hidden="false" customHeight="false" outlineLevel="0" collapsed="false">
      <c r="A68" s="1" t="n">
        <v>1068</v>
      </c>
      <c r="B68" s="27"/>
      <c r="C68" s="27"/>
      <c r="D68" s="27"/>
    </row>
    <row r="69" customFormat="false" ht="15" hidden="false" customHeight="false" outlineLevel="0" collapsed="false">
      <c r="A69" s="1" t="n">
        <v>1069</v>
      </c>
      <c r="B69" s="27"/>
      <c r="C69" s="27"/>
      <c r="D69" s="27"/>
    </row>
    <row r="70" customFormat="false" ht="15" hidden="false" customHeight="false" outlineLevel="0" collapsed="false">
      <c r="A70" s="1" t="n">
        <v>1070</v>
      </c>
      <c r="B70" s="27"/>
      <c r="C70" s="27"/>
      <c r="D70" s="27"/>
    </row>
    <row r="71" customFormat="false" ht="15" hidden="false" customHeight="false" outlineLevel="0" collapsed="false">
      <c r="A71" s="1" t="n">
        <v>1071</v>
      </c>
      <c r="B71" s="27"/>
      <c r="C71" s="27"/>
      <c r="D71" s="27"/>
    </row>
    <row r="72" customFormat="false" ht="15" hidden="false" customHeight="false" outlineLevel="0" collapsed="false">
      <c r="A72" s="1" t="n">
        <v>1072</v>
      </c>
      <c r="B72" s="27"/>
      <c r="C72" s="27"/>
      <c r="D72" s="27"/>
    </row>
    <row r="73" customFormat="false" ht="15" hidden="false" customHeight="false" outlineLevel="0" collapsed="false">
      <c r="A73" s="1" t="n">
        <v>1073</v>
      </c>
      <c r="B73" s="27"/>
      <c r="C73" s="27"/>
      <c r="D73" s="27"/>
    </row>
    <row r="74" customFormat="false" ht="15" hidden="false" customHeight="false" outlineLevel="0" collapsed="false">
      <c r="A74" s="1" t="n">
        <v>1074</v>
      </c>
      <c r="B74" s="27"/>
      <c r="C74" s="27"/>
      <c r="D74" s="27"/>
    </row>
    <row r="75" customFormat="false" ht="15" hidden="false" customHeight="false" outlineLevel="0" collapsed="false">
      <c r="A75" s="1" t="n">
        <v>1075</v>
      </c>
      <c r="B75" s="27"/>
      <c r="C75" s="27"/>
      <c r="D75" s="27"/>
    </row>
    <row r="76" customFormat="false" ht="15" hidden="false" customHeight="false" outlineLevel="0" collapsed="false">
      <c r="A76" s="1" t="n">
        <v>1076</v>
      </c>
      <c r="B76" s="27"/>
      <c r="C76" s="27"/>
      <c r="D76" s="27"/>
    </row>
    <row r="77" customFormat="false" ht="15" hidden="false" customHeight="false" outlineLevel="0" collapsed="false">
      <c r="A77" s="1" t="n">
        <v>1077</v>
      </c>
      <c r="B77" s="27"/>
      <c r="C77" s="27"/>
      <c r="D77" s="27"/>
    </row>
    <row r="78" customFormat="false" ht="15" hidden="false" customHeight="false" outlineLevel="0" collapsed="false">
      <c r="A78" s="1" t="n">
        <v>1078</v>
      </c>
      <c r="B78" s="27"/>
      <c r="C78" s="27"/>
      <c r="D78" s="27"/>
    </row>
    <row r="79" customFormat="false" ht="15" hidden="false" customHeight="false" outlineLevel="0" collapsed="false">
      <c r="A79" s="1" t="n">
        <v>1079</v>
      </c>
      <c r="B79" s="27"/>
      <c r="C79" s="27"/>
      <c r="D79" s="27"/>
    </row>
    <row r="80" customFormat="false" ht="15" hidden="false" customHeight="false" outlineLevel="0" collapsed="false">
      <c r="A80" s="1" t="n">
        <v>1080</v>
      </c>
      <c r="B80" s="27"/>
      <c r="C80" s="27"/>
      <c r="D80" s="27"/>
    </row>
    <row r="81" customFormat="false" ht="15" hidden="false" customHeight="false" outlineLevel="0" collapsed="false">
      <c r="A81" s="1" t="n">
        <v>1081</v>
      </c>
      <c r="B81" s="27"/>
      <c r="C81" s="27"/>
      <c r="D81" s="27"/>
    </row>
    <row r="82" customFormat="false" ht="15" hidden="false" customHeight="false" outlineLevel="0" collapsed="false">
      <c r="A82" s="1" t="n">
        <v>1082</v>
      </c>
      <c r="B82" s="27"/>
      <c r="C82" s="27"/>
      <c r="D82" s="27"/>
    </row>
    <row r="83" customFormat="false" ht="15" hidden="false" customHeight="false" outlineLevel="0" collapsed="false">
      <c r="A83" s="1" t="n">
        <v>1083</v>
      </c>
      <c r="B83" s="27"/>
      <c r="C83" s="27"/>
      <c r="D83" s="27"/>
    </row>
    <row r="84" customFormat="false" ht="15" hidden="false" customHeight="false" outlineLevel="0" collapsed="false">
      <c r="A84" s="1" t="n">
        <v>1084</v>
      </c>
      <c r="B84" s="27"/>
      <c r="C84" s="27"/>
      <c r="D84" s="27"/>
    </row>
    <row r="85" customFormat="false" ht="15" hidden="false" customHeight="false" outlineLevel="0" collapsed="false">
      <c r="A85" s="1" t="n">
        <v>1085</v>
      </c>
      <c r="B85" s="27"/>
      <c r="C85" s="27"/>
      <c r="D85" s="27"/>
    </row>
    <row r="86" customFormat="false" ht="15" hidden="false" customHeight="false" outlineLevel="0" collapsed="false">
      <c r="A86" s="1" t="n">
        <v>1086</v>
      </c>
      <c r="B86" s="27"/>
      <c r="C86" s="27"/>
      <c r="D86" s="27"/>
    </row>
    <row r="87" customFormat="false" ht="15" hidden="false" customHeight="false" outlineLevel="0" collapsed="false">
      <c r="A87" s="1" t="n">
        <v>1087</v>
      </c>
      <c r="B87" s="27"/>
      <c r="C87" s="27"/>
      <c r="D87" s="27"/>
    </row>
    <row r="88" customFormat="false" ht="15" hidden="false" customHeight="false" outlineLevel="0" collapsed="false">
      <c r="A88" s="1" t="n">
        <v>1088</v>
      </c>
      <c r="B88" s="27"/>
      <c r="C88" s="27"/>
      <c r="D88" s="27"/>
    </row>
    <row r="89" customFormat="false" ht="15" hidden="false" customHeight="false" outlineLevel="0" collapsed="false">
      <c r="A89" s="1" t="n">
        <v>1089</v>
      </c>
      <c r="B89" s="27"/>
      <c r="C89" s="27"/>
      <c r="D89" s="27"/>
    </row>
    <row r="90" customFormat="false" ht="15" hidden="false" customHeight="false" outlineLevel="0" collapsed="false">
      <c r="A90" s="1" t="n">
        <v>1090</v>
      </c>
      <c r="B90" s="27"/>
      <c r="C90" s="27"/>
      <c r="D90" s="27"/>
    </row>
    <row r="91" customFormat="false" ht="15" hidden="false" customHeight="false" outlineLevel="0" collapsed="false">
      <c r="A91" s="1" t="n">
        <v>1091</v>
      </c>
      <c r="B91" s="27"/>
      <c r="C91" s="27"/>
      <c r="D91" s="27"/>
    </row>
    <row r="92" customFormat="false" ht="15" hidden="false" customHeight="false" outlineLevel="0" collapsed="false">
      <c r="A92" s="1" t="n">
        <v>1092</v>
      </c>
      <c r="B92" s="27"/>
      <c r="C92" s="27"/>
      <c r="D92" s="27"/>
    </row>
    <row r="93" customFormat="false" ht="15" hidden="false" customHeight="false" outlineLevel="0" collapsed="false">
      <c r="A93" s="1" t="n">
        <v>1093</v>
      </c>
      <c r="B93" s="27"/>
      <c r="C93" s="27"/>
      <c r="D93" s="27"/>
    </row>
    <row r="94" customFormat="false" ht="15" hidden="false" customHeight="false" outlineLevel="0" collapsed="false">
      <c r="A94" s="1" t="n">
        <v>1094</v>
      </c>
      <c r="B94" s="27"/>
      <c r="C94" s="27"/>
      <c r="D94" s="27"/>
    </row>
    <row r="95" customFormat="false" ht="15" hidden="false" customHeight="false" outlineLevel="0" collapsed="false">
      <c r="A95" s="1" t="n">
        <v>1095</v>
      </c>
      <c r="B95" s="27"/>
      <c r="C95" s="27"/>
      <c r="D95" s="27"/>
    </row>
    <row r="96" customFormat="false" ht="15" hidden="false" customHeight="false" outlineLevel="0" collapsed="false">
      <c r="A96" s="1" t="n">
        <v>1096</v>
      </c>
      <c r="B96" s="27"/>
      <c r="C96" s="27"/>
      <c r="D96" s="27"/>
    </row>
    <row r="97" customFormat="false" ht="15" hidden="false" customHeight="false" outlineLevel="0" collapsed="false">
      <c r="A97" s="1" t="n">
        <v>1097</v>
      </c>
      <c r="B97" s="27"/>
      <c r="C97" s="27"/>
      <c r="D97" s="27"/>
    </row>
    <row r="98" customFormat="false" ht="15" hidden="false" customHeight="false" outlineLevel="0" collapsed="false">
      <c r="A98" s="1" t="n">
        <v>1098</v>
      </c>
      <c r="B98" s="27"/>
      <c r="C98" s="27"/>
      <c r="D98" s="27"/>
    </row>
    <row r="99" customFormat="false" ht="15" hidden="false" customHeight="false" outlineLevel="0" collapsed="false">
      <c r="A99" s="1" t="n">
        <v>1099</v>
      </c>
      <c r="B99" s="27"/>
      <c r="C99" s="27"/>
      <c r="D99" s="27"/>
    </row>
    <row r="100" customFormat="false" ht="15" hidden="false" customHeight="false" outlineLevel="0" collapsed="false">
      <c r="A100" s="1" t="n">
        <v>1100</v>
      </c>
      <c r="B100" s="27"/>
      <c r="C100" s="27"/>
      <c r="D100" s="2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15.57"/>
    <col collapsed="false" customWidth="true" hidden="false" outlineLevel="0" max="2" min="2" style="1" width="16.57"/>
    <col collapsed="false" customWidth="true" hidden="false" outlineLevel="0" max="3" min="3" style="1" width="17.86"/>
    <col collapsed="false" customWidth="true" hidden="false" outlineLevel="0" max="4" min="4" style="1" width="11.71"/>
    <col collapsed="false" customWidth="true" hidden="false" outlineLevel="0" max="8" min="5" style="1" width="14.29"/>
    <col collapsed="false" customWidth="true" hidden="false" outlineLevel="0" max="9" min="9" style="1" width="13.57"/>
    <col collapsed="false" customWidth="true" hidden="false" outlineLevel="0" max="18" min="10" style="1" width="11.43"/>
  </cols>
  <sheetData>
    <row r="1" customFormat="false" ht="15" hidden="false" customHeight="false" outlineLevel="0" collapsed="false">
      <c r="A1" s="3" t="s">
        <v>160</v>
      </c>
    </row>
    <row r="2" customFormat="false" ht="15" hidden="false" customHeight="false" outlineLevel="0" collapsed="false">
      <c r="A2" s="3" t="s">
        <v>161</v>
      </c>
    </row>
    <row r="3" customFormat="false" ht="41.75" hidden="false" customHeight="false" outlineLevel="0" collapsed="false">
      <c r="A3" s="1" t="s">
        <v>162</v>
      </c>
      <c r="B3" s="1" t="s">
        <v>163</v>
      </c>
      <c r="C3" s="1" t="s">
        <v>164</v>
      </c>
      <c r="D3" s="26" t="s">
        <v>165</v>
      </c>
      <c r="E3" s="26" t="s">
        <v>166</v>
      </c>
      <c r="F3" s="26" t="s">
        <v>167</v>
      </c>
      <c r="G3" s="26" t="s">
        <v>168</v>
      </c>
      <c r="H3" s="26" t="s">
        <v>169</v>
      </c>
      <c r="I3" s="26" t="s">
        <v>170</v>
      </c>
      <c r="J3" s="26" t="s">
        <v>170</v>
      </c>
      <c r="K3" s="26" t="s">
        <v>170</v>
      </c>
      <c r="L3" s="26" t="s">
        <v>170</v>
      </c>
      <c r="M3" s="26" t="s">
        <v>170</v>
      </c>
      <c r="N3" s="26" t="s">
        <v>170</v>
      </c>
      <c r="O3" s="26" t="s">
        <v>170</v>
      </c>
      <c r="P3" s="26" t="s">
        <v>170</v>
      </c>
      <c r="Q3" s="26" t="s">
        <v>170</v>
      </c>
      <c r="R3" s="26" t="s">
        <v>170</v>
      </c>
      <c r="S3" s="26" t="s">
        <v>170</v>
      </c>
      <c r="T3" s="26" t="s">
        <v>170</v>
      </c>
      <c r="U3" s="26" t="s">
        <v>170</v>
      </c>
      <c r="V3" s="26" t="s">
        <v>170</v>
      </c>
      <c r="W3" s="26" t="s">
        <v>170</v>
      </c>
      <c r="X3" s="26" t="s">
        <v>170</v>
      </c>
      <c r="Y3" s="26" t="s">
        <v>170</v>
      </c>
      <c r="Z3" s="26" t="s">
        <v>170</v>
      </c>
      <c r="AA3" s="26" t="s">
        <v>170</v>
      </c>
      <c r="AB3" s="26" t="s">
        <v>170</v>
      </c>
      <c r="AC3" s="26" t="s">
        <v>170</v>
      </c>
      <c r="AD3" s="26" t="s">
        <v>170</v>
      </c>
      <c r="AE3" s="26" t="s">
        <v>170</v>
      </c>
      <c r="AF3" s="26" t="s">
        <v>170</v>
      </c>
      <c r="AG3" s="26" t="s">
        <v>170</v>
      </c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customFormat="false" ht="15" hidden="false" customHeight="false" outlineLevel="0" collapsed="false">
      <c r="A4" s="1" t="n">
        <v>501</v>
      </c>
      <c r="B4" s="1" t="s">
        <v>171</v>
      </c>
      <c r="D4" s="31" t="n">
        <f aca="false">COUNTIF(I4:AQ4,"&gt;0")</f>
        <v>0</v>
      </c>
      <c r="E4" s="31"/>
      <c r="F4" s="2"/>
      <c r="G4" s="32"/>
      <c r="H4" s="33" t="n">
        <f aca="false">IF(D4&gt;0,E4/D4,)</f>
        <v>0</v>
      </c>
    </row>
    <row r="5" customFormat="false" ht="15" hidden="false" customHeight="false" outlineLevel="0" collapsed="false">
      <c r="A5" s="1" t="n">
        <v>502</v>
      </c>
      <c r="B5" s="1" t="s">
        <v>172</v>
      </c>
      <c r="C5" s="1" t="s">
        <v>93</v>
      </c>
      <c r="D5" s="31" t="n">
        <f aca="false">COUNTIFS(I5:AQ5,"&gt;0",I5:AQ5,"&lt;101")</f>
        <v>11</v>
      </c>
      <c r="E5" s="31" t="n">
        <f aca="false">SUMIF('Stammdaten - Schwimmer'!G$4:G$99,'Stammdaten - Sponsoren'!A5,'Stammdaten - Schwimmer'!F$4:F$99)+SUMIF('Stammdaten - Schwimmer'!K$4:K$99,'Stammdaten - Sponsoren'!A5,'Stammdaten - Schwimmer'!F$4:F$99)+SUMIF('Stammdaten - Schwimmer'!O$4:O$99,'Stammdaten - Sponsoren'!A5,'Stammdaten - Schwimmer'!F$4:F$99)+SUMIF('Stammdaten - Schwimmer'!S$4:S$99,'Stammdaten - Sponsoren'!A5,'Stammdaten - Schwimmer'!F$4:F$99)</f>
        <v>448</v>
      </c>
      <c r="F5" s="2" t="n">
        <v>0.5</v>
      </c>
      <c r="G5" s="32" t="n">
        <f aca="false">E5*F5</f>
        <v>224</v>
      </c>
      <c r="H5" s="33" t="n">
        <f aca="false">IF(D5&gt;0,E5/D5,)</f>
        <v>40.7272727272727</v>
      </c>
      <c r="I5" s="1" t="n">
        <v>26</v>
      </c>
      <c r="J5" s="1" t="n">
        <v>30</v>
      </c>
      <c r="K5" s="1" t="n">
        <v>31</v>
      </c>
      <c r="L5" s="1" t="n">
        <v>33</v>
      </c>
      <c r="M5" s="1" t="n">
        <v>35</v>
      </c>
      <c r="N5" s="1" t="n">
        <v>47</v>
      </c>
      <c r="O5" s="1" t="n">
        <v>74</v>
      </c>
      <c r="P5" s="1" t="n">
        <v>75</v>
      </c>
      <c r="Q5" s="1" t="n">
        <v>94</v>
      </c>
      <c r="R5" s="1" t="n">
        <v>95</v>
      </c>
      <c r="S5" s="1" t="n">
        <v>97</v>
      </c>
      <c r="T5" s="1" t="n">
        <v>101</v>
      </c>
      <c r="U5" s="1" t="n">
        <v>101</v>
      </c>
      <c r="V5" s="1" t="n">
        <v>101</v>
      </c>
      <c r="W5" s="1" t="n">
        <v>101</v>
      </c>
      <c r="X5" s="1" t="n">
        <v>101</v>
      </c>
      <c r="Y5" s="1" t="n">
        <v>101</v>
      </c>
      <c r="Z5" s="1" t="n">
        <v>101</v>
      </c>
      <c r="AA5" s="1" t="n">
        <v>101</v>
      </c>
      <c r="AB5" s="1" t="n">
        <v>101</v>
      </c>
      <c r="AC5" s="1" t="n">
        <v>101</v>
      </c>
      <c r="AD5" s="1" t="n">
        <v>101</v>
      </c>
      <c r="AE5" s="1" t="n">
        <v>101</v>
      </c>
      <c r="AF5" s="1" t="n">
        <v>101</v>
      </c>
      <c r="AG5" s="1" t="n">
        <v>101</v>
      </c>
      <c r="AH5" s="1" t="n">
        <v>101</v>
      </c>
      <c r="AI5" s="1" t="n">
        <v>101</v>
      </c>
      <c r="AJ5" s="1" t="n">
        <v>101</v>
      </c>
      <c r="AK5" s="1" t="n">
        <v>101</v>
      </c>
      <c r="AL5" s="1" t="n">
        <v>101</v>
      </c>
      <c r="AM5" s="1" t="n">
        <v>101</v>
      </c>
      <c r="AN5" s="1" t="n">
        <v>101</v>
      </c>
      <c r="AO5" s="1" t="n">
        <v>101</v>
      </c>
      <c r="AP5" s="1" t="n">
        <v>101</v>
      </c>
      <c r="AQ5" s="1"/>
    </row>
    <row r="6" customFormat="false" ht="15" hidden="false" customHeight="false" outlineLevel="0" collapsed="false">
      <c r="A6" s="1" t="n">
        <v>503</v>
      </c>
      <c r="B6" s="1" t="s">
        <v>173</v>
      </c>
      <c r="C6" s="1" t="s">
        <v>97</v>
      </c>
      <c r="D6" s="31" t="n">
        <f aca="false">COUNTIFS(I6:AQ6,"&gt;0",I6:AQ6,"&lt;101")</f>
        <v>13</v>
      </c>
      <c r="E6" s="31" t="n">
        <f aca="false">SUMIF('Stammdaten - Schwimmer'!G$4:G$99,'Stammdaten - Sponsoren'!A6,'Stammdaten - Schwimmer'!F$4:F$99)+SUMIF('Stammdaten - Schwimmer'!K$4:K$99,'Stammdaten - Sponsoren'!A6,'Stammdaten - Schwimmer'!F$4:F$99)+SUMIF('Stammdaten - Schwimmer'!O$4:O$99,'Stammdaten - Sponsoren'!A6,'Stammdaten - Schwimmer'!F$4:F$99)+SUMIF('Stammdaten - Schwimmer'!S$4:S$99,'Stammdaten - Sponsoren'!A6,'Stammdaten - Schwimmer'!F$4:F$99)</f>
        <v>800</v>
      </c>
      <c r="F6" s="2" t="n">
        <v>0.5</v>
      </c>
      <c r="G6" s="32" t="n">
        <f aca="false">E6*F6</f>
        <v>400</v>
      </c>
      <c r="H6" s="33" t="n">
        <f aca="false">IF(D6&gt;0,E6/D6,)</f>
        <v>61.5384615384615</v>
      </c>
      <c r="I6" s="1" t="n">
        <v>5</v>
      </c>
      <c r="J6" s="1" t="n">
        <v>6</v>
      </c>
      <c r="K6" s="1" t="n">
        <v>9</v>
      </c>
      <c r="L6" s="1" t="n">
        <v>26</v>
      </c>
      <c r="M6" s="1" t="n">
        <v>47</v>
      </c>
      <c r="N6" s="1" t="n">
        <v>72</v>
      </c>
      <c r="O6" s="1" t="n">
        <v>77</v>
      </c>
      <c r="P6" s="1" t="n">
        <v>78</v>
      </c>
      <c r="Q6" s="1" t="n">
        <v>81</v>
      </c>
      <c r="R6" s="1" t="n">
        <v>82</v>
      </c>
      <c r="S6" s="1" t="n">
        <v>83</v>
      </c>
      <c r="T6" s="1" t="n">
        <v>84</v>
      </c>
      <c r="U6" s="1" t="n">
        <v>99</v>
      </c>
      <c r="V6" s="1" t="n">
        <v>101</v>
      </c>
      <c r="W6" s="1" t="n">
        <v>101</v>
      </c>
      <c r="X6" s="1" t="n">
        <v>101</v>
      </c>
      <c r="Y6" s="1" t="n">
        <v>101</v>
      </c>
      <c r="Z6" s="1" t="n">
        <v>101</v>
      </c>
      <c r="AA6" s="1" t="n">
        <v>101</v>
      </c>
      <c r="AB6" s="1" t="n">
        <v>101</v>
      </c>
      <c r="AC6" s="1" t="n">
        <v>101</v>
      </c>
      <c r="AD6" s="1" t="n">
        <v>101</v>
      </c>
      <c r="AE6" s="1" t="n">
        <v>101</v>
      </c>
      <c r="AF6" s="1" t="n">
        <v>101</v>
      </c>
      <c r="AG6" s="1" t="n">
        <v>101</v>
      </c>
      <c r="AH6" s="1" t="n">
        <v>101</v>
      </c>
      <c r="AI6" s="1" t="n">
        <v>101</v>
      </c>
      <c r="AJ6" s="1" t="n">
        <v>101</v>
      </c>
      <c r="AK6" s="1" t="n">
        <v>101</v>
      </c>
      <c r="AL6" s="1" t="n">
        <v>101</v>
      </c>
      <c r="AM6" s="1" t="n">
        <v>101</v>
      </c>
      <c r="AN6" s="1" t="n">
        <v>101</v>
      </c>
      <c r="AO6" s="1" t="n">
        <v>101</v>
      </c>
      <c r="AP6" s="1" t="n">
        <v>101</v>
      </c>
      <c r="AQ6" s="1"/>
    </row>
    <row r="7" customFormat="false" ht="15" hidden="false" customHeight="false" outlineLevel="0" collapsed="false">
      <c r="A7" s="1" t="n">
        <v>504</v>
      </c>
      <c r="B7" s="1" t="s">
        <v>174</v>
      </c>
      <c r="C7" s="1" t="s">
        <v>99</v>
      </c>
      <c r="D7" s="31" t="n">
        <f aca="false">COUNTIFS(I7:AQ7,"&gt;0",I7:AQ7,"&lt;101")</f>
        <v>2</v>
      </c>
      <c r="E7" s="31" t="n">
        <f aca="false">SUMIF('Stammdaten - Schwimmer'!G$4:G$99,'Stammdaten - Sponsoren'!A7,'Stammdaten - Schwimmer'!F$4:F$99)+SUMIF('Stammdaten - Schwimmer'!K$4:K$99,'Stammdaten - Sponsoren'!A7,'Stammdaten - Schwimmer'!F$4:F$99)+SUMIF('Stammdaten - Schwimmer'!O$4:O$99,'Stammdaten - Sponsoren'!A7,'Stammdaten - Schwimmer'!F$4:F$99)+SUMIF('Stammdaten - Schwimmer'!S$4:S$99,'Stammdaten - Sponsoren'!A7,'Stammdaten - Schwimmer'!F$4:F$99)</f>
        <v>50</v>
      </c>
      <c r="F7" s="2" t="n">
        <v>0.5</v>
      </c>
      <c r="G7" s="32" t="n">
        <f aca="false">E7*F7</f>
        <v>25</v>
      </c>
      <c r="H7" s="33" t="n">
        <f aca="false">IF(D7&gt;0,E7/D7,)</f>
        <v>25</v>
      </c>
      <c r="I7" s="1" t="n">
        <v>78</v>
      </c>
      <c r="J7" s="1" t="n">
        <v>99</v>
      </c>
      <c r="K7" s="1" t="n">
        <v>101</v>
      </c>
      <c r="L7" s="1" t="n">
        <v>101</v>
      </c>
      <c r="M7" s="1" t="n">
        <v>101</v>
      </c>
      <c r="N7" s="1" t="n">
        <v>101</v>
      </c>
      <c r="O7" s="1" t="n">
        <v>101</v>
      </c>
      <c r="P7" s="1" t="n">
        <v>101</v>
      </c>
      <c r="Q7" s="1" t="n">
        <v>101</v>
      </c>
      <c r="R7" s="1" t="n">
        <v>101</v>
      </c>
      <c r="S7" s="1" t="n">
        <v>101</v>
      </c>
      <c r="T7" s="1" t="n">
        <v>101</v>
      </c>
      <c r="U7" s="1" t="n">
        <v>101</v>
      </c>
      <c r="V7" s="1" t="n">
        <v>101</v>
      </c>
      <c r="W7" s="1" t="n">
        <v>101</v>
      </c>
      <c r="X7" s="1" t="n">
        <v>101</v>
      </c>
      <c r="Y7" s="1" t="n">
        <v>101</v>
      </c>
      <c r="Z7" s="1" t="n">
        <v>101</v>
      </c>
      <c r="AA7" s="1" t="n">
        <v>101</v>
      </c>
      <c r="AB7" s="1" t="n">
        <v>101</v>
      </c>
      <c r="AC7" s="1" t="n">
        <v>101</v>
      </c>
      <c r="AD7" s="1" t="n">
        <v>101</v>
      </c>
      <c r="AE7" s="1" t="n">
        <v>101</v>
      </c>
      <c r="AF7" s="1" t="n">
        <v>101</v>
      </c>
      <c r="AG7" s="1" t="n">
        <v>101</v>
      </c>
      <c r="AH7" s="1" t="n">
        <v>101</v>
      </c>
      <c r="AI7" s="1" t="n">
        <v>101</v>
      </c>
      <c r="AJ7" s="1" t="n">
        <v>101</v>
      </c>
      <c r="AK7" s="1" t="n">
        <v>101</v>
      </c>
      <c r="AL7" s="1" t="n">
        <v>101</v>
      </c>
      <c r="AM7" s="1" t="n">
        <v>101</v>
      </c>
      <c r="AN7" s="1" t="n">
        <v>101</v>
      </c>
      <c r="AO7" s="1" t="n">
        <v>101</v>
      </c>
      <c r="AP7" s="1" t="n">
        <v>101</v>
      </c>
      <c r="AQ7" s="1"/>
    </row>
    <row r="8" customFormat="false" ht="15" hidden="false" customHeight="false" outlineLevel="0" collapsed="false">
      <c r="A8" s="1" t="n">
        <v>505</v>
      </c>
      <c r="B8" s="1" t="s">
        <v>175</v>
      </c>
      <c r="C8" s="1" t="s">
        <v>103</v>
      </c>
      <c r="D8" s="31" t="n">
        <f aca="false">COUNTIFS(I8:AQ8,"&gt;0",I8:AQ8,"&lt;101")</f>
        <v>4</v>
      </c>
      <c r="E8" s="31" t="n">
        <f aca="false">SUMIF('Stammdaten - Schwimmer'!G$4:G$99,'Stammdaten - Sponsoren'!A8,'Stammdaten - Schwimmer'!F$4:F$99)+SUMIF('Stammdaten - Schwimmer'!K$4:K$99,'Stammdaten - Sponsoren'!A8,'Stammdaten - Schwimmer'!F$4:F$99)+SUMIF('Stammdaten - Schwimmer'!O$4:O$99,'Stammdaten - Sponsoren'!A8,'Stammdaten - Schwimmer'!F$4:F$99)+SUMIF('Stammdaten - Schwimmer'!S$4:S$99,'Stammdaten - Sponsoren'!A8,'Stammdaten - Schwimmer'!F$4:F$99)</f>
        <v>292</v>
      </c>
      <c r="F8" s="2" t="n">
        <v>0.5</v>
      </c>
      <c r="G8" s="32" t="n">
        <f aca="false">E8*F8</f>
        <v>146</v>
      </c>
      <c r="H8" s="33" t="n">
        <f aca="false">IF(D8&gt;0,E8/D8,)</f>
        <v>73</v>
      </c>
      <c r="I8" s="1" t="n">
        <v>5</v>
      </c>
      <c r="J8" s="1" t="n">
        <v>77</v>
      </c>
      <c r="K8" s="1" t="n">
        <v>87</v>
      </c>
      <c r="L8" s="1" t="n">
        <v>88</v>
      </c>
      <c r="M8" s="1" t="n">
        <v>101</v>
      </c>
      <c r="N8" s="1" t="n">
        <v>101</v>
      </c>
      <c r="O8" s="1" t="n">
        <v>101</v>
      </c>
      <c r="P8" s="1" t="n">
        <v>101</v>
      </c>
      <c r="Q8" s="1" t="n">
        <v>101</v>
      </c>
      <c r="R8" s="1" t="n">
        <v>101</v>
      </c>
      <c r="S8" s="1" t="n">
        <v>101</v>
      </c>
      <c r="T8" s="1" t="n">
        <v>101</v>
      </c>
      <c r="U8" s="1" t="n">
        <v>101</v>
      </c>
      <c r="V8" s="1" t="n">
        <v>101</v>
      </c>
      <c r="W8" s="1" t="n">
        <v>101</v>
      </c>
      <c r="X8" s="1" t="n">
        <v>101</v>
      </c>
      <c r="Y8" s="1" t="n">
        <v>101</v>
      </c>
      <c r="Z8" s="1" t="n">
        <v>101</v>
      </c>
      <c r="AA8" s="1" t="n">
        <v>101</v>
      </c>
      <c r="AB8" s="1" t="n">
        <v>101</v>
      </c>
      <c r="AC8" s="1" t="n">
        <v>101</v>
      </c>
      <c r="AD8" s="1" t="n">
        <v>101</v>
      </c>
      <c r="AE8" s="1" t="n">
        <v>101</v>
      </c>
      <c r="AF8" s="1" t="n">
        <v>101</v>
      </c>
      <c r="AG8" s="1" t="n">
        <v>101</v>
      </c>
      <c r="AH8" s="1" t="n">
        <v>101</v>
      </c>
      <c r="AI8" s="1" t="n">
        <v>101</v>
      </c>
      <c r="AJ8" s="1" t="n">
        <v>101</v>
      </c>
      <c r="AK8" s="1" t="n">
        <v>101</v>
      </c>
      <c r="AL8" s="1" t="n">
        <v>101</v>
      </c>
      <c r="AM8" s="1" t="n">
        <v>101</v>
      </c>
      <c r="AN8" s="1" t="n">
        <v>101</v>
      </c>
      <c r="AO8" s="1" t="n">
        <v>101</v>
      </c>
      <c r="AP8" s="1" t="n">
        <v>101</v>
      </c>
      <c r="AQ8" s="1"/>
    </row>
    <row r="9" customFormat="false" ht="15" hidden="false" customHeight="false" outlineLevel="0" collapsed="false">
      <c r="A9" s="1" t="n">
        <v>506</v>
      </c>
      <c r="B9" s="1" t="s">
        <v>176</v>
      </c>
      <c r="C9" s="1" t="s">
        <v>177</v>
      </c>
      <c r="D9" s="31" t="n">
        <f aca="false">COUNTIFS(I9:AQ9,"&gt;0",I9:AQ9,"&lt;101")</f>
        <v>0</v>
      </c>
      <c r="E9" s="31" t="n">
        <f aca="true">INDIRECT("'Stammdaten - Schwimmer'!F"&amp;(I9+3))+INDIRECT("'Stammdaten - Schwimmer'!F"&amp;(J9+3))+INDIRECT("'Stammdaten - Schwimmer'!F"&amp;(K9+3))+INDIRECT("'Stammdaten - Schwimmer'!F"&amp;(L9+3))+INDIRECT("'Stammdaten - Schwimmer'!F"&amp;(M9+3))+INDIRECT("'Stammdaten - Schwimmer'!F"&amp;(N9+3))+INDIRECT("'Stammdaten - Schwimmer'!F"&amp;O9+3)+INDIRECT("'Stammdaten - Schwimmer'!F"&amp;(P9+3))+INDIRECT("'Stammdaten - Schwimmer'!F"&amp;(Q9+3))+INDIRECT("'Stammdaten - Schwimmer'!F"&amp;(R9+3))+INDIRECT("'Stammdaten - Schwimmer'!F"&amp;(S9+3))+INDIRECT("'Stammdaten - Schwimmer'!F"&amp;(T9+3))+INDIRECT("'Stammdaten - Schwimmer'!F"&amp;(U9+3))+INDIRECT("'Stammdaten - Schwimmer'!F"&amp;(V9+3))+INDIRECT("'Stammdaten - Schwimmer'!F"&amp;(W9+3))+INDIRECT("'Stammdaten - Schwimmer'!F"&amp;(X9+3))+INDIRECT("'Stammdaten - Schwimmer'!F"&amp;(Y9+3))+INDIRECT("'Stammdaten - Schwimmer'!F"&amp;(Z9+3))+INDIRECT("'Stammdaten - Schwimmer'!F"&amp;(AA9+3))+INDIRECT("'Stammdaten - Schwimmer'!F"&amp;(AB9+3))+INDIRECT("'Stammdaten - Schwimmer'!F"&amp;(AC9+3))+INDIRECT("'Stammdaten - Schwimmer'!F"&amp;(AD9+3))+INDIRECT("'Stammdaten - Schwimmer'!F"&amp;(AE9+3))+INDIRECT("'Stammdaten - Schwimmer'!F"&amp;(AF9+3))+INDIRECT("'Stammdaten - Schwimmer'!F"&amp;(AG9+3))</f>
        <v>0</v>
      </c>
      <c r="F9" s="2"/>
      <c r="G9" s="32" t="n">
        <f aca="false">E9*F9</f>
        <v>0</v>
      </c>
      <c r="H9" s="33" t="n">
        <f aca="false">IF(D9&gt;0,E9/D9,)</f>
        <v>0</v>
      </c>
      <c r="I9" s="1" t="n">
        <v>101</v>
      </c>
      <c r="J9" s="1" t="n">
        <v>101</v>
      </c>
      <c r="K9" s="1" t="n">
        <v>101</v>
      </c>
      <c r="L9" s="1" t="n">
        <v>101</v>
      </c>
      <c r="M9" s="1" t="n">
        <v>101</v>
      </c>
      <c r="N9" s="1" t="n">
        <v>101</v>
      </c>
      <c r="O9" s="1" t="n">
        <v>101</v>
      </c>
      <c r="P9" s="1" t="n">
        <v>101</v>
      </c>
      <c r="Q9" s="1" t="n">
        <v>101</v>
      </c>
      <c r="R9" s="1" t="n">
        <v>101</v>
      </c>
      <c r="S9" s="1" t="n">
        <v>101</v>
      </c>
      <c r="T9" s="1" t="n">
        <v>101</v>
      </c>
      <c r="U9" s="1" t="n">
        <v>101</v>
      </c>
      <c r="V9" s="1" t="n">
        <v>101</v>
      </c>
      <c r="W9" s="1" t="n">
        <v>101</v>
      </c>
      <c r="X9" s="1" t="n">
        <v>101</v>
      </c>
      <c r="Y9" s="1" t="n">
        <v>101</v>
      </c>
      <c r="Z9" s="1" t="n">
        <v>101</v>
      </c>
      <c r="AA9" s="1" t="n">
        <v>101</v>
      </c>
      <c r="AB9" s="1" t="n">
        <v>101</v>
      </c>
      <c r="AC9" s="1" t="n">
        <v>101</v>
      </c>
      <c r="AD9" s="1" t="n">
        <v>101</v>
      </c>
      <c r="AE9" s="1" t="n">
        <v>101</v>
      </c>
      <c r="AF9" s="1" t="n">
        <v>101</v>
      </c>
      <c r="AG9" s="1" t="n">
        <v>101</v>
      </c>
      <c r="AH9" s="1" t="n">
        <v>101</v>
      </c>
      <c r="AI9" s="1" t="n">
        <v>101</v>
      </c>
      <c r="AJ9" s="1" t="n">
        <v>101</v>
      </c>
      <c r="AK9" s="1" t="n">
        <v>101</v>
      </c>
      <c r="AL9" s="1" t="n">
        <v>101</v>
      </c>
      <c r="AM9" s="1" t="n">
        <v>101</v>
      </c>
      <c r="AN9" s="1" t="n">
        <v>101</v>
      </c>
      <c r="AO9" s="1"/>
      <c r="AP9" s="1"/>
      <c r="AQ9" s="1"/>
    </row>
    <row r="10" customFormat="false" ht="15" hidden="false" customHeight="false" outlineLevel="0" collapsed="false">
      <c r="A10" s="1" t="n">
        <v>507</v>
      </c>
      <c r="B10" s="1" t="s">
        <v>178</v>
      </c>
      <c r="C10" s="1" t="s">
        <v>179</v>
      </c>
      <c r="D10" s="31" t="n">
        <f aca="false">COUNTIFS(I10:AQ10,"&gt;0",I10:AQ10,"&lt;101")</f>
        <v>0</v>
      </c>
      <c r="E10" s="31" t="n">
        <f aca="true">INDIRECT("'Stammdaten - Schwimmer'!F"&amp;(I10+3))+INDIRECT("'Stammdaten - Schwimmer'!F"&amp;(J10+3))+INDIRECT("'Stammdaten - Schwimmer'!F"&amp;(K10+3))+INDIRECT("'Stammdaten - Schwimmer'!F"&amp;(L10+3))+INDIRECT("'Stammdaten - Schwimmer'!F"&amp;(M10+3))+INDIRECT("'Stammdaten - Schwimmer'!F"&amp;(N10+3))+INDIRECT("'Stammdaten - Schwimmer'!F"&amp;O10+3)+INDIRECT("'Stammdaten - Schwimmer'!F"&amp;(P10+3))+INDIRECT("'Stammdaten - Schwimmer'!F"&amp;(Q10+3))+INDIRECT("'Stammdaten - Schwimmer'!F"&amp;(R10+3))+INDIRECT("'Stammdaten - Schwimmer'!F"&amp;(S10+3))+INDIRECT("'Stammdaten - Schwimmer'!F"&amp;(T10+3))+INDIRECT("'Stammdaten - Schwimmer'!F"&amp;(U10+3))+INDIRECT("'Stammdaten - Schwimmer'!F"&amp;(V10+3))+INDIRECT("'Stammdaten - Schwimmer'!F"&amp;(W10+3))+INDIRECT("'Stammdaten - Schwimmer'!F"&amp;(X10+3))+INDIRECT("'Stammdaten - Schwimmer'!F"&amp;(Y10+3))+INDIRECT("'Stammdaten - Schwimmer'!F"&amp;(Z10+3))+INDIRECT("'Stammdaten - Schwimmer'!F"&amp;(AA10+3))+INDIRECT("'Stammdaten - Schwimmer'!F"&amp;(AB10+3))+INDIRECT("'Stammdaten - Schwimmer'!F"&amp;(AC10+3))+INDIRECT("'Stammdaten - Schwimmer'!F"&amp;(AD10+3))+INDIRECT("'Stammdaten - Schwimmer'!F"&amp;(AE10+3))+INDIRECT("'Stammdaten - Schwimmer'!F"&amp;(AF10+3))+INDIRECT("'Stammdaten - Schwimmer'!F"&amp;(AG10+3))</f>
        <v>0</v>
      </c>
      <c r="F10" s="2"/>
      <c r="G10" s="32" t="n">
        <f aca="false">E10*F10</f>
        <v>0</v>
      </c>
      <c r="H10" s="33" t="n">
        <f aca="false">IF(D10&gt;0,E10/D10,)</f>
        <v>0</v>
      </c>
      <c r="I10" s="1" t="n">
        <v>101</v>
      </c>
      <c r="J10" s="1" t="n">
        <v>101</v>
      </c>
      <c r="K10" s="1" t="n">
        <v>101</v>
      </c>
      <c r="L10" s="1" t="n">
        <v>101</v>
      </c>
      <c r="M10" s="1" t="n">
        <v>101</v>
      </c>
      <c r="N10" s="1" t="n">
        <v>101</v>
      </c>
      <c r="O10" s="1" t="n">
        <v>101</v>
      </c>
      <c r="P10" s="1" t="n">
        <v>101</v>
      </c>
      <c r="Q10" s="1" t="n">
        <v>101</v>
      </c>
      <c r="R10" s="1" t="n">
        <v>101</v>
      </c>
      <c r="S10" s="1" t="n">
        <v>101</v>
      </c>
      <c r="T10" s="1" t="n">
        <v>101</v>
      </c>
      <c r="U10" s="1" t="n">
        <v>101</v>
      </c>
      <c r="V10" s="1" t="n">
        <v>101</v>
      </c>
      <c r="W10" s="1" t="n">
        <v>101</v>
      </c>
      <c r="X10" s="1" t="n">
        <v>101</v>
      </c>
      <c r="Y10" s="1" t="n">
        <v>101</v>
      </c>
      <c r="Z10" s="1" t="n">
        <v>101</v>
      </c>
      <c r="AA10" s="1" t="n">
        <v>101</v>
      </c>
      <c r="AB10" s="1" t="n">
        <v>101</v>
      </c>
      <c r="AC10" s="1" t="n">
        <v>101</v>
      </c>
      <c r="AD10" s="1" t="n">
        <v>101</v>
      </c>
      <c r="AE10" s="1" t="n">
        <v>101</v>
      </c>
      <c r="AF10" s="1" t="n">
        <v>101</v>
      </c>
      <c r="AG10" s="1" t="n">
        <v>101</v>
      </c>
      <c r="AH10" s="1" t="n">
        <v>101</v>
      </c>
      <c r="AI10" s="1" t="n">
        <v>101</v>
      </c>
      <c r="AJ10" s="1" t="n">
        <v>101</v>
      </c>
      <c r="AK10" s="1" t="n">
        <v>101</v>
      </c>
      <c r="AL10" s="1" t="n">
        <v>101</v>
      </c>
      <c r="AM10" s="1" t="n">
        <v>101</v>
      </c>
      <c r="AN10" s="1" t="n">
        <v>101</v>
      </c>
      <c r="AO10" s="1"/>
      <c r="AP10" s="1"/>
      <c r="AQ10" s="1"/>
    </row>
    <row r="11" customFormat="false" ht="15" hidden="false" customHeight="false" outlineLevel="0" collapsed="false">
      <c r="A11" s="1" t="n">
        <v>508</v>
      </c>
      <c r="B11" s="1" t="s">
        <v>180</v>
      </c>
      <c r="D11" s="31" t="n">
        <f aca="false">COUNTIFS(I11:AQ11,"&gt;0",I11:AQ11,"&lt;101")</f>
        <v>0</v>
      </c>
      <c r="E11" s="31" t="n">
        <f aca="true">INDIRECT("'Stammdaten - Schwimmer'!F"&amp;(I11+3))+INDIRECT("'Stammdaten - Schwimmer'!F"&amp;(J11+3))+INDIRECT("'Stammdaten - Schwimmer'!F"&amp;(K11+3))+INDIRECT("'Stammdaten - Schwimmer'!F"&amp;(L11+3))+INDIRECT("'Stammdaten - Schwimmer'!F"&amp;(M11+3))+INDIRECT("'Stammdaten - Schwimmer'!F"&amp;(N11+3))+INDIRECT("'Stammdaten - Schwimmer'!F"&amp;O11+3)+INDIRECT("'Stammdaten - Schwimmer'!F"&amp;(P11+3))+INDIRECT("'Stammdaten - Schwimmer'!F"&amp;(Q11+3))+INDIRECT("'Stammdaten - Schwimmer'!F"&amp;(R11+3))+INDIRECT("'Stammdaten - Schwimmer'!F"&amp;(S11+3))+INDIRECT("'Stammdaten - Schwimmer'!F"&amp;(T11+3))+INDIRECT("'Stammdaten - Schwimmer'!F"&amp;(U11+3))+INDIRECT("'Stammdaten - Schwimmer'!F"&amp;(V11+3))+INDIRECT("'Stammdaten - Schwimmer'!F"&amp;(W11+3))+INDIRECT("'Stammdaten - Schwimmer'!F"&amp;(X11+3))+INDIRECT("'Stammdaten - Schwimmer'!F"&amp;(Y11+3))+INDIRECT("'Stammdaten - Schwimmer'!F"&amp;(Z11+3))+INDIRECT("'Stammdaten - Schwimmer'!F"&amp;(AA11+3))+INDIRECT("'Stammdaten - Schwimmer'!F"&amp;(AB11+3))+INDIRECT("'Stammdaten - Schwimmer'!F"&amp;(AC11+3))+INDIRECT("'Stammdaten - Schwimmer'!F"&amp;(AD11+3))+INDIRECT("'Stammdaten - Schwimmer'!F"&amp;(AE11+3))+INDIRECT("'Stammdaten - Schwimmer'!F"&amp;(AF11+3))+INDIRECT("'Stammdaten - Schwimmer'!F"&amp;(AG11+3))</f>
        <v>0</v>
      </c>
      <c r="F11" s="2"/>
      <c r="G11" s="32" t="n">
        <f aca="false">E11*F11</f>
        <v>0</v>
      </c>
      <c r="H11" s="33" t="n">
        <f aca="false">IF(D11&gt;0,E11/D11,)</f>
        <v>0</v>
      </c>
      <c r="I11" s="1" t="n">
        <v>101</v>
      </c>
      <c r="J11" s="1" t="n">
        <v>101</v>
      </c>
      <c r="K11" s="1" t="n">
        <v>101</v>
      </c>
      <c r="L11" s="1" t="n">
        <v>101</v>
      </c>
      <c r="M11" s="1" t="n">
        <v>101</v>
      </c>
      <c r="N11" s="1" t="n">
        <v>101</v>
      </c>
      <c r="O11" s="1" t="n">
        <v>101</v>
      </c>
      <c r="P11" s="1" t="n">
        <v>101</v>
      </c>
      <c r="Q11" s="1" t="n">
        <v>101</v>
      </c>
      <c r="R11" s="1" t="n">
        <v>101</v>
      </c>
      <c r="S11" s="1" t="n">
        <v>101</v>
      </c>
      <c r="T11" s="1" t="n">
        <v>101</v>
      </c>
      <c r="U11" s="1" t="n">
        <v>101</v>
      </c>
      <c r="V11" s="1" t="n">
        <v>101</v>
      </c>
      <c r="W11" s="1" t="n">
        <v>101</v>
      </c>
      <c r="X11" s="1" t="n">
        <v>101</v>
      </c>
      <c r="Y11" s="1" t="n">
        <v>101</v>
      </c>
      <c r="Z11" s="1" t="n">
        <v>101</v>
      </c>
      <c r="AA11" s="1" t="n">
        <v>101</v>
      </c>
      <c r="AB11" s="1" t="n">
        <v>101</v>
      </c>
      <c r="AC11" s="1" t="n">
        <v>101</v>
      </c>
      <c r="AD11" s="1" t="n">
        <v>101</v>
      </c>
      <c r="AE11" s="1" t="n">
        <v>101</v>
      </c>
      <c r="AF11" s="1" t="n">
        <v>101</v>
      </c>
      <c r="AG11" s="1" t="n">
        <v>101</v>
      </c>
      <c r="AH11" s="1" t="n">
        <v>101</v>
      </c>
      <c r="AI11" s="1" t="n">
        <v>101</v>
      </c>
      <c r="AJ11" s="1" t="n">
        <v>101</v>
      </c>
      <c r="AK11" s="1" t="n">
        <v>101</v>
      </c>
      <c r="AL11" s="1" t="n">
        <v>101</v>
      </c>
      <c r="AM11" s="1" t="n">
        <v>101</v>
      </c>
      <c r="AN11" s="1" t="n">
        <v>101</v>
      </c>
      <c r="AO11" s="1"/>
      <c r="AP11" s="1"/>
      <c r="AQ11" s="1"/>
    </row>
    <row r="12" customFormat="false" ht="15" hidden="false" customHeight="false" outlineLevel="0" collapsed="false">
      <c r="A12" s="1" t="n">
        <v>509</v>
      </c>
      <c r="D12" s="31" t="n">
        <f aca="false">COUNTIFS(I12:AQ12,"&gt;0",I12:AQ12,"&lt;101")</f>
        <v>0</v>
      </c>
      <c r="E12" s="31" t="n">
        <f aca="true">INDIRECT("'Stammdaten - Schwimmer'!F"&amp;(I12+3))+INDIRECT("'Stammdaten - Schwimmer'!F"&amp;(J12+3))+INDIRECT("'Stammdaten - Schwimmer'!F"&amp;(K12+3))+INDIRECT("'Stammdaten - Schwimmer'!F"&amp;(L12+3))+INDIRECT("'Stammdaten - Schwimmer'!F"&amp;(M12+3))+INDIRECT("'Stammdaten - Schwimmer'!F"&amp;(N12+3))+INDIRECT("'Stammdaten - Schwimmer'!F"&amp;O12+3)+INDIRECT("'Stammdaten - Schwimmer'!F"&amp;(P12+3))+INDIRECT("'Stammdaten - Schwimmer'!F"&amp;(Q12+3))+INDIRECT("'Stammdaten - Schwimmer'!F"&amp;(R12+3))+INDIRECT("'Stammdaten - Schwimmer'!F"&amp;(S12+3))+INDIRECT("'Stammdaten - Schwimmer'!F"&amp;(T12+3))+INDIRECT("'Stammdaten - Schwimmer'!F"&amp;(U12+3))+INDIRECT("'Stammdaten - Schwimmer'!F"&amp;(V12+3))+INDIRECT("'Stammdaten - Schwimmer'!F"&amp;(W12+3))+INDIRECT("'Stammdaten - Schwimmer'!F"&amp;(X12+3))+INDIRECT("'Stammdaten - Schwimmer'!F"&amp;(Y12+3))+INDIRECT("'Stammdaten - Schwimmer'!F"&amp;(Z12+3))+INDIRECT("'Stammdaten - Schwimmer'!F"&amp;(AA12+3))+INDIRECT("'Stammdaten - Schwimmer'!F"&amp;(AB12+3))+INDIRECT("'Stammdaten - Schwimmer'!F"&amp;(AC12+3))+INDIRECT("'Stammdaten - Schwimmer'!F"&amp;(AD12+3))+INDIRECT("'Stammdaten - Schwimmer'!F"&amp;(AE12+3))+INDIRECT("'Stammdaten - Schwimmer'!F"&amp;(AF12+3))+INDIRECT("'Stammdaten - Schwimmer'!F"&amp;(AG12+3))</f>
        <v>0</v>
      </c>
      <c r="F12" s="2"/>
      <c r="G12" s="32" t="n">
        <f aca="false">E12*F12</f>
        <v>0</v>
      </c>
      <c r="H12" s="33" t="n">
        <f aca="false">IF(D12&gt;0,E12/D12,)</f>
        <v>0</v>
      </c>
      <c r="I12" s="1" t="n">
        <v>101</v>
      </c>
      <c r="J12" s="1" t="n">
        <v>101</v>
      </c>
      <c r="K12" s="1" t="n">
        <v>101</v>
      </c>
      <c r="L12" s="1" t="n">
        <v>101</v>
      </c>
      <c r="M12" s="1" t="n">
        <v>101</v>
      </c>
      <c r="N12" s="1" t="n">
        <v>101</v>
      </c>
      <c r="O12" s="1" t="n">
        <v>101</v>
      </c>
      <c r="P12" s="1" t="n">
        <v>101</v>
      </c>
      <c r="Q12" s="1" t="n">
        <v>101</v>
      </c>
      <c r="R12" s="1" t="n">
        <v>101</v>
      </c>
      <c r="S12" s="1" t="n">
        <v>101</v>
      </c>
      <c r="T12" s="1" t="n">
        <v>101</v>
      </c>
      <c r="U12" s="1" t="n">
        <v>101</v>
      </c>
      <c r="V12" s="1" t="n">
        <v>101</v>
      </c>
      <c r="W12" s="1" t="n">
        <v>101</v>
      </c>
      <c r="X12" s="1" t="n">
        <v>101</v>
      </c>
      <c r="Y12" s="1" t="n">
        <v>101</v>
      </c>
      <c r="Z12" s="1" t="n">
        <v>101</v>
      </c>
      <c r="AA12" s="1" t="n">
        <v>101</v>
      </c>
      <c r="AB12" s="1" t="n">
        <v>101</v>
      </c>
      <c r="AC12" s="1" t="n">
        <v>101</v>
      </c>
      <c r="AD12" s="1" t="n">
        <v>101</v>
      </c>
      <c r="AE12" s="1" t="n">
        <v>101</v>
      </c>
      <c r="AF12" s="1" t="n">
        <v>101</v>
      </c>
      <c r="AG12" s="1" t="n">
        <v>101</v>
      </c>
      <c r="AH12" s="1" t="n">
        <v>101</v>
      </c>
      <c r="AI12" s="1" t="n">
        <v>101</v>
      </c>
      <c r="AJ12" s="1" t="n">
        <v>101</v>
      </c>
      <c r="AK12" s="1" t="n">
        <v>101</v>
      </c>
      <c r="AL12" s="1" t="n">
        <v>101</v>
      </c>
      <c r="AM12" s="1" t="n">
        <v>101</v>
      </c>
      <c r="AN12" s="1" t="n">
        <v>101</v>
      </c>
      <c r="AO12" s="1"/>
      <c r="AP12" s="1"/>
      <c r="AQ12" s="1"/>
    </row>
    <row r="13" customFormat="false" ht="15" hidden="false" customHeight="false" outlineLevel="0" collapsed="false">
      <c r="A13" s="1" t="n">
        <v>510</v>
      </c>
      <c r="D13" s="31" t="n">
        <f aca="false">COUNTIFS(I13:AQ13,"&gt;0",I13:AQ13,"&lt;101")</f>
        <v>0</v>
      </c>
      <c r="E13" s="31" t="n">
        <f aca="true">INDIRECT("'Stammdaten - Schwimmer'!F"&amp;(I13+3))+INDIRECT("'Stammdaten - Schwimmer'!F"&amp;(J13+3))+INDIRECT("'Stammdaten - Schwimmer'!F"&amp;(K13+3))+INDIRECT("'Stammdaten - Schwimmer'!F"&amp;(L13+3))+INDIRECT("'Stammdaten - Schwimmer'!F"&amp;(M13+3))+INDIRECT("'Stammdaten - Schwimmer'!F"&amp;(N13+3))+INDIRECT("'Stammdaten - Schwimmer'!F"&amp;O13+3)+INDIRECT("'Stammdaten - Schwimmer'!F"&amp;(P13+3))+INDIRECT("'Stammdaten - Schwimmer'!F"&amp;(Q13+3))+INDIRECT("'Stammdaten - Schwimmer'!F"&amp;(R13+3))+INDIRECT("'Stammdaten - Schwimmer'!F"&amp;(S13+3))+INDIRECT("'Stammdaten - Schwimmer'!F"&amp;(T13+3))+INDIRECT("'Stammdaten - Schwimmer'!F"&amp;(U13+3))+INDIRECT("'Stammdaten - Schwimmer'!F"&amp;(V13+3))+INDIRECT("'Stammdaten - Schwimmer'!F"&amp;(W13+3))+INDIRECT("'Stammdaten - Schwimmer'!F"&amp;(X13+3))+INDIRECT("'Stammdaten - Schwimmer'!F"&amp;(Y13+3))+INDIRECT("'Stammdaten - Schwimmer'!F"&amp;(Z13+3))+INDIRECT("'Stammdaten - Schwimmer'!F"&amp;(AA13+3))+INDIRECT("'Stammdaten - Schwimmer'!F"&amp;(AB13+3))+INDIRECT("'Stammdaten - Schwimmer'!F"&amp;(AC13+3))+INDIRECT("'Stammdaten - Schwimmer'!F"&amp;(AD13+3))+INDIRECT("'Stammdaten - Schwimmer'!F"&amp;(AE13+3))+INDIRECT("'Stammdaten - Schwimmer'!F"&amp;(AF13+3))+INDIRECT("'Stammdaten - Schwimmer'!F"&amp;(AG13+3))</f>
        <v>0</v>
      </c>
      <c r="F13" s="2"/>
      <c r="G13" s="32" t="n">
        <f aca="false">E13*F13</f>
        <v>0</v>
      </c>
      <c r="H13" s="33" t="n">
        <f aca="false">IF(D13&gt;0,E13/D13,)</f>
        <v>0</v>
      </c>
      <c r="I13" s="1" t="n">
        <v>101</v>
      </c>
      <c r="J13" s="1" t="n">
        <v>101</v>
      </c>
      <c r="K13" s="1" t="n">
        <v>101</v>
      </c>
      <c r="L13" s="1" t="n">
        <v>101</v>
      </c>
      <c r="M13" s="1" t="n">
        <v>101</v>
      </c>
      <c r="N13" s="1" t="n">
        <v>101</v>
      </c>
      <c r="O13" s="1" t="n">
        <v>101</v>
      </c>
      <c r="P13" s="1" t="n">
        <v>101</v>
      </c>
      <c r="Q13" s="1" t="n">
        <v>101</v>
      </c>
      <c r="R13" s="1" t="n">
        <v>101</v>
      </c>
      <c r="S13" s="1" t="n">
        <v>101</v>
      </c>
      <c r="T13" s="1" t="n">
        <v>101</v>
      </c>
      <c r="U13" s="1" t="n">
        <v>101</v>
      </c>
      <c r="V13" s="1" t="n">
        <v>101</v>
      </c>
      <c r="W13" s="1" t="n">
        <v>101</v>
      </c>
      <c r="X13" s="1" t="n">
        <v>101</v>
      </c>
      <c r="Y13" s="1" t="n">
        <v>101</v>
      </c>
      <c r="Z13" s="1" t="n">
        <v>101</v>
      </c>
      <c r="AA13" s="1" t="n">
        <v>101</v>
      </c>
      <c r="AB13" s="1" t="n">
        <v>101</v>
      </c>
      <c r="AC13" s="1" t="n">
        <v>101</v>
      </c>
      <c r="AD13" s="1" t="n">
        <v>101</v>
      </c>
      <c r="AE13" s="1" t="n">
        <v>101</v>
      </c>
      <c r="AF13" s="1" t="n">
        <v>101</v>
      </c>
      <c r="AG13" s="1" t="n">
        <v>101</v>
      </c>
      <c r="AH13" s="1" t="n">
        <v>101</v>
      </c>
      <c r="AI13" s="1" t="n">
        <v>101</v>
      </c>
      <c r="AJ13" s="1" t="n">
        <v>101</v>
      </c>
      <c r="AK13" s="1" t="n">
        <v>101</v>
      </c>
      <c r="AL13" s="1" t="n">
        <v>101</v>
      </c>
      <c r="AM13" s="1" t="n">
        <v>101</v>
      </c>
      <c r="AN13" s="1" t="n">
        <v>101</v>
      </c>
      <c r="AO13" s="1"/>
      <c r="AP13" s="1"/>
      <c r="AQ13" s="1"/>
    </row>
    <row r="14" customFormat="false" ht="15" hidden="false" customHeight="false" outlineLevel="0" collapsed="false">
      <c r="A14" s="1" t="n">
        <v>511</v>
      </c>
      <c r="D14" s="31" t="n">
        <f aca="false">COUNTIFS(I14:AQ14,"&gt;0",I14:AQ14,"&lt;101")</f>
        <v>0</v>
      </c>
      <c r="E14" s="31" t="n">
        <f aca="true">INDIRECT("'Stammdaten - Schwimmer'!F"&amp;(I14+3))+INDIRECT("'Stammdaten - Schwimmer'!F"&amp;(J14+3))+INDIRECT("'Stammdaten - Schwimmer'!F"&amp;(K14+3))+INDIRECT("'Stammdaten - Schwimmer'!F"&amp;(L14+3))+INDIRECT("'Stammdaten - Schwimmer'!F"&amp;(M14+3))+INDIRECT("'Stammdaten - Schwimmer'!F"&amp;(N14+3))+INDIRECT("'Stammdaten - Schwimmer'!F"&amp;O14+3)+INDIRECT("'Stammdaten - Schwimmer'!F"&amp;(P14+3))+INDIRECT("'Stammdaten - Schwimmer'!F"&amp;(Q14+3))+INDIRECT("'Stammdaten - Schwimmer'!F"&amp;(R14+3))+INDIRECT("'Stammdaten - Schwimmer'!F"&amp;(S14+3))+INDIRECT("'Stammdaten - Schwimmer'!F"&amp;(T14+3))+INDIRECT("'Stammdaten - Schwimmer'!F"&amp;(U14+3))+INDIRECT("'Stammdaten - Schwimmer'!F"&amp;(V14+3))+INDIRECT("'Stammdaten - Schwimmer'!F"&amp;(W14+3))+INDIRECT("'Stammdaten - Schwimmer'!F"&amp;(X14+3))+INDIRECT("'Stammdaten - Schwimmer'!F"&amp;(Y14+3))+INDIRECT("'Stammdaten - Schwimmer'!F"&amp;(Z14+3))+INDIRECT("'Stammdaten - Schwimmer'!F"&amp;(AA14+3))+INDIRECT("'Stammdaten - Schwimmer'!F"&amp;(AB14+3))+INDIRECT("'Stammdaten - Schwimmer'!F"&amp;(AC14+3))+INDIRECT("'Stammdaten - Schwimmer'!F"&amp;(AD14+3))+INDIRECT("'Stammdaten - Schwimmer'!F"&amp;(AE14+3))+INDIRECT("'Stammdaten - Schwimmer'!F"&amp;(AF14+3))+INDIRECT("'Stammdaten - Schwimmer'!F"&amp;(AG14+3))</f>
        <v>0</v>
      </c>
      <c r="F14" s="2"/>
      <c r="G14" s="32" t="n">
        <f aca="false">E14*F14</f>
        <v>0</v>
      </c>
      <c r="H14" s="33" t="n">
        <f aca="false">IF(D14&gt;0,E14/D14,)</f>
        <v>0</v>
      </c>
      <c r="I14" s="1" t="n">
        <v>101</v>
      </c>
      <c r="J14" s="1" t="n">
        <v>101</v>
      </c>
      <c r="K14" s="1" t="n">
        <v>101</v>
      </c>
      <c r="L14" s="1" t="n">
        <v>101</v>
      </c>
      <c r="M14" s="1" t="n">
        <v>101</v>
      </c>
      <c r="N14" s="1" t="n">
        <v>101</v>
      </c>
      <c r="O14" s="1" t="n">
        <v>101</v>
      </c>
      <c r="P14" s="1" t="n">
        <v>101</v>
      </c>
      <c r="Q14" s="1" t="n">
        <v>101</v>
      </c>
      <c r="R14" s="1" t="n">
        <v>101</v>
      </c>
      <c r="S14" s="1" t="n">
        <v>101</v>
      </c>
      <c r="T14" s="1" t="n">
        <v>101</v>
      </c>
      <c r="U14" s="1" t="n">
        <v>101</v>
      </c>
      <c r="V14" s="1" t="n">
        <v>101</v>
      </c>
      <c r="W14" s="1" t="n">
        <v>101</v>
      </c>
      <c r="X14" s="1" t="n">
        <v>101</v>
      </c>
      <c r="Y14" s="1" t="n">
        <v>101</v>
      </c>
      <c r="Z14" s="1" t="n">
        <v>101</v>
      </c>
      <c r="AA14" s="1" t="n">
        <v>101</v>
      </c>
      <c r="AB14" s="1" t="n">
        <v>101</v>
      </c>
      <c r="AC14" s="1" t="n">
        <v>101</v>
      </c>
      <c r="AD14" s="1" t="n">
        <v>101</v>
      </c>
      <c r="AE14" s="1" t="n">
        <v>101</v>
      </c>
      <c r="AF14" s="1" t="n">
        <v>101</v>
      </c>
      <c r="AG14" s="1" t="n">
        <v>101</v>
      </c>
      <c r="AH14" s="1" t="n">
        <v>101</v>
      </c>
      <c r="AI14" s="1" t="n">
        <v>101</v>
      </c>
      <c r="AJ14" s="1" t="n">
        <v>101</v>
      </c>
      <c r="AK14" s="1" t="n">
        <v>101</v>
      </c>
      <c r="AL14" s="1" t="n">
        <v>101</v>
      </c>
      <c r="AM14" s="1" t="n">
        <v>101</v>
      </c>
      <c r="AN14" s="1" t="n">
        <v>101</v>
      </c>
      <c r="AO14" s="1"/>
      <c r="AP14" s="1"/>
      <c r="AQ14" s="1"/>
    </row>
    <row r="15" customFormat="false" ht="15" hidden="false" customHeight="false" outlineLevel="0" collapsed="false">
      <c r="A15" s="1" t="n">
        <v>512</v>
      </c>
      <c r="D15" s="31" t="n">
        <f aca="false">COUNTIFS(I15:AQ15,"&gt;0",I15:AQ15,"&lt;101")</f>
        <v>0</v>
      </c>
      <c r="E15" s="31" t="n">
        <f aca="true">INDIRECT("'Stammdaten - Schwimmer'!F"&amp;(I15+3))+INDIRECT("'Stammdaten - Schwimmer'!F"&amp;(J15+3))+INDIRECT("'Stammdaten - Schwimmer'!F"&amp;(K15+3))+INDIRECT("'Stammdaten - Schwimmer'!F"&amp;(L15+3))+INDIRECT("'Stammdaten - Schwimmer'!F"&amp;(M15+3))+INDIRECT("'Stammdaten - Schwimmer'!F"&amp;(N15+3))+INDIRECT("'Stammdaten - Schwimmer'!F"&amp;O15+3)+INDIRECT("'Stammdaten - Schwimmer'!F"&amp;(P15+3))+INDIRECT("'Stammdaten - Schwimmer'!F"&amp;(Q15+3))+INDIRECT("'Stammdaten - Schwimmer'!F"&amp;(R15+3))+INDIRECT("'Stammdaten - Schwimmer'!F"&amp;(S15+3))+INDIRECT("'Stammdaten - Schwimmer'!F"&amp;(T15+3))+INDIRECT("'Stammdaten - Schwimmer'!F"&amp;(U15+3))+INDIRECT("'Stammdaten - Schwimmer'!F"&amp;(V15+3))+INDIRECT("'Stammdaten - Schwimmer'!F"&amp;(W15+3))+INDIRECT("'Stammdaten - Schwimmer'!F"&amp;(X15+3))+INDIRECT("'Stammdaten - Schwimmer'!F"&amp;(Y15+3))+INDIRECT("'Stammdaten - Schwimmer'!F"&amp;(Z15+3))+INDIRECT("'Stammdaten - Schwimmer'!F"&amp;(AA15+3))+INDIRECT("'Stammdaten - Schwimmer'!F"&amp;(AB15+3))+INDIRECT("'Stammdaten - Schwimmer'!F"&amp;(AC15+3))+INDIRECT("'Stammdaten - Schwimmer'!F"&amp;(AD15+3))+INDIRECT("'Stammdaten - Schwimmer'!F"&amp;(AE15+3))+INDIRECT("'Stammdaten - Schwimmer'!F"&amp;(AF15+3))+INDIRECT("'Stammdaten - Schwimmer'!F"&amp;(AG15+3))</f>
        <v>0</v>
      </c>
      <c r="F15" s="2"/>
      <c r="G15" s="32" t="n">
        <f aca="false">E15*F15</f>
        <v>0</v>
      </c>
      <c r="H15" s="33" t="n">
        <f aca="false">IF(D15&gt;0,E15/D15,)</f>
        <v>0</v>
      </c>
      <c r="I15" s="1" t="n">
        <v>101</v>
      </c>
      <c r="J15" s="1" t="n">
        <v>101</v>
      </c>
      <c r="K15" s="1" t="n">
        <v>101</v>
      </c>
      <c r="L15" s="1" t="n">
        <v>101</v>
      </c>
      <c r="M15" s="1" t="n">
        <v>101</v>
      </c>
      <c r="N15" s="1" t="n">
        <v>101</v>
      </c>
      <c r="O15" s="1" t="n">
        <v>101</v>
      </c>
      <c r="P15" s="1" t="n">
        <v>101</v>
      </c>
      <c r="Q15" s="1" t="n">
        <v>101</v>
      </c>
      <c r="R15" s="1" t="n">
        <v>101</v>
      </c>
      <c r="S15" s="1" t="n">
        <v>101</v>
      </c>
      <c r="T15" s="1" t="n">
        <v>101</v>
      </c>
      <c r="U15" s="1" t="n">
        <v>101</v>
      </c>
      <c r="V15" s="1" t="n">
        <v>101</v>
      </c>
      <c r="W15" s="1" t="n">
        <v>101</v>
      </c>
      <c r="X15" s="1" t="n">
        <v>101</v>
      </c>
      <c r="Y15" s="1" t="n">
        <v>101</v>
      </c>
      <c r="Z15" s="1" t="n">
        <v>101</v>
      </c>
      <c r="AA15" s="1" t="n">
        <v>101</v>
      </c>
      <c r="AB15" s="1" t="n">
        <v>101</v>
      </c>
      <c r="AC15" s="1" t="n">
        <v>101</v>
      </c>
      <c r="AD15" s="1" t="n">
        <v>101</v>
      </c>
      <c r="AE15" s="1" t="n">
        <v>101</v>
      </c>
      <c r="AF15" s="1" t="n">
        <v>101</v>
      </c>
      <c r="AG15" s="1" t="n">
        <v>101</v>
      </c>
      <c r="AH15" s="1" t="n">
        <v>101</v>
      </c>
      <c r="AI15" s="1" t="n">
        <v>101</v>
      </c>
      <c r="AJ15" s="1" t="n">
        <v>101</v>
      </c>
      <c r="AK15" s="1" t="n">
        <v>101</v>
      </c>
      <c r="AL15" s="1" t="n">
        <v>101</v>
      </c>
      <c r="AM15" s="1" t="n">
        <v>101</v>
      </c>
      <c r="AN15" s="1" t="n">
        <v>101</v>
      </c>
      <c r="AO15" s="1"/>
      <c r="AP15" s="1"/>
      <c r="AQ15" s="1"/>
    </row>
    <row r="16" customFormat="false" ht="15" hidden="false" customHeight="false" outlineLevel="0" collapsed="false">
      <c r="A16" s="1" t="n">
        <v>513</v>
      </c>
      <c r="D16" s="31" t="n">
        <f aca="false">COUNTIFS(I16:AQ16,"&gt;0",I16:AQ16,"&lt;101")</f>
        <v>0</v>
      </c>
      <c r="E16" s="31" t="n">
        <f aca="true">INDIRECT("'Stammdaten - Schwimmer'!F"&amp;(I16+3))+INDIRECT("'Stammdaten - Schwimmer'!F"&amp;(J16+3))+INDIRECT("'Stammdaten - Schwimmer'!F"&amp;(K16+3))+INDIRECT("'Stammdaten - Schwimmer'!F"&amp;(L16+3))+INDIRECT("'Stammdaten - Schwimmer'!F"&amp;(M16+3))+INDIRECT("'Stammdaten - Schwimmer'!F"&amp;(N16+3))+INDIRECT("'Stammdaten - Schwimmer'!F"&amp;O16+3)+INDIRECT("'Stammdaten - Schwimmer'!F"&amp;(P16+3))+INDIRECT("'Stammdaten - Schwimmer'!F"&amp;(Q16+3))+INDIRECT("'Stammdaten - Schwimmer'!F"&amp;(R16+3))+INDIRECT("'Stammdaten - Schwimmer'!F"&amp;(S16+3))+INDIRECT("'Stammdaten - Schwimmer'!F"&amp;(T16+3))+INDIRECT("'Stammdaten - Schwimmer'!F"&amp;(U16+3))+INDIRECT("'Stammdaten - Schwimmer'!F"&amp;(V16+3))+INDIRECT("'Stammdaten - Schwimmer'!F"&amp;(W16+3))+INDIRECT("'Stammdaten - Schwimmer'!F"&amp;(X16+3))+INDIRECT("'Stammdaten - Schwimmer'!F"&amp;(Y16+3))+INDIRECT("'Stammdaten - Schwimmer'!F"&amp;(Z16+3))+INDIRECT("'Stammdaten - Schwimmer'!F"&amp;(AA16+3))+INDIRECT("'Stammdaten - Schwimmer'!F"&amp;(AB16+3))+INDIRECT("'Stammdaten - Schwimmer'!F"&amp;(AC16+3))+INDIRECT("'Stammdaten - Schwimmer'!F"&amp;(AD16+3))+INDIRECT("'Stammdaten - Schwimmer'!F"&amp;(AE16+3))+INDIRECT("'Stammdaten - Schwimmer'!F"&amp;(AF16+3))+INDIRECT("'Stammdaten - Schwimmer'!F"&amp;(AG16+3))</f>
        <v>0</v>
      </c>
      <c r="F16" s="2"/>
      <c r="G16" s="32" t="n">
        <f aca="false">E16*F16</f>
        <v>0</v>
      </c>
      <c r="H16" s="33" t="n">
        <f aca="false">IF(D16&gt;0,E16/D16,)</f>
        <v>0</v>
      </c>
      <c r="I16" s="1" t="n">
        <v>101</v>
      </c>
      <c r="J16" s="1" t="n">
        <v>101</v>
      </c>
      <c r="K16" s="1" t="n">
        <v>101</v>
      </c>
      <c r="L16" s="1" t="n">
        <v>101</v>
      </c>
      <c r="M16" s="1" t="n">
        <v>101</v>
      </c>
      <c r="N16" s="1" t="n">
        <v>101</v>
      </c>
      <c r="O16" s="1" t="n">
        <v>101</v>
      </c>
      <c r="P16" s="1" t="n">
        <v>101</v>
      </c>
      <c r="Q16" s="1" t="n">
        <v>101</v>
      </c>
      <c r="R16" s="1" t="n">
        <v>101</v>
      </c>
      <c r="S16" s="1" t="n">
        <v>101</v>
      </c>
      <c r="T16" s="1" t="n">
        <v>101</v>
      </c>
      <c r="U16" s="1" t="n">
        <v>101</v>
      </c>
      <c r="V16" s="1" t="n">
        <v>101</v>
      </c>
      <c r="W16" s="1" t="n">
        <v>101</v>
      </c>
      <c r="X16" s="1" t="n">
        <v>101</v>
      </c>
      <c r="Y16" s="1" t="n">
        <v>101</v>
      </c>
      <c r="Z16" s="1" t="n">
        <v>101</v>
      </c>
      <c r="AA16" s="1" t="n">
        <v>101</v>
      </c>
      <c r="AB16" s="1" t="n">
        <v>101</v>
      </c>
      <c r="AC16" s="1" t="n">
        <v>101</v>
      </c>
      <c r="AD16" s="1" t="n">
        <v>101</v>
      </c>
      <c r="AE16" s="1" t="n">
        <v>101</v>
      </c>
      <c r="AF16" s="1" t="n">
        <v>101</v>
      </c>
      <c r="AG16" s="1" t="n">
        <v>101</v>
      </c>
      <c r="AH16" s="1" t="n">
        <v>101</v>
      </c>
      <c r="AI16" s="1" t="n">
        <v>101</v>
      </c>
      <c r="AJ16" s="1" t="n">
        <v>101</v>
      </c>
      <c r="AK16" s="1" t="n">
        <v>101</v>
      </c>
      <c r="AL16" s="1" t="n">
        <v>101</v>
      </c>
      <c r="AM16" s="1" t="n">
        <v>101</v>
      </c>
      <c r="AN16" s="1" t="n">
        <v>101</v>
      </c>
      <c r="AO16" s="1"/>
      <c r="AP16" s="1"/>
      <c r="AQ16" s="1"/>
    </row>
    <row r="17" customFormat="false" ht="15" hidden="false" customHeight="false" outlineLevel="0" collapsed="false">
      <c r="A17" s="1" t="n">
        <v>514</v>
      </c>
      <c r="D17" s="31" t="n">
        <f aca="false">COUNTIFS(I17:AQ17,"&gt;0",I17:AQ17,"&lt;101")</f>
        <v>0</v>
      </c>
      <c r="E17" s="31" t="n">
        <f aca="true">INDIRECT("'Stammdaten - Schwimmer'!F"&amp;(I17+3))+INDIRECT("'Stammdaten - Schwimmer'!F"&amp;(J17+3))+INDIRECT("'Stammdaten - Schwimmer'!F"&amp;(K17+3))+INDIRECT("'Stammdaten - Schwimmer'!F"&amp;(L17+3))+INDIRECT("'Stammdaten - Schwimmer'!F"&amp;(M17+3))+INDIRECT("'Stammdaten - Schwimmer'!F"&amp;(N17+3))+INDIRECT("'Stammdaten - Schwimmer'!F"&amp;O17+3)+INDIRECT("'Stammdaten - Schwimmer'!F"&amp;(P17+3))+INDIRECT("'Stammdaten - Schwimmer'!F"&amp;(Q17+3))+INDIRECT("'Stammdaten - Schwimmer'!F"&amp;(R17+3))+INDIRECT("'Stammdaten - Schwimmer'!F"&amp;(S17+3))+INDIRECT("'Stammdaten - Schwimmer'!F"&amp;(T17+3))+INDIRECT("'Stammdaten - Schwimmer'!F"&amp;(U17+3))+INDIRECT("'Stammdaten - Schwimmer'!F"&amp;(V17+3))+INDIRECT("'Stammdaten - Schwimmer'!F"&amp;(W17+3))+INDIRECT("'Stammdaten - Schwimmer'!F"&amp;(X17+3))+INDIRECT("'Stammdaten - Schwimmer'!F"&amp;(Y17+3))+INDIRECT("'Stammdaten - Schwimmer'!F"&amp;(Z17+3))+INDIRECT("'Stammdaten - Schwimmer'!F"&amp;(AA17+3))+INDIRECT("'Stammdaten - Schwimmer'!F"&amp;(AB17+3))+INDIRECT("'Stammdaten - Schwimmer'!F"&amp;(AC17+3))+INDIRECT("'Stammdaten - Schwimmer'!F"&amp;(AD17+3))+INDIRECT("'Stammdaten - Schwimmer'!F"&amp;(AE17+3))+INDIRECT("'Stammdaten - Schwimmer'!F"&amp;(AF17+3))+INDIRECT("'Stammdaten - Schwimmer'!F"&amp;(AG17+3))</f>
        <v>0</v>
      </c>
      <c r="F17" s="2"/>
      <c r="G17" s="32" t="n">
        <f aca="false">E17*F17</f>
        <v>0</v>
      </c>
      <c r="H17" s="33" t="n">
        <f aca="false">IF(D17&gt;0,E17/D17,)</f>
        <v>0</v>
      </c>
      <c r="I17" s="1" t="n">
        <v>101</v>
      </c>
      <c r="J17" s="1" t="n">
        <v>101</v>
      </c>
      <c r="K17" s="1" t="n">
        <v>101</v>
      </c>
      <c r="L17" s="1" t="n">
        <v>101</v>
      </c>
      <c r="M17" s="1" t="n">
        <v>101</v>
      </c>
      <c r="N17" s="1" t="n">
        <v>101</v>
      </c>
      <c r="O17" s="1" t="n">
        <v>101</v>
      </c>
      <c r="P17" s="1" t="n">
        <v>101</v>
      </c>
      <c r="Q17" s="1" t="n">
        <v>101</v>
      </c>
      <c r="R17" s="1" t="n">
        <v>101</v>
      </c>
      <c r="S17" s="1" t="n">
        <v>101</v>
      </c>
      <c r="T17" s="1" t="n">
        <v>101</v>
      </c>
      <c r="U17" s="1" t="n">
        <v>101</v>
      </c>
      <c r="V17" s="1" t="n">
        <v>101</v>
      </c>
      <c r="W17" s="1" t="n">
        <v>101</v>
      </c>
      <c r="X17" s="1" t="n">
        <v>101</v>
      </c>
      <c r="Y17" s="1" t="n">
        <v>101</v>
      </c>
      <c r="Z17" s="1" t="n">
        <v>101</v>
      </c>
      <c r="AA17" s="1" t="n">
        <v>101</v>
      </c>
      <c r="AB17" s="1" t="n">
        <v>101</v>
      </c>
      <c r="AC17" s="1" t="n">
        <v>101</v>
      </c>
      <c r="AD17" s="1" t="n">
        <v>101</v>
      </c>
      <c r="AE17" s="1" t="n">
        <v>101</v>
      </c>
      <c r="AF17" s="1" t="n">
        <v>101</v>
      </c>
      <c r="AG17" s="1" t="n">
        <v>101</v>
      </c>
      <c r="AH17" s="1" t="n">
        <v>101</v>
      </c>
      <c r="AI17" s="1" t="n">
        <v>101</v>
      </c>
      <c r="AJ17" s="1" t="n">
        <v>101</v>
      </c>
      <c r="AK17" s="1" t="n">
        <v>101</v>
      </c>
      <c r="AL17" s="1" t="n">
        <v>101</v>
      </c>
      <c r="AM17" s="1" t="n">
        <v>101</v>
      </c>
      <c r="AN17" s="1" t="n">
        <v>101</v>
      </c>
      <c r="AO17" s="1"/>
      <c r="AP17" s="1"/>
      <c r="AQ17" s="1"/>
    </row>
    <row r="18" customFormat="false" ht="15" hidden="false" customHeight="false" outlineLevel="0" collapsed="false">
      <c r="A18" s="1" t="n">
        <v>515</v>
      </c>
      <c r="D18" s="31" t="n">
        <f aca="false">COUNTIFS(I18:AQ18,"&gt;0",I18:AQ18,"&lt;101")</f>
        <v>0</v>
      </c>
      <c r="E18" s="31" t="n">
        <f aca="true">INDIRECT("'Stammdaten - Schwimmer'!F"&amp;(I18+3))+INDIRECT("'Stammdaten - Schwimmer'!F"&amp;(J18+3))+INDIRECT("'Stammdaten - Schwimmer'!F"&amp;(K18+3))+INDIRECT("'Stammdaten - Schwimmer'!F"&amp;(L18+3))+INDIRECT("'Stammdaten - Schwimmer'!F"&amp;(M18+3))+INDIRECT("'Stammdaten - Schwimmer'!F"&amp;(N18+3))+INDIRECT("'Stammdaten - Schwimmer'!F"&amp;O18+3)+INDIRECT("'Stammdaten - Schwimmer'!F"&amp;(P18+3))+INDIRECT("'Stammdaten - Schwimmer'!F"&amp;(Q18+3))+INDIRECT("'Stammdaten - Schwimmer'!F"&amp;(R18+3))+INDIRECT("'Stammdaten - Schwimmer'!F"&amp;(S18+3))+INDIRECT("'Stammdaten - Schwimmer'!F"&amp;(T18+3))+INDIRECT("'Stammdaten - Schwimmer'!F"&amp;(U18+3))+INDIRECT("'Stammdaten - Schwimmer'!F"&amp;(V18+3))+INDIRECT("'Stammdaten - Schwimmer'!F"&amp;(W18+3))+INDIRECT("'Stammdaten - Schwimmer'!F"&amp;(X18+3))+INDIRECT("'Stammdaten - Schwimmer'!F"&amp;(Y18+3))+INDIRECT("'Stammdaten - Schwimmer'!F"&amp;(Z18+3))+INDIRECT("'Stammdaten - Schwimmer'!F"&amp;(AA18+3))+INDIRECT("'Stammdaten - Schwimmer'!F"&amp;(AB18+3))+INDIRECT("'Stammdaten - Schwimmer'!F"&amp;(AC18+3))+INDIRECT("'Stammdaten - Schwimmer'!F"&amp;(AD18+3))+INDIRECT("'Stammdaten - Schwimmer'!F"&amp;(AE18+3))+INDIRECT("'Stammdaten - Schwimmer'!F"&amp;(AF18+3))+INDIRECT("'Stammdaten - Schwimmer'!F"&amp;(AG18+3))</f>
        <v>0</v>
      </c>
      <c r="F18" s="2"/>
      <c r="G18" s="32" t="n">
        <f aca="false">E18*F18</f>
        <v>0</v>
      </c>
      <c r="H18" s="33" t="n">
        <f aca="false">IF(D18&gt;0,E18/D18,)</f>
        <v>0</v>
      </c>
      <c r="I18" s="1" t="n">
        <v>101</v>
      </c>
      <c r="J18" s="1" t="n">
        <v>101</v>
      </c>
      <c r="K18" s="1" t="n">
        <v>101</v>
      </c>
      <c r="L18" s="1" t="n">
        <v>101</v>
      </c>
      <c r="M18" s="1" t="n">
        <v>101</v>
      </c>
      <c r="N18" s="1" t="n">
        <v>101</v>
      </c>
      <c r="O18" s="1" t="n">
        <v>101</v>
      </c>
      <c r="P18" s="1" t="n">
        <v>101</v>
      </c>
      <c r="Q18" s="1" t="n">
        <v>101</v>
      </c>
      <c r="R18" s="1" t="n">
        <v>101</v>
      </c>
      <c r="S18" s="1" t="n">
        <v>101</v>
      </c>
      <c r="T18" s="1" t="n">
        <v>101</v>
      </c>
      <c r="U18" s="1" t="n">
        <v>101</v>
      </c>
      <c r="V18" s="1" t="n">
        <v>101</v>
      </c>
      <c r="W18" s="1" t="n">
        <v>101</v>
      </c>
      <c r="X18" s="1" t="n">
        <v>101</v>
      </c>
      <c r="Y18" s="1" t="n">
        <v>101</v>
      </c>
      <c r="Z18" s="1" t="n">
        <v>101</v>
      </c>
      <c r="AA18" s="1" t="n">
        <v>101</v>
      </c>
      <c r="AB18" s="1" t="n">
        <v>101</v>
      </c>
      <c r="AC18" s="1" t="n">
        <v>101</v>
      </c>
      <c r="AD18" s="1" t="n">
        <v>101</v>
      </c>
      <c r="AE18" s="1" t="n">
        <v>101</v>
      </c>
      <c r="AF18" s="1" t="n">
        <v>101</v>
      </c>
      <c r="AG18" s="1" t="n">
        <v>101</v>
      </c>
      <c r="AH18" s="1" t="n">
        <v>101</v>
      </c>
      <c r="AI18" s="1" t="n">
        <v>101</v>
      </c>
      <c r="AJ18" s="1" t="n">
        <v>101</v>
      </c>
      <c r="AK18" s="1" t="n">
        <v>101</v>
      </c>
      <c r="AL18" s="1" t="n">
        <v>101</v>
      </c>
      <c r="AM18" s="1" t="n">
        <v>101</v>
      </c>
      <c r="AN18" s="1" t="n">
        <v>101</v>
      </c>
      <c r="AO18" s="1"/>
      <c r="AP18" s="1"/>
      <c r="AQ18" s="1"/>
    </row>
    <row r="19" customFormat="false" ht="15" hidden="false" customHeight="false" outlineLevel="0" collapsed="false">
      <c r="A19" s="1" t="n">
        <v>516</v>
      </c>
      <c r="D19" s="31" t="n">
        <f aca="false">COUNTIFS(I19:AQ19,"&gt;0",I19:AQ19,"&lt;101")</f>
        <v>0</v>
      </c>
      <c r="E19" s="31" t="n">
        <f aca="true">INDIRECT("'Stammdaten - Schwimmer'!F"&amp;(I19+3))+INDIRECT("'Stammdaten - Schwimmer'!F"&amp;(J19+3))+INDIRECT("'Stammdaten - Schwimmer'!F"&amp;(K19+3))+INDIRECT("'Stammdaten - Schwimmer'!F"&amp;(L19+3))+INDIRECT("'Stammdaten - Schwimmer'!F"&amp;(M19+3))+INDIRECT("'Stammdaten - Schwimmer'!F"&amp;(N19+3))+INDIRECT("'Stammdaten - Schwimmer'!F"&amp;O19+3)+INDIRECT("'Stammdaten - Schwimmer'!F"&amp;(P19+3))+INDIRECT("'Stammdaten - Schwimmer'!F"&amp;(Q19+3))+INDIRECT("'Stammdaten - Schwimmer'!F"&amp;(R19+3))+INDIRECT("'Stammdaten - Schwimmer'!F"&amp;(S19+3))+INDIRECT("'Stammdaten - Schwimmer'!F"&amp;(T19+3))+INDIRECT("'Stammdaten - Schwimmer'!F"&amp;(U19+3))+INDIRECT("'Stammdaten - Schwimmer'!F"&amp;(V19+3))+INDIRECT("'Stammdaten - Schwimmer'!F"&amp;(W19+3))+INDIRECT("'Stammdaten - Schwimmer'!F"&amp;(X19+3))+INDIRECT("'Stammdaten - Schwimmer'!F"&amp;(Y19+3))+INDIRECT("'Stammdaten - Schwimmer'!F"&amp;(Z19+3))+INDIRECT("'Stammdaten - Schwimmer'!F"&amp;(AA19+3))+INDIRECT("'Stammdaten - Schwimmer'!F"&amp;(AB19+3))+INDIRECT("'Stammdaten - Schwimmer'!F"&amp;(AC19+3))+INDIRECT("'Stammdaten - Schwimmer'!F"&amp;(AD19+3))+INDIRECT("'Stammdaten - Schwimmer'!F"&amp;(AE19+3))+INDIRECT("'Stammdaten - Schwimmer'!F"&amp;(AF19+3))+INDIRECT("'Stammdaten - Schwimmer'!F"&amp;(AG19+3))</f>
        <v>0</v>
      </c>
      <c r="F19" s="2"/>
      <c r="G19" s="32" t="n">
        <f aca="false">E19*F19</f>
        <v>0</v>
      </c>
      <c r="H19" s="33" t="n">
        <f aca="false">IF(D19&gt;0,E19/D19,)</f>
        <v>0</v>
      </c>
      <c r="I19" s="1" t="n">
        <v>101</v>
      </c>
      <c r="J19" s="1" t="n">
        <v>101</v>
      </c>
      <c r="K19" s="1" t="n">
        <v>101</v>
      </c>
      <c r="L19" s="1" t="n">
        <v>101</v>
      </c>
      <c r="M19" s="1" t="n">
        <v>101</v>
      </c>
      <c r="N19" s="1" t="n">
        <v>101</v>
      </c>
      <c r="O19" s="1" t="n">
        <v>101</v>
      </c>
      <c r="P19" s="1" t="n">
        <v>101</v>
      </c>
      <c r="Q19" s="1" t="n">
        <v>101</v>
      </c>
      <c r="R19" s="1" t="n">
        <v>101</v>
      </c>
      <c r="S19" s="1" t="n">
        <v>101</v>
      </c>
      <c r="T19" s="1" t="n">
        <v>101</v>
      </c>
      <c r="U19" s="1" t="n">
        <v>101</v>
      </c>
      <c r="V19" s="1" t="n">
        <v>101</v>
      </c>
      <c r="W19" s="1" t="n">
        <v>101</v>
      </c>
      <c r="X19" s="1" t="n">
        <v>101</v>
      </c>
      <c r="Y19" s="1" t="n">
        <v>101</v>
      </c>
      <c r="Z19" s="1" t="n">
        <v>101</v>
      </c>
      <c r="AA19" s="1" t="n">
        <v>101</v>
      </c>
      <c r="AB19" s="1" t="n">
        <v>101</v>
      </c>
      <c r="AC19" s="1" t="n">
        <v>101</v>
      </c>
      <c r="AD19" s="1" t="n">
        <v>101</v>
      </c>
      <c r="AE19" s="1" t="n">
        <v>101</v>
      </c>
      <c r="AF19" s="1" t="n">
        <v>101</v>
      </c>
      <c r="AG19" s="1" t="n">
        <v>101</v>
      </c>
      <c r="AH19" s="1" t="n">
        <v>101</v>
      </c>
      <c r="AI19" s="1" t="n">
        <v>101</v>
      </c>
      <c r="AJ19" s="1" t="n">
        <v>101</v>
      </c>
      <c r="AK19" s="1" t="n">
        <v>101</v>
      </c>
      <c r="AL19" s="1" t="n">
        <v>101</v>
      </c>
      <c r="AM19" s="1" t="n">
        <v>101</v>
      </c>
      <c r="AN19" s="1" t="n">
        <v>101</v>
      </c>
      <c r="AO19" s="1"/>
      <c r="AP19" s="1"/>
      <c r="AQ19" s="1"/>
    </row>
    <row r="20" customFormat="false" ht="15" hidden="false" customHeight="false" outlineLevel="0" collapsed="false">
      <c r="A20" s="1" t="n">
        <v>517</v>
      </c>
      <c r="D20" s="31" t="n">
        <f aca="false">COUNTIFS(I20:AQ20,"&gt;0",I20:AQ20,"&lt;101")</f>
        <v>0</v>
      </c>
      <c r="E20" s="31" t="n">
        <f aca="true">INDIRECT("'Stammdaten - Schwimmer'!F"&amp;(I20+3))+INDIRECT("'Stammdaten - Schwimmer'!F"&amp;(J20+3))+INDIRECT("'Stammdaten - Schwimmer'!F"&amp;(K20+3))+INDIRECT("'Stammdaten - Schwimmer'!F"&amp;(L20+3))+INDIRECT("'Stammdaten - Schwimmer'!F"&amp;(M20+3))+INDIRECT("'Stammdaten - Schwimmer'!F"&amp;(N20+3))+INDIRECT("'Stammdaten - Schwimmer'!F"&amp;O20+3)+INDIRECT("'Stammdaten - Schwimmer'!F"&amp;(P20+3))+INDIRECT("'Stammdaten - Schwimmer'!F"&amp;(Q20+3))+INDIRECT("'Stammdaten - Schwimmer'!F"&amp;(R20+3))+INDIRECT("'Stammdaten - Schwimmer'!F"&amp;(S20+3))+INDIRECT("'Stammdaten - Schwimmer'!F"&amp;(T20+3))+INDIRECT("'Stammdaten - Schwimmer'!F"&amp;(U20+3))+INDIRECT("'Stammdaten - Schwimmer'!F"&amp;(V20+3))+INDIRECT("'Stammdaten - Schwimmer'!F"&amp;(W20+3))+INDIRECT("'Stammdaten - Schwimmer'!F"&amp;(X20+3))+INDIRECT("'Stammdaten - Schwimmer'!F"&amp;(Y20+3))+INDIRECT("'Stammdaten - Schwimmer'!F"&amp;(Z20+3))+INDIRECT("'Stammdaten - Schwimmer'!F"&amp;(AA20+3))+INDIRECT("'Stammdaten - Schwimmer'!F"&amp;(AB20+3))+INDIRECT("'Stammdaten - Schwimmer'!F"&amp;(AC20+3))+INDIRECT("'Stammdaten - Schwimmer'!F"&amp;(AD20+3))+INDIRECT("'Stammdaten - Schwimmer'!F"&amp;(AE20+3))+INDIRECT("'Stammdaten - Schwimmer'!F"&amp;(AF20+3))+INDIRECT("'Stammdaten - Schwimmer'!F"&amp;(AG20+3))</f>
        <v>0</v>
      </c>
      <c r="F20" s="2"/>
      <c r="G20" s="32" t="n">
        <f aca="false">E20*F20</f>
        <v>0</v>
      </c>
      <c r="H20" s="33" t="n">
        <f aca="false">IF(D20&gt;0,E20/D20,)</f>
        <v>0</v>
      </c>
      <c r="I20" s="1" t="n">
        <v>101</v>
      </c>
      <c r="J20" s="1" t="n">
        <v>101</v>
      </c>
      <c r="K20" s="1" t="n">
        <v>101</v>
      </c>
      <c r="L20" s="1" t="n">
        <v>101</v>
      </c>
      <c r="M20" s="1" t="n">
        <v>101</v>
      </c>
      <c r="N20" s="1" t="n">
        <v>101</v>
      </c>
      <c r="O20" s="1" t="n">
        <v>101</v>
      </c>
      <c r="P20" s="1" t="n">
        <v>101</v>
      </c>
      <c r="Q20" s="1" t="n">
        <v>101</v>
      </c>
      <c r="R20" s="1" t="n">
        <v>101</v>
      </c>
      <c r="S20" s="1" t="n">
        <v>101</v>
      </c>
      <c r="T20" s="1" t="n">
        <v>101</v>
      </c>
      <c r="U20" s="1" t="n">
        <v>101</v>
      </c>
      <c r="V20" s="1" t="n">
        <v>101</v>
      </c>
      <c r="W20" s="1" t="n">
        <v>101</v>
      </c>
      <c r="X20" s="1" t="n">
        <v>101</v>
      </c>
      <c r="Y20" s="1" t="n">
        <v>101</v>
      </c>
      <c r="Z20" s="1" t="n">
        <v>101</v>
      </c>
      <c r="AA20" s="1" t="n">
        <v>101</v>
      </c>
      <c r="AB20" s="1" t="n">
        <v>101</v>
      </c>
      <c r="AC20" s="1" t="n">
        <v>101</v>
      </c>
      <c r="AD20" s="1" t="n">
        <v>101</v>
      </c>
      <c r="AE20" s="1" t="n">
        <v>101</v>
      </c>
      <c r="AF20" s="1" t="n">
        <v>101</v>
      </c>
      <c r="AG20" s="1" t="n">
        <v>101</v>
      </c>
      <c r="AH20" s="1" t="n">
        <v>101</v>
      </c>
      <c r="AI20" s="1" t="n">
        <v>101</v>
      </c>
      <c r="AJ20" s="1" t="n">
        <v>101</v>
      </c>
      <c r="AK20" s="1" t="n">
        <v>101</v>
      </c>
      <c r="AL20" s="1" t="n">
        <v>101</v>
      </c>
      <c r="AM20" s="1" t="n">
        <v>101</v>
      </c>
      <c r="AN20" s="1" t="n">
        <v>101</v>
      </c>
      <c r="AO20" s="1"/>
      <c r="AP20" s="1"/>
      <c r="AQ20" s="1"/>
    </row>
    <row r="21" customFormat="false" ht="15" hidden="false" customHeight="false" outlineLevel="0" collapsed="false">
      <c r="A21" s="1" t="n">
        <v>518</v>
      </c>
      <c r="D21" s="31" t="n">
        <f aca="false">COUNTIFS(I21:AQ21,"&gt;0",I21:AQ21,"&lt;101")</f>
        <v>0</v>
      </c>
      <c r="E21" s="31" t="n">
        <f aca="true">INDIRECT("'Stammdaten - Schwimmer'!F"&amp;(I21+3))+INDIRECT("'Stammdaten - Schwimmer'!F"&amp;(J21+3))+INDIRECT("'Stammdaten - Schwimmer'!F"&amp;(K21+3))+INDIRECT("'Stammdaten - Schwimmer'!F"&amp;(L21+3))+INDIRECT("'Stammdaten - Schwimmer'!F"&amp;(M21+3))+INDIRECT("'Stammdaten - Schwimmer'!F"&amp;(N21+3))+INDIRECT("'Stammdaten - Schwimmer'!F"&amp;O21+3)+INDIRECT("'Stammdaten - Schwimmer'!F"&amp;(P21+3))+INDIRECT("'Stammdaten - Schwimmer'!F"&amp;(Q21+3))+INDIRECT("'Stammdaten - Schwimmer'!F"&amp;(R21+3))+INDIRECT("'Stammdaten - Schwimmer'!F"&amp;(S21+3))+INDIRECT("'Stammdaten - Schwimmer'!F"&amp;(T21+3))+INDIRECT("'Stammdaten - Schwimmer'!F"&amp;(U21+3))+INDIRECT("'Stammdaten - Schwimmer'!F"&amp;(V21+3))+INDIRECT("'Stammdaten - Schwimmer'!F"&amp;(W21+3))+INDIRECT("'Stammdaten - Schwimmer'!F"&amp;(X21+3))+INDIRECT("'Stammdaten - Schwimmer'!F"&amp;(Y21+3))+INDIRECT("'Stammdaten - Schwimmer'!F"&amp;(Z21+3))+INDIRECT("'Stammdaten - Schwimmer'!F"&amp;(AA21+3))+INDIRECT("'Stammdaten - Schwimmer'!F"&amp;(AB21+3))+INDIRECT("'Stammdaten - Schwimmer'!F"&amp;(AC21+3))+INDIRECT("'Stammdaten - Schwimmer'!F"&amp;(AD21+3))+INDIRECT("'Stammdaten - Schwimmer'!F"&amp;(AE21+3))+INDIRECT("'Stammdaten - Schwimmer'!F"&amp;(AF21+3))+INDIRECT("'Stammdaten - Schwimmer'!F"&amp;(AG21+3))</f>
        <v>0</v>
      </c>
      <c r="F21" s="2"/>
      <c r="G21" s="32" t="n">
        <f aca="false">E21*F21</f>
        <v>0</v>
      </c>
      <c r="H21" s="33" t="n">
        <f aca="false">IF(D21&gt;0,E21/D21,)</f>
        <v>0</v>
      </c>
      <c r="I21" s="1" t="n">
        <v>101</v>
      </c>
      <c r="J21" s="1" t="n">
        <v>101</v>
      </c>
      <c r="K21" s="1" t="n">
        <v>101</v>
      </c>
      <c r="L21" s="1" t="n">
        <v>101</v>
      </c>
      <c r="M21" s="1" t="n">
        <v>101</v>
      </c>
      <c r="N21" s="1" t="n">
        <v>101</v>
      </c>
      <c r="O21" s="1" t="n">
        <v>101</v>
      </c>
      <c r="P21" s="1" t="n">
        <v>101</v>
      </c>
      <c r="Q21" s="1" t="n">
        <v>101</v>
      </c>
      <c r="R21" s="1" t="n">
        <v>101</v>
      </c>
      <c r="S21" s="1" t="n">
        <v>101</v>
      </c>
      <c r="T21" s="1" t="n">
        <v>101</v>
      </c>
      <c r="U21" s="1" t="n">
        <v>101</v>
      </c>
      <c r="V21" s="1" t="n">
        <v>101</v>
      </c>
      <c r="W21" s="1" t="n">
        <v>101</v>
      </c>
      <c r="X21" s="1" t="n">
        <v>101</v>
      </c>
      <c r="Y21" s="1" t="n">
        <v>101</v>
      </c>
      <c r="Z21" s="1" t="n">
        <v>101</v>
      </c>
      <c r="AA21" s="1" t="n">
        <v>101</v>
      </c>
      <c r="AB21" s="1" t="n">
        <v>101</v>
      </c>
      <c r="AC21" s="1" t="n">
        <v>101</v>
      </c>
      <c r="AD21" s="1" t="n">
        <v>101</v>
      </c>
      <c r="AE21" s="1" t="n">
        <v>101</v>
      </c>
      <c r="AF21" s="1" t="n">
        <v>101</v>
      </c>
      <c r="AG21" s="1" t="n">
        <v>101</v>
      </c>
      <c r="AH21" s="1" t="n">
        <v>101</v>
      </c>
      <c r="AI21" s="1" t="n">
        <v>101</v>
      </c>
      <c r="AJ21" s="1" t="n">
        <v>101</v>
      </c>
      <c r="AK21" s="1" t="n">
        <v>101</v>
      </c>
      <c r="AL21" s="1" t="n">
        <v>101</v>
      </c>
      <c r="AM21" s="1" t="n">
        <v>101</v>
      </c>
      <c r="AN21" s="1" t="n">
        <v>101</v>
      </c>
      <c r="AO21" s="1"/>
      <c r="AP21" s="1"/>
      <c r="AQ21" s="1"/>
    </row>
    <row r="22" customFormat="false" ht="15" hidden="false" customHeight="false" outlineLevel="0" collapsed="false">
      <c r="A22" s="1" t="n">
        <v>519</v>
      </c>
      <c r="D22" s="31" t="n">
        <f aca="false">COUNTIFS(I22:AQ22,"&gt;0",I22:AQ22,"&lt;101")</f>
        <v>0</v>
      </c>
      <c r="E22" s="31" t="n">
        <f aca="true">INDIRECT("'Stammdaten - Schwimmer'!F"&amp;(I22+3))+INDIRECT("'Stammdaten - Schwimmer'!F"&amp;(J22+3))+INDIRECT("'Stammdaten - Schwimmer'!F"&amp;(K22+3))+INDIRECT("'Stammdaten - Schwimmer'!F"&amp;(L22+3))+INDIRECT("'Stammdaten - Schwimmer'!F"&amp;(M22+3))+INDIRECT("'Stammdaten - Schwimmer'!F"&amp;(N22+3))+INDIRECT("'Stammdaten - Schwimmer'!F"&amp;O22+3)+INDIRECT("'Stammdaten - Schwimmer'!F"&amp;(P22+3))+INDIRECT("'Stammdaten - Schwimmer'!F"&amp;(Q22+3))+INDIRECT("'Stammdaten - Schwimmer'!F"&amp;(R22+3))+INDIRECT("'Stammdaten - Schwimmer'!F"&amp;(S22+3))+INDIRECT("'Stammdaten - Schwimmer'!F"&amp;(T22+3))+INDIRECT("'Stammdaten - Schwimmer'!F"&amp;(U22+3))+INDIRECT("'Stammdaten - Schwimmer'!F"&amp;(V22+3))+INDIRECT("'Stammdaten - Schwimmer'!F"&amp;(W22+3))+INDIRECT("'Stammdaten - Schwimmer'!F"&amp;(X22+3))+INDIRECT("'Stammdaten - Schwimmer'!F"&amp;(Y22+3))+INDIRECT("'Stammdaten - Schwimmer'!F"&amp;(Z22+3))+INDIRECT("'Stammdaten - Schwimmer'!F"&amp;(AA22+3))+INDIRECT("'Stammdaten - Schwimmer'!F"&amp;(AB22+3))+INDIRECT("'Stammdaten - Schwimmer'!F"&amp;(AC22+3))+INDIRECT("'Stammdaten - Schwimmer'!F"&amp;(AD22+3))+INDIRECT("'Stammdaten - Schwimmer'!F"&amp;(AE22+3))+INDIRECT("'Stammdaten - Schwimmer'!F"&amp;(AF22+3))+INDIRECT("'Stammdaten - Schwimmer'!F"&amp;(AG22+3))</f>
        <v>0</v>
      </c>
      <c r="F22" s="2"/>
      <c r="G22" s="32" t="n">
        <f aca="false">E22*F22</f>
        <v>0</v>
      </c>
      <c r="H22" s="33" t="n">
        <f aca="false">IF(D22&gt;0,E22/D22,)</f>
        <v>0</v>
      </c>
      <c r="I22" s="1" t="n">
        <v>101</v>
      </c>
      <c r="J22" s="1" t="n">
        <v>101</v>
      </c>
      <c r="K22" s="1" t="n">
        <v>101</v>
      </c>
      <c r="L22" s="1" t="n">
        <v>101</v>
      </c>
      <c r="M22" s="1" t="n">
        <v>101</v>
      </c>
      <c r="N22" s="1" t="n">
        <v>101</v>
      </c>
      <c r="O22" s="1" t="n">
        <v>101</v>
      </c>
      <c r="P22" s="1" t="n">
        <v>101</v>
      </c>
      <c r="Q22" s="1" t="n">
        <v>101</v>
      </c>
      <c r="R22" s="1" t="n">
        <v>101</v>
      </c>
      <c r="S22" s="1" t="n">
        <v>101</v>
      </c>
      <c r="T22" s="1" t="n">
        <v>101</v>
      </c>
      <c r="U22" s="1" t="n">
        <v>101</v>
      </c>
      <c r="V22" s="1" t="n">
        <v>101</v>
      </c>
      <c r="W22" s="1" t="n">
        <v>101</v>
      </c>
      <c r="X22" s="1" t="n">
        <v>101</v>
      </c>
      <c r="Y22" s="1" t="n">
        <v>101</v>
      </c>
      <c r="Z22" s="1" t="n">
        <v>101</v>
      </c>
      <c r="AA22" s="1" t="n">
        <v>101</v>
      </c>
      <c r="AB22" s="1" t="n">
        <v>101</v>
      </c>
      <c r="AC22" s="1" t="n">
        <v>101</v>
      </c>
      <c r="AD22" s="1" t="n">
        <v>101</v>
      </c>
      <c r="AE22" s="1" t="n">
        <v>101</v>
      </c>
      <c r="AF22" s="1" t="n">
        <v>101</v>
      </c>
      <c r="AG22" s="1" t="n">
        <v>101</v>
      </c>
      <c r="AH22" s="1" t="n">
        <v>101</v>
      </c>
      <c r="AI22" s="1" t="n">
        <v>101</v>
      </c>
      <c r="AJ22" s="1" t="n">
        <v>101</v>
      </c>
      <c r="AK22" s="1" t="n">
        <v>101</v>
      </c>
      <c r="AL22" s="1" t="n">
        <v>101</v>
      </c>
      <c r="AM22" s="1" t="n">
        <v>101</v>
      </c>
      <c r="AN22" s="1" t="n">
        <v>101</v>
      </c>
      <c r="AO22" s="1"/>
      <c r="AP22" s="1"/>
      <c r="AQ22" s="1"/>
    </row>
    <row r="23" customFormat="false" ht="15" hidden="false" customHeight="false" outlineLevel="0" collapsed="false">
      <c r="A23" s="1" t="n">
        <v>520</v>
      </c>
      <c r="D23" s="31" t="n">
        <f aca="false">COUNTIFS(I23:AQ23,"&gt;0",I23:AQ23,"&lt;101")</f>
        <v>0</v>
      </c>
      <c r="E23" s="31" t="n">
        <f aca="true">INDIRECT("'Stammdaten - Schwimmer'!F"&amp;(I23+3))+INDIRECT("'Stammdaten - Schwimmer'!F"&amp;(J23+3))+INDIRECT("'Stammdaten - Schwimmer'!F"&amp;(K23+3))+INDIRECT("'Stammdaten - Schwimmer'!F"&amp;(L23+3))+INDIRECT("'Stammdaten - Schwimmer'!F"&amp;(M23+3))+INDIRECT("'Stammdaten - Schwimmer'!F"&amp;(N23+3))+INDIRECT("'Stammdaten - Schwimmer'!F"&amp;O23+3)+INDIRECT("'Stammdaten - Schwimmer'!F"&amp;(P23+3))+INDIRECT("'Stammdaten - Schwimmer'!F"&amp;(Q23+3))+INDIRECT("'Stammdaten - Schwimmer'!F"&amp;(R23+3))+INDIRECT("'Stammdaten - Schwimmer'!F"&amp;(S23+3))+INDIRECT("'Stammdaten - Schwimmer'!F"&amp;(T23+3))+INDIRECT("'Stammdaten - Schwimmer'!F"&amp;(U23+3))+INDIRECT("'Stammdaten - Schwimmer'!F"&amp;(V23+3))+INDIRECT("'Stammdaten - Schwimmer'!F"&amp;(W23+3))+INDIRECT("'Stammdaten - Schwimmer'!F"&amp;(X23+3))+INDIRECT("'Stammdaten - Schwimmer'!F"&amp;(Y23+3))+INDIRECT("'Stammdaten - Schwimmer'!F"&amp;(Z23+3))+INDIRECT("'Stammdaten - Schwimmer'!F"&amp;(AA23+3))+INDIRECT("'Stammdaten - Schwimmer'!F"&amp;(AB23+3))+INDIRECT("'Stammdaten - Schwimmer'!F"&amp;(AC23+3))+INDIRECT("'Stammdaten - Schwimmer'!F"&amp;(AD23+3))+INDIRECT("'Stammdaten - Schwimmer'!F"&amp;(AE23+3))+INDIRECT("'Stammdaten - Schwimmer'!F"&amp;(AF23+3))+INDIRECT("'Stammdaten - Schwimmer'!F"&amp;(AG23+3))</f>
        <v>0</v>
      </c>
      <c r="F23" s="2"/>
      <c r="G23" s="32" t="n">
        <f aca="false">E23*F23</f>
        <v>0</v>
      </c>
      <c r="H23" s="33" t="n">
        <f aca="false">IF(D23&gt;0,E23/D23,)</f>
        <v>0</v>
      </c>
      <c r="I23" s="1" t="n">
        <v>101</v>
      </c>
      <c r="J23" s="1" t="n">
        <v>101</v>
      </c>
      <c r="K23" s="1" t="n">
        <v>101</v>
      </c>
      <c r="L23" s="1" t="n">
        <v>101</v>
      </c>
      <c r="M23" s="1" t="n">
        <v>101</v>
      </c>
      <c r="N23" s="1" t="n">
        <v>101</v>
      </c>
      <c r="O23" s="1" t="n">
        <v>101</v>
      </c>
      <c r="P23" s="1" t="n">
        <v>101</v>
      </c>
      <c r="Q23" s="1" t="n">
        <v>101</v>
      </c>
      <c r="R23" s="1" t="n">
        <v>101</v>
      </c>
      <c r="S23" s="1" t="n">
        <v>101</v>
      </c>
      <c r="T23" s="1" t="n">
        <v>101</v>
      </c>
      <c r="U23" s="1" t="n">
        <v>101</v>
      </c>
      <c r="V23" s="1" t="n">
        <v>101</v>
      </c>
      <c r="W23" s="1" t="n">
        <v>101</v>
      </c>
      <c r="X23" s="1" t="n">
        <v>101</v>
      </c>
      <c r="Y23" s="1" t="n">
        <v>101</v>
      </c>
      <c r="Z23" s="1" t="n">
        <v>101</v>
      </c>
      <c r="AA23" s="1" t="n">
        <v>101</v>
      </c>
      <c r="AB23" s="1" t="n">
        <v>101</v>
      </c>
      <c r="AC23" s="1" t="n">
        <v>101</v>
      </c>
      <c r="AD23" s="1" t="n">
        <v>101</v>
      </c>
      <c r="AE23" s="1" t="n">
        <v>101</v>
      </c>
      <c r="AF23" s="1" t="n">
        <v>101</v>
      </c>
      <c r="AG23" s="1" t="n">
        <v>101</v>
      </c>
      <c r="AH23" s="1" t="n">
        <v>101</v>
      </c>
      <c r="AI23" s="1" t="n">
        <v>101</v>
      </c>
      <c r="AJ23" s="1" t="n">
        <v>101</v>
      </c>
      <c r="AK23" s="1" t="n">
        <v>101</v>
      </c>
      <c r="AL23" s="1" t="n">
        <v>101</v>
      </c>
      <c r="AM23" s="1" t="n">
        <v>101</v>
      </c>
      <c r="AN23" s="1" t="n">
        <v>101</v>
      </c>
      <c r="AO23" s="1"/>
      <c r="AP23" s="1"/>
      <c r="AQ23" s="1"/>
    </row>
    <row r="24" customFormat="false" ht="15" hidden="false" customHeight="false" outlineLevel="0" collapsed="false">
      <c r="A24" s="1" t="n">
        <v>521</v>
      </c>
      <c r="D24" s="31" t="n">
        <f aca="false">COUNTIFS(I24:AQ24,"&gt;0",I24:AQ24,"&lt;101")</f>
        <v>0</v>
      </c>
      <c r="E24" s="31" t="n">
        <f aca="true">INDIRECT("'Stammdaten - Schwimmer'!F"&amp;(I24+3))+INDIRECT("'Stammdaten - Schwimmer'!F"&amp;(J24+3))+INDIRECT("'Stammdaten - Schwimmer'!F"&amp;(K24+3))+INDIRECT("'Stammdaten - Schwimmer'!F"&amp;(L24+3))+INDIRECT("'Stammdaten - Schwimmer'!F"&amp;(M24+3))+INDIRECT("'Stammdaten - Schwimmer'!F"&amp;(N24+3))+INDIRECT("'Stammdaten - Schwimmer'!F"&amp;O24+3)+INDIRECT("'Stammdaten - Schwimmer'!F"&amp;(P24+3))+INDIRECT("'Stammdaten - Schwimmer'!F"&amp;(Q24+3))+INDIRECT("'Stammdaten - Schwimmer'!F"&amp;(R24+3))+INDIRECT("'Stammdaten - Schwimmer'!F"&amp;(S24+3))+INDIRECT("'Stammdaten - Schwimmer'!F"&amp;(T24+3))+INDIRECT("'Stammdaten - Schwimmer'!F"&amp;(U24+3))+INDIRECT("'Stammdaten - Schwimmer'!F"&amp;(V24+3))+INDIRECT("'Stammdaten - Schwimmer'!F"&amp;(W24+3))+INDIRECT("'Stammdaten - Schwimmer'!F"&amp;(X24+3))+INDIRECT("'Stammdaten - Schwimmer'!F"&amp;(Y24+3))+INDIRECT("'Stammdaten - Schwimmer'!F"&amp;(Z24+3))+INDIRECT("'Stammdaten - Schwimmer'!F"&amp;(AA24+3))+INDIRECT("'Stammdaten - Schwimmer'!F"&amp;(AB24+3))+INDIRECT("'Stammdaten - Schwimmer'!F"&amp;(AC24+3))+INDIRECT("'Stammdaten - Schwimmer'!F"&amp;(AD24+3))+INDIRECT("'Stammdaten - Schwimmer'!F"&amp;(AE24+3))+INDIRECT("'Stammdaten - Schwimmer'!F"&amp;(AF24+3))+INDIRECT("'Stammdaten - Schwimmer'!F"&amp;(AG24+3))</f>
        <v>0</v>
      </c>
      <c r="F24" s="2"/>
      <c r="G24" s="32" t="n">
        <f aca="false">E24*F24</f>
        <v>0</v>
      </c>
      <c r="H24" s="33" t="n">
        <f aca="false">IF(D24&gt;0,E24/D24,)</f>
        <v>0</v>
      </c>
      <c r="I24" s="1" t="n">
        <v>101</v>
      </c>
      <c r="J24" s="1" t="n">
        <v>101</v>
      </c>
      <c r="K24" s="1" t="n">
        <v>101</v>
      </c>
      <c r="L24" s="1" t="n">
        <v>101</v>
      </c>
      <c r="M24" s="1" t="n">
        <v>101</v>
      </c>
      <c r="N24" s="1" t="n">
        <v>101</v>
      </c>
      <c r="O24" s="1" t="n">
        <v>101</v>
      </c>
      <c r="P24" s="1" t="n">
        <v>101</v>
      </c>
      <c r="Q24" s="1" t="n">
        <v>101</v>
      </c>
      <c r="R24" s="1" t="n">
        <v>101</v>
      </c>
      <c r="S24" s="1" t="n">
        <v>101</v>
      </c>
      <c r="T24" s="1" t="n">
        <v>101</v>
      </c>
      <c r="U24" s="1" t="n">
        <v>101</v>
      </c>
      <c r="V24" s="1" t="n">
        <v>101</v>
      </c>
      <c r="W24" s="1" t="n">
        <v>101</v>
      </c>
      <c r="X24" s="1" t="n">
        <v>101</v>
      </c>
      <c r="Y24" s="1" t="n">
        <v>101</v>
      </c>
      <c r="Z24" s="1" t="n">
        <v>101</v>
      </c>
      <c r="AA24" s="1" t="n">
        <v>101</v>
      </c>
      <c r="AB24" s="1" t="n">
        <v>101</v>
      </c>
      <c r="AC24" s="1" t="n">
        <v>101</v>
      </c>
      <c r="AD24" s="1" t="n">
        <v>101</v>
      </c>
      <c r="AE24" s="1" t="n">
        <v>101</v>
      </c>
      <c r="AF24" s="1" t="n">
        <v>101</v>
      </c>
      <c r="AG24" s="1" t="n">
        <v>101</v>
      </c>
      <c r="AH24" s="1" t="n">
        <v>101</v>
      </c>
      <c r="AI24" s="1" t="n">
        <v>101</v>
      </c>
      <c r="AJ24" s="1" t="n">
        <v>101</v>
      </c>
      <c r="AK24" s="1" t="n">
        <v>101</v>
      </c>
      <c r="AL24" s="1" t="n">
        <v>101</v>
      </c>
      <c r="AM24" s="1" t="n">
        <v>101</v>
      </c>
      <c r="AN24" s="1" t="n">
        <v>101</v>
      </c>
      <c r="AO24" s="1"/>
      <c r="AP24" s="1"/>
      <c r="AQ24" s="1"/>
    </row>
    <row r="25" customFormat="false" ht="15" hidden="false" customHeight="false" outlineLevel="0" collapsed="false">
      <c r="A25" s="1" t="n">
        <v>522</v>
      </c>
      <c r="D25" s="31" t="n">
        <f aca="false">COUNTIFS(I25:AQ25,"&gt;0",I25:AQ25,"&lt;101")</f>
        <v>0</v>
      </c>
      <c r="E25" s="31" t="n">
        <f aca="true">INDIRECT("'Stammdaten - Schwimmer'!F"&amp;(I25+3))+INDIRECT("'Stammdaten - Schwimmer'!F"&amp;(J25+3))+INDIRECT("'Stammdaten - Schwimmer'!F"&amp;(K25+3))+INDIRECT("'Stammdaten - Schwimmer'!F"&amp;(L25+3))+INDIRECT("'Stammdaten - Schwimmer'!F"&amp;(M25+3))+INDIRECT("'Stammdaten - Schwimmer'!F"&amp;(N25+3))+INDIRECT("'Stammdaten - Schwimmer'!F"&amp;O25+3)+INDIRECT("'Stammdaten - Schwimmer'!F"&amp;(P25+3))+INDIRECT("'Stammdaten - Schwimmer'!F"&amp;(Q25+3))+INDIRECT("'Stammdaten - Schwimmer'!F"&amp;(R25+3))+INDIRECT("'Stammdaten - Schwimmer'!F"&amp;(S25+3))+INDIRECT("'Stammdaten - Schwimmer'!F"&amp;(T25+3))+INDIRECT("'Stammdaten - Schwimmer'!F"&amp;(U25+3))+INDIRECT("'Stammdaten - Schwimmer'!F"&amp;(V25+3))+INDIRECT("'Stammdaten - Schwimmer'!F"&amp;(W25+3))+INDIRECT("'Stammdaten - Schwimmer'!F"&amp;(X25+3))+INDIRECT("'Stammdaten - Schwimmer'!F"&amp;(Y25+3))+INDIRECT("'Stammdaten - Schwimmer'!F"&amp;(Z25+3))+INDIRECT("'Stammdaten - Schwimmer'!F"&amp;(AA25+3))+INDIRECT("'Stammdaten - Schwimmer'!F"&amp;(AB25+3))+INDIRECT("'Stammdaten - Schwimmer'!F"&amp;(AC25+3))+INDIRECT("'Stammdaten - Schwimmer'!F"&amp;(AD25+3))+INDIRECT("'Stammdaten - Schwimmer'!F"&amp;(AE25+3))+INDIRECT("'Stammdaten - Schwimmer'!F"&amp;(AF25+3))+INDIRECT("'Stammdaten - Schwimmer'!F"&amp;(AG25+3))</f>
        <v>0</v>
      </c>
      <c r="F25" s="2"/>
      <c r="G25" s="32" t="n">
        <f aca="false">E25*F25</f>
        <v>0</v>
      </c>
      <c r="H25" s="33" t="n">
        <f aca="false">IF(D25&gt;0,E25/D25,)</f>
        <v>0</v>
      </c>
      <c r="I25" s="1" t="n">
        <v>101</v>
      </c>
      <c r="J25" s="1" t="n">
        <v>101</v>
      </c>
      <c r="K25" s="1" t="n">
        <v>101</v>
      </c>
      <c r="L25" s="1" t="n">
        <v>101</v>
      </c>
      <c r="M25" s="1" t="n">
        <v>101</v>
      </c>
      <c r="N25" s="1" t="n">
        <v>101</v>
      </c>
      <c r="O25" s="1" t="n">
        <v>101</v>
      </c>
      <c r="P25" s="1" t="n">
        <v>101</v>
      </c>
      <c r="Q25" s="1" t="n">
        <v>101</v>
      </c>
      <c r="R25" s="1" t="n">
        <v>101</v>
      </c>
      <c r="S25" s="1" t="n">
        <v>101</v>
      </c>
      <c r="T25" s="1" t="n">
        <v>101</v>
      </c>
      <c r="U25" s="1" t="n">
        <v>101</v>
      </c>
      <c r="V25" s="1" t="n">
        <v>101</v>
      </c>
      <c r="W25" s="1" t="n">
        <v>101</v>
      </c>
      <c r="X25" s="1" t="n">
        <v>101</v>
      </c>
      <c r="Y25" s="1" t="n">
        <v>101</v>
      </c>
      <c r="Z25" s="1" t="n">
        <v>101</v>
      </c>
      <c r="AA25" s="1" t="n">
        <v>101</v>
      </c>
      <c r="AB25" s="1" t="n">
        <v>101</v>
      </c>
      <c r="AC25" s="1" t="n">
        <v>101</v>
      </c>
      <c r="AD25" s="1" t="n">
        <v>101</v>
      </c>
      <c r="AE25" s="1" t="n">
        <v>101</v>
      </c>
      <c r="AF25" s="1" t="n">
        <v>101</v>
      </c>
      <c r="AG25" s="1" t="n">
        <v>101</v>
      </c>
      <c r="AH25" s="1" t="n">
        <v>101</v>
      </c>
      <c r="AI25" s="1" t="n">
        <v>101</v>
      </c>
      <c r="AJ25" s="1" t="n">
        <v>101</v>
      </c>
      <c r="AK25" s="1" t="n">
        <v>101</v>
      </c>
      <c r="AL25" s="1" t="n">
        <v>101</v>
      </c>
      <c r="AM25" s="1" t="n">
        <v>101</v>
      </c>
      <c r="AN25" s="1" t="n">
        <v>101</v>
      </c>
      <c r="AO25" s="1"/>
      <c r="AP25" s="1"/>
      <c r="AQ25" s="1"/>
    </row>
    <row r="26" customFormat="false" ht="15" hidden="false" customHeight="false" outlineLevel="0" collapsed="false">
      <c r="A26" s="1" t="n">
        <v>523</v>
      </c>
      <c r="D26" s="31" t="n">
        <f aca="false">COUNTIFS(I26:AQ26,"&gt;0",I26:AQ26,"&lt;101")</f>
        <v>0</v>
      </c>
      <c r="E26" s="31" t="n">
        <f aca="true">INDIRECT("'Stammdaten - Schwimmer'!F"&amp;(I26+3))+INDIRECT("'Stammdaten - Schwimmer'!F"&amp;(J26+3))+INDIRECT("'Stammdaten - Schwimmer'!F"&amp;(K26+3))+INDIRECT("'Stammdaten - Schwimmer'!F"&amp;(L26+3))+INDIRECT("'Stammdaten - Schwimmer'!F"&amp;(M26+3))+INDIRECT("'Stammdaten - Schwimmer'!F"&amp;(N26+3))+INDIRECT("'Stammdaten - Schwimmer'!F"&amp;O26+3)+INDIRECT("'Stammdaten - Schwimmer'!F"&amp;(P26+3))+INDIRECT("'Stammdaten - Schwimmer'!F"&amp;(Q26+3))+INDIRECT("'Stammdaten - Schwimmer'!F"&amp;(R26+3))+INDIRECT("'Stammdaten - Schwimmer'!F"&amp;(S26+3))+INDIRECT("'Stammdaten - Schwimmer'!F"&amp;(T26+3))+INDIRECT("'Stammdaten - Schwimmer'!F"&amp;(U26+3))+INDIRECT("'Stammdaten - Schwimmer'!F"&amp;(V26+3))+INDIRECT("'Stammdaten - Schwimmer'!F"&amp;(W26+3))+INDIRECT("'Stammdaten - Schwimmer'!F"&amp;(X26+3))+INDIRECT("'Stammdaten - Schwimmer'!F"&amp;(Y26+3))+INDIRECT("'Stammdaten - Schwimmer'!F"&amp;(Z26+3))+INDIRECT("'Stammdaten - Schwimmer'!F"&amp;(AA26+3))+INDIRECT("'Stammdaten - Schwimmer'!F"&amp;(AB26+3))+INDIRECT("'Stammdaten - Schwimmer'!F"&amp;(AC26+3))+INDIRECT("'Stammdaten - Schwimmer'!F"&amp;(AD26+3))+INDIRECT("'Stammdaten - Schwimmer'!F"&amp;(AE26+3))+INDIRECT("'Stammdaten - Schwimmer'!F"&amp;(AF26+3))+INDIRECT("'Stammdaten - Schwimmer'!F"&amp;(AG26+3))</f>
        <v>0</v>
      </c>
      <c r="F26" s="2"/>
      <c r="G26" s="32" t="n">
        <f aca="false">E26*F26</f>
        <v>0</v>
      </c>
      <c r="H26" s="33" t="n">
        <f aca="false">IF(D26&gt;0,E26/D26,)</f>
        <v>0</v>
      </c>
      <c r="I26" s="1" t="n">
        <v>101</v>
      </c>
      <c r="J26" s="1" t="n">
        <v>101</v>
      </c>
      <c r="K26" s="1" t="n">
        <v>101</v>
      </c>
      <c r="L26" s="1" t="n">
        <v>101</v>
      </c>
      <c r="M26" s="1" t="n">
        <v>101</v>
      </c>
      <c r="N26" s="1" t="n">
        <v>101</v>
      </c>
      <c r="O26" s="1" t="n">
        <v>101</v>
      </c>
      <c r="P26" s="1" t="n">
        <v>101</v>
      </c>
      <c r="Q26" s="1" t="n">
        <v>101</v>
      </c>
      <c r="R26" s="1" t="n">
        <v>101</v>
      </c>
      <c r="S26" s="1" t="n">
        <v>101</v>
      </c>
      <c r="T26" s="1" t="n">
        <v>101</v>
      </c>
      <c r="U26" s="1" t="n">
        <v>101</v>
      </c>
      <c r="V26" s="1" t="n">
        <v>101</v>
      </c>
      <c r="W26" s="1" t="n">
        <v>101</v>
      </c>
      <c r="X26" s="1" t="n">
        <v>101</v>
      </c>
      <c r="Y26" s="1" t="n">
        <v>101</v>
      </c>
      <c r="Z26" s="1" t="n">
        <v>101</v>
      </c>
      <c r="AA26" s="1" t="n">
        <v>101</v>
      </c>
      <c r="AB26" s="1" t="n">
        <v>101</v>
      </c>
      <c r="AC26" s="1" t="n">
        <v>101</v>
      </c>
      <c r="AD26" s="1" t="n">
        <v>101</v>
      </c>
      <c r="AE26" s="1" t="n">
        <v>101</v>
      </c>
      <c r="AF26" s="1" t="n">
        <v>101</v>
      </c>
      <c r="AG26" s="1" t="n">
        <v>101</v>
      </c>
      <c r="AH26" s="1" t="n">
        <v>101</v>
      </c>
      <c r="AI26" s="1" t="n">
        <v>101</v>
      </c>
      <c r="AJ26" s="1" t="n">
        <v>101</v>
      </c>
      <c r="AK26" s="1" t="n">
        <v>101</v>
      </c>
      <c r="AL26" s="1" t="n">
        <v>101</v>
      </c>
      <c r="AM26" s="1" t="n">
        <v>101</v>
      </c>
      <c r="AN26" s="1" t="n">
        <v>101</v>
      </c>
      <c r="AO26" s="1"/>
      <c r="AP26" s="1"/>
      <c r="AQ26" s="1"/>
    </row>
    <row r="27" customFormat="false" ht="15" hidden="false" customHeight="false" outlineLevel="0" collapsed="false">
      <c r="A27" s="1" t="n">
        <v>524</v>
      </c>
      <c r="D27" s="31" t="n">
        <f aca="false">COUNTIFS(I27:AQ27,"&gt;0",I27:AQ27,"&lt;101")</f>
        <v>0</v>
      </c>
      <c r="E27" s="31" t="n">
        <f aca="true">INDIRECT("'Stammdaten - Schwimmer'!F"&amp;(I27+3))+INDIRECT("'Stammdaten - Schwimmer'!F"&amp;(J27+3))+INDIRECT("'Stammdaten - Schwimmer'!F"&amp;(K27+3))+INDIRECT("'Stammdaten - Schwimmer'!F"&amp;(L27+3))+INDIRECT("'Stammdaten - Schwimmer'!F"&amp;(M27+3))+INDIRECT("'Stammdaten - Schwimmer'!F"&amp;(N27+3))+INDIRECT("'Stammdaten - Schwimmer'!F"&amp;O27+3)+INDIRECT("'Stammdaten - Schwimmer'!F"&amp;(P27+3))+INDIRECT("'Stammdaten - Schwimmer'!F"&amp;(Q27+3))+INDIRECT("'Stammdaten - Schwimmer'!F"&amp;(R27+3))+INDIRECT("'Stammdaten - Schwimmer'!F"&amp;(S27+3))+INDIRECT("'Stammdaten - Schwimmer'!F"&amp;(T27+3))+INDIRECT("'Stammdaten - Schwimmer'!F"&amp;(U27+3))+INDIRECT("'Stammdaten - Schwimmer'!F"&amp;(V27+3))+INDIRECT("'Stammdaten - Schwimmer'!F"&amp;(W27+3))+INDIRECT("'Stammdaten - Schwimmer'!F"&amp;(X27+3))+INDIRECT("'Stammdaten - Schwimmer'!F"&amp;(Y27+3))+INDIRECT("'Stammdaten - Schwimmer'!F"&amp;(Z27+3))+INDIRECT("'Stammdaten - Schwimmer'!F"&amp;(AA27+3))+INDIRECT("'Stammdaten - Schwimmer'!F"&amp;(AB27+3))+INDIRECT("'Stammdaten - Schwimmer'!F"&amp;(AC27+3))+INDIRECT("'Stammdaten - Schwimmer'!F"&amp;(AD27+3))+INDIRECT("'Stammdaten - Schwimmer'!F"&amp;(AE27+3))+INDIRECT("'Stammdaten - Schwimmer'!F"&amp;(AF27+3))+INDIRECT("'Stammdaten - Schwimmer'!F"&amp;(AG27+3))</f>
        <v>0</v>
      </c>
      <c r="F27" s="2"/>
      <c r="G27" s="32" t="n">
        <f aca="false">E27*F27</f>
        <v>0</v>
      </c>
      <c r="H27" s="33" t="n">
        <f aca="false">IF(D27&gt;0,E27/D27,)</f>
        <v>0</v>
      </c>
      <c r="I27" s="1" t="n">
        <v>101</v>
      </c>
      <c r="J27" s="1" t="n">
        <v>101</v>
      </c>
      <c r="K27" s="1" t="n">
        <v>101</v>
      </c>
      <c r="L27" s="1" t="n">
        <v>101</v>
      </c>
      <c r="M27" s="1" t="n">
        <v>101</v>
      </c>
      <c r="N27" s="1" t="n">
        <v>101</v>
      </c>
      <c r="O27" s="1" t="n">
        <v>101</v>
      </c>
      <c r="P27" s="1" t="n">
        <v>101</v>
      </c>
      <c r="Q27" s="1" t="n">
        <v>101</v>
      </c>
      <c r="R27" s="1" t="n">
        <v>101</v>
      </c>
      <c r="S27" s="1" t="n">
        <v>101</v>
      </c>
      <c r="T27" s="1" t="n">
        <v>101</v>
      </c>
      <c r="U27" s="1" t="n">
        <v>101</v>
      </c>
      <c r="V27" s="1" t="n">
        <v>101</v>
      </c>
      <c r="W27" s="1" t="n">
        <v>101</v>
      </c>
      <c r="X27" s="1" t="n">
        <v>101</v>
      </c>
      <c r="Y27" s="1" t="n">
        <v>101</v>
      </c>
      <c r="Z27" s="1" t="n">
        <v>101</v>
      </c>
      <c r="AA27" s="1" t="n">
        <v>101</v>
      </c>
      <c r="AB27" s="1" t="n">
        <v>101</v>
      </c>
      <c r="AC27" s="1" t="n">
        <v>101</v>
      </c>
      <c r="AD27" s="1" t="n">
        <v>101</v>
      </c>
      <c r="AE27" s="1" t="n">
        <v>101</v>
      </c>
      <c r="AF27" s="1" t="n">
        <v>101</v>
      </c>
      <c r="AG27" s="1" t="n">
        <v>101</v>
      </c>
      <c r="AH27" s="1" t="n">
        <v>101</v>
      </c>
      <c r="AI27" s="1" t="n">
        <v>101</v>
      </c>
      <c r="AJ27" s="1" t="n">
        <v>101</v>
      </c>
      <c r="AK27" s="1" t="n">
        <v>101</v>
      </c>
      <c r="AL27" s="1" t="n">
        <v>101</v>
      </c>
      <c r="AM27" s="1" t="n">
        <v>101</v>
      </c>
      <c r="AN27" s="1" t="n">
        <v>101</v>
      </c>
      <c r="AO27" s="1"/>
      <c r="AP27" s="1"/>
      <c r="AQ27" s="1"/>
    </row>
    <row r="28" customFormat="false" ht="15" hidden="false" customHeight="false" outlineLevel="0" collapsed="false">
      <c r="A28" s="1" t="n">
        <v>525</v>
      </c>
      <c r="D28" s="31" t="n">
        <f aca="false">COUNTIFS(I28:AQ28,"&gt;0",I28:AQ28,"&lt;101")</f>
        <v>0</v>
      </c>
      <c r="E28" s="31" t="n">
        <f aca="true">INDIRECT("'Stammdaten - Schwimmer'!F"&amp;(I28+3))+INDIRECT("'Stammdaten - Schwimmer'!F"&amp;(J28+3))+INDIRECT("'Stammdaten - Schwimmer'!F"&amp;(K28+3))+INDIRECT("'Stammdaten - Schwimmer'!F"&amp;(L28+3))+INDIRECT("'Stammdaten - Schwimmer'!F"&amp;(M28+3))+INDIRECT("'Stammdaten - Schwimmer'!F"&amp;(N28+3))+INDIRECT("'Stammdaten - Schwimmer'!F"&amp;O28+3)+INDIRECT("'Stammdaten - Schwimmer'!F"&amp;(P28+3))+INDIRECT("'Stammdaten - Schwimmer'!F"&amp;(Q28+3))+INDIRECT("'Stammdaten - Schwimmer'!F"&amp;(R28+3))+INDIRECT("'Stammdaten - Schwimmer'!F"&amp;(S28+3))+INDIRECT("'Stammdaten - Schwimmer'!F"&amp;(T28+3))+INDIRECT("'Stammdaten - Schwimmer'!F"&amp;(U28+3))+INDIRECT("'Stammdaten - Schwimmer'!F"&amp;(V28+3))+INDIRECT("'Stammdaten - Schwimmer'!F"&amp;(W28+3))+INDIRECT("'Stammdaten - Schwimmer'!F"&amp;(X28+3))+INDIRECT("'Stammdaten - Schwimmer'!F"&amp;(Y28+3))+INDIRECT("'Stammdaten - Schwimmer'!F"&amp;(Z28+3))+INDIRECT("'Stammdaten - Schwimmer'!F"&amp;(AA28+3))+INDIRECT("'Stammdaten - Schwimmer'!F"&amp;(AB28+3))+INDIRECT("'Stammdaten - Schwimmer'!F"&amp;(AC28+3))+INDIRECT("'Stammdaten - Schwimmer'!F"&amp;(AD28+3))+INDIRECT("'Stammdaten - Schwimmer'!F"&amp;(AE28+3))+INDIRECT("'Stammdaten - Schwimmer'!F"&amp;(AF28+3))+INDIRECT("'Stammdaten - Schwimmer'!F"&amp;(AG28+3))</f>
        <v>0</v>
      </c>
      <c r="F28" s="2"/>
      <c r="G28" s="32" t="n">
        <f aca="false">E28*F28</f>
        <v>0</v>
      </c>
      <c r="H28" s="33" t="n">
        <f aca="false">IF(D28&gt;0,E28/D28,)</f>
        <v>0</v>
      </c>
      <c r="I28" s="1" t="n">
        <v>101</v>
      </c>
      <c r="J28" s="1" t="n">
        <v>101</v>
      </c>
      <c r="K28" s="1" t="n">
        <v>101</v>
      </c>
      <c r="L28" s="1" t="n">
        <v>101</v>
      </c>
      <c r="M28" s="1" t="n">
        <v>101</v>
      </c>
      <c r="N28" s="1" t="n">
        <v>101</v>
      </c>
      <c r="O28" s="1" t="n">
        <v>101</v>
      </c>
      <c r="P28" s="1" t="n">
        <v>101</v>
      </c>
      <c r="Q28" s="1" t="n">
        <v>101</v>
      </c>
      <c r="R28" s="1" t="n">
        <v>101</v>
      </c>
      <c r="S28" s="1" t="n">
        <v>101</v>
      </c>
      <c r="T28" s="1" t="n">
        <v>101</v>
      </c>
      <c r="U28" s="1" t="n">
        <v>101</v>
      </c>
      <c r="V28" s="1" t="n">
        <v>101</v>
      </c>
      <c r="W28" s="1" t="n">
        <v>101</v>
      </c>
      <c r="X28" s="1" t="n">
        <v>101</v>
      </c>
      <c r="Y28" s="1" t="n">
        <v>101</v>
      </c>
      <c r="Z28" s="1" t="n">
        <v>101</v>
      </c>
      <c r="AA28" s="1" t="n">
        <v>101</v>
      </c>
      <c r="AB28" s="1" t="n">
        <v>101</v>
      </c>
      <c r="AC28" s="1" t="n">
        <v>101</v>
      </c>
      <c r="AD28" s="1" t="n">
        <v>101</v>
      </c>
      <c r="AE28" s="1" t="n">
        <v>101</v>
      </c>
      <c r="AF28" s="1" t="n">
        <v>101</v>
      </c>
      <c r="AG28" s="1" t="n">
        <v>101</v>
      </c>
      <c r="AH28" s="1" t="n">
        <v>101</v>
      </c>
      <c r="AI28" s="1" t="n">
        <v>101</v>
      </c>
      <c r="AJ28" s="1" t="n">
        <v>101</v>
      </c>
      <c r="AK28" s="1" t="n">
        <v>101</v>
      </c>
      <c r="AL28" s="1" t="n">
        <v>101</v>
      </c>
      <c r="AM28" s="1" t="n">
        <v>101</v>
      </c>
      <c r="AN28" s="1" t="n">
        <v>101</v>
      </c>
      <c r="AO28" s="1"/>
      <c r="AP28" s="1"/>
      <c r="AQ28" s="1"/>
    </row>
    <row r="29" customFormat="false" ht="15" hidden="false" customHeight="false" outlineLevel="0" collapsed="false">
      <c r="A29" s="1" t="n">
        <v>526</v>
      </c>
      <c r="D29" s="31" t="n">
        <f aca="false">COUNTIFS(I29:AQ29,"&gt;0",I29:AQ29,"&lt;101")</f>
        <v>0</v>
      </c>
      <c r="E29" s="31" t="n">
        <f aca="true">INDIRECT("'Stammdaten - Schwimmer'!F"&amp;(I29+3))+INDIRECT("'Stammdaten - Schwimmer'!F"&amp;(J29+3))+INDIRECT("'Stammdaten - Schwimmer'!F"&amp;(K29+3))+INDIRECT("'Stammdaten - Schwimmer'!F"&amp;(L29+3))+INDIRECT("'Stammdaten - Schwimmer'!F"&amp;(M29+3))+INDIRECT("'Stammdaten - Schwimmer'!F"&amp;(N29+3))+INDIRECT("'Stammdaten - Schwimmer'!F"&amp;O29+3)+INDIRECT("'Stammdaten - Schwimmer'!F"&amp;(P29+3))+INDIRECT("'Stammdaten - Schwimmer'!F"&amp;(Q29+3))+INDIRECT("'Stammdaten - Schwimmer'!F"&amp;(R29+3))+INDIRECT("'Stammdaten - Schwimmer'!F"&amp;(S29+3))+INDIRECT("'Stammdaten - Schwimmer'!F"&amp;(T29+3))+INDIRECT("'Stammdaten - Schwimmer'!F"&amp;(U29+3))+INDIRECT("'Stammdaten - Schwimmer'!F"&amp;(V29+3))+INDIRECT("'Stammdaten - Schwimmer'!F"&amp;(W29+3))+INDIRECT("'Stammdaten - Schwimmer'!F"&amp;(X29+3))+INDIRECT("'Stammdaten - Schwimmer'!F"&amp;(Y29+3))+INDIRECT("'Stammdaten - Schwimmer'!F"&amp;(Z29+3))+INDIRECT("'Stammdaten - Schwimmer'!F"&amp;(AA29+3))+INDIRECT("'Stammdaten - Schwimmer'!F"&amp;(AB29+3))+INDIRECT("'Stammdaten - Schwimmer'!F"&amp;(AC29+3))+INDIRECT("'Stammdaten - Schwimmer'!F"&amp;(AD29+3))+INDIRECT("'Stammdaten - Schwimmer'!F"&amp;(AE29+3))+INDIRECT("'Stammdaten - Schwimmer'!F"&amp;(AF29+3))+INDIRECT("'Stammdaten - Schwimmer'!F"&amp;(AG29+3))</f>
        <v>0</v>
      </c>
      <c r="F29" s="2"/>
      <c r="G29" s="32" t="n">
        <f aca="false">E29*F29</f>
        <v>0</v>
      </c>
      <c r="H29" s="33" t="n">
        <f aca="false">IF(D29&gt;0,E29/D29,)</f>
        <v>0</v>
      </c>
      <c r="I29" s="1" t="n">
        <v>101</v>
      </c>
      <c r="J29" s="1" t="n">
        <v>101</v>
      </c>
      <c r="K29" s="1" t="n">
        <v>101</v>
      </c>
      <c r="L29" s="1" t="n">
        <v>101</v>
      </c>
      <c r="M29" s="1" t="n">
        <v>101</v>
      </c>
      <c r="N29" s="1" t="n">
        <v>101</v>
      </c>
      <c r="O29" s="1" t="n">
        <v>101</v>
      </c>
      <c r="P29" s="1" t="n">
        <v>101</v>
      </c>
      <c r="Q29" s="1" t="n">
        <v>101</v>
      </c>
      <c r="R29" s="1" t="n">
        <v>101</v>
      </c>
      <c r="S29" s="1" t="n">
        <v>101</v>
      </c>
      <c r="T29" s="1" t="n">
        <v>101</v>
      </c>
      <c r="U29" s="1" t="n">
        <v>101</v>
      </c>
      <c r="V29" s="1" t="n">
        <v>101</v>
      </c>
      <c r="W29" s="1" t="n">
        <v>101</v>
      </c>
      <c r="X29" s="1" t="n">
        <v>101</v>
      </c>
      <c r="Y29" s="1" t="n">
        <v>101</v>
      </c>
      <c r="Z29" s="1" t="n">
        <v>101</v>
      </c>
      <c r="AA29" s="1" t="n">
        <v>101</v>
      </c>
      <c r="AB29" s="1" t="n">
        <v>101</v>
      </c>
      <c r="AC29" s="1" t="n">
        <v>101</v>
      </c>
      <c r="AD29" s="1" t="n">
        <v>101</v>
      </c>
      <c r="AE29" s="1" t="n">
        <v>101</v>
      </c>
      <c r="AF29" s="1" t="n">
        <v>101</v>
      </c>
      <c r="AG29" s="1" t="n">
        <v>101</v>
      </c>
      <c r="AH29" s="1" t="n">
        <v>101</v>
      </c>
      <c r="AI29" s="1" t="n">
        <v>101</v>
      </c>
      <c r="AJ29" s="1" t="n">
        <v>101</v>
      </c>
      <c r="AK29" s="1" t="n">
        <v>101</v>
      </c>
      <c r="AL29" s="1" t="n">
        <v>101</v>
      </c>
      <c r="AM29" s="1" t="n">
        <v>101</v>
      </c>
      <c r="AN29" s="1" t="n">
        <v>101</v>
      </c>
      <c r="AO29" s="1"/>
      <c r="AP29" s="1"/>
      <c r="AQ29" s="1"/>
    </row>
    <row r="30" customFormat="false" ht="15" hidden="false" customHeight="false" outlineLevel="0" collapsed="false">
      <c r="A30" s="1" t="n">
        <v>527</v>
      </c>
      <c r="D30" s="31" t="n">
        <f aca="false">COUNTIFS(I30:AQ30,"&gt;0",I30:AQ30,"&lt;101")</f>
        <v>0</v>
      </c>
      <c r="E30" s="31" t="n">
        <f aca="true">INDIRECT("'Stammdaten - Schwimmer'!F"&amp;(I30+3))+INDIRECT("'Stammdaten - Schwimmer'!F"&amp;(J30+3))+INDIRECT("'Stammdaten - Schwimmer'!F"&amp;(K30+3))+INDIRECT("'Stammdaten - Schwimmer'!F"&amp;(L30+3))+INDIRECT("'Stammdaten - Schwimmer'!F"&amp;(M30+3))+INDIRECT("'Stammdaten - Schwimmer'!F"&amp;(N30+3))+INDIRECT("'Stammdaten - Schwimmer'!F"&amp;O30+3)+INDIRECT("'Stammdaten - Schwimmer'!F"&amp;(P30+3))+INDIRECT("'Stammdaten - Schwimmer'!F"&amp;(Q30+3))+INDIRECT("'Stammdaten - Schwimmer'!F"&amp;(R30+3))+INDIRECT("'Stammdaten - Schwimmer'!F"&amp;(S30+3))+INDIRECT("'Stammdaten - Schwimmer'!F"&amp;(T30+3))+INDIRECT("'Stammdaten - Schwimmer'!F"&amp;(U30+3))+INDIRECT("'Stammdaten - Schwimmer'!F"&amp;(V30+3))+INDIRECT("'Stammdaten - Schwimmer'!F"&amp;(W30+3))+INDIRECT("'Stammdaten - Schwimmer'!F"&amp;(X30+3))+INDIRECT("'Stammdaten - Schwimmer'!F"&amp;(Y30+3))+INDIRECT("'Stammdaten - Schwimmer'!F"&amp;(Z30+3))+INDIRECT("'Stammdaten - Schwimmer'!F"&amp;(AA30+3))+INDIRECT("'Stammdaten - Schwimmer'!F"&amp;(AB30+3))+INDIRECT("'Stammdaten - Schwimmer'!F"&amp;(AC30+3))+INDIRECT("'Stammdaten - Schwimmer'!F"&amp;(AD30+3))+INDIRECT("'Stammdaten - Schwimmer'!F"&amp;(AE30+3))+INDIRECT("'Stammdaten - Schwimmer'!F"&amp;(AF30+3))+INDIRECT("'Stammdaten - Schwimmer'!F"&amp;(AG30+3))</f>
        <v>0</v>
      </c>
      <c r="F30" s="2"/>
      <c r="G30" s="32" t="n">
        <f aca="false">E30*F30</f>
        <v>0</v>
      </c>
      <c r="H30" s="33" t="n">
        <f aca="false">IF(D30&gt;0,E30/D30,)</f>
        <v>0</v>
      </c>
      <c r="I30" s="1" t="n">
        <v>101</v>
      </c>
      <c r="J30" s="1" t="n">
        <v>101</v>
      </c>
      <c r="K30" s="1" t="n">
        <v>101</v>
      </c>
      <c r="L30" s="1" t="n">
        <v>101</v>
      </c>
      <c r="M30" s="1" t="n">
        <v>101</v>
      </c>
      <c r="N30" s="1" t="n">
        <v>101</v>
      </c>
      <c r="O30" s="1" t="n">
        <v>101</v>
      </c>
      <c r="P30" s="1" t="n">
        <v>101</v>
      </c>
      <c r="Q30" s="1" t="n">
        <v>101</v>
      </c>
      <c r="R30" s="1" t="n">
        <v>101</v>
      </c>
      <c r="S30" s="1" t="n">
        <v>101</v>
      </c>
      <c r="T30" s="1" t="n">
        <v>101</v>
      </c>
      <c r="U30" s="1" t="n">
        <v>101</v>
      </c>
      <c r="V30" s="1" t="n">
        <v>101</v>
      </c>
      <c r="W30" s="1" t="n">
        <v>101</v>
      </c>
      <c r="X30" s="1" t="n">
        <v>101</v>
      </c>
      <c r="Y30" s="1" t="n">
        <v>101</v>
      </c>
      <c r="Z30" s="1" t="n">
        <v>101</v>
      </c>
      <c r="AA30" s="1" t="n">
        <v>101</v>
      </c>
      <c r="AB30" s="1" t="n">
        <v>101</v>
      </c>
      <c r="AC30" s="1" t="n">
        <v>101</v>
      </c>
      <c r="AD30" s="1" t="n">
        <v>101</v>
      </c>
      <c r="AE30" s="1" t="n">
        <v>101</v>
      </c>
      <c r="AF30" s="1" t="n">
        <v>101</v>
      </c>
      <c r="AG30" s="1" t="n">
        <v>101</v>
      </c>
      <c r="AH30" s="1" t="n">
        <v>101</v>
      </c>
      <c r="AI30" s="1" t="n">
        <v>101</v>
      </c>
      <c r="AJ30" s="1" t="n">
        <v>101</v>
      </c>
      <c r="AK30" s="1" t="n">
        <v>101</v>
      </c>
      <c r="AL30" s="1" t="n">
        <v>101</v>
      </c>
      <c r="AM30" s="1" t="n">
        <v>101</v>
      </c>
      <c r="AN30" s="1" t="n">
        <v>101</v>
      </c>
      <c r="AO30" s="1"/>
      <c r="AP30" s="1"/>
      <c r="AQ30" s="1"/>
    </row>
    <row r="31" customFormat="false" ht="15" hidden="false" customHeight="false" outlineLevel="0" collapsed="false">
      <c r="A31" s="1" t="n">
        <v>528</v>
      </c>
      <c r="D31" s="31" t="n">
        <f aca="false">COUNTIFS(I31:AQ31,"&gt;0",I31:AQ31,"&lt;101")</f>
        <v>0</v>
      </c>
      <c r="E31" s="31" t="n">
        <f aca="true">INDIRECT("'Stammdaten - Schwimmer'!F"&amp;(I31+3))+INDIRECT("'Stammdaten - Schwimmer'!F"&amp;(J31+3))+INDIRECT("'Stammdaten - Schwimmer'!F"&amp;(K31+3))+INDIRECT("'Stammdaten - Schwimmer'!F"&amp;(L31+3))+INDIRECT("'Stammdaten - Schwimmer'!F"&amp;(M31+3))+INDIRECT("'Stammdaten - Schwimmer'!F"&amp;(N31+3))+INDIRECT("'Stammdaten - Schwimmer'!F"&amp;O31+3)+INDIRECT("'Stammdaten - Schwimmer'!F"&amp;(P31+3))+INDIRECT("'Stammdaten - Schwimmer'!F"&amp;(Q31+3))+INDIRECT("'Stammdaten - Schwimmer'!F"&amp;(R31+3))+INDIRECT("'Stammdaten - Schwimmer'!F"&amp;(S31+3))+INDIRECT("'Stammdaten - Schwimmer'!F"&amp;(T31+3))+INDIRECT("'Stammdaten - Schwimmer'!F"&amp;(U31+3))+INDIRECT("'Stammdaten - Schwimmer'!F"&amp;(V31+3))+INDIRECT("'Stammdaten - Schwimmer'!F"&amp;(W31+3))+INDIRECT("'Stammdaten - Schwimmer'!F"&amp;(X31+3))+INDIRECT("'Stammdaten - Schwimmer'!F"&amp;(Y31+3))+INDIRECT("'Stammdaten - Schwimmer'!F"&amp;(Z31+3))+INDIRECT("'Stammdaten - Schwimmer'!F"&amp;(AA31+3))+INDIRECT("'Stammdaten - Schwimmer'!F"&amp;(AB31+3))+INDIRECT("'Stammdaten - Schwimmer'!F"&amp;(AC31+3))+INDIRECT("'Stammdaten - Schwimmer'!F"&amp;(AD31+3))+INDIRECT("'Stammdaten - Schwimmer'!F"&amp;(AE31+3))+INDIRECT("'Stammdaten - Schwimmer'!F"&amp;(AF31+3))+INDIRECT("'Stammdaten - Schwimmer'!F"&amp;(AG31+3))</f>
        <v>0</v>
      </c>
      <c r="F31" s="2"/>
      <c r="G31" s="32" t="n">
        <f aca="false">E31*F31</f>
        <v>0</v>
      </c>
      <c r="H31" s="33" t="n">
        <f aca="false">IF(D31&gt;0,E31/D31,)</f>
        <v>0</v>
      </c>
      <c r="I31" s="1" t="n">
        <v>101</v>
      </c>
      <c r="J31" s="1" t="n">
        <v>101</v>
      </c>
      <c r="K31" s="1" t="n">
        <v>101</v>
      </c>
      <c r="L31" s="1" t="n">
        <v>101</v>
      </c>
      <c r="M31" s="1" t="n">
        <v>101</v>
      </c>
      <c r="N31" s="1" t="n">
        <v>101</v>
      </c>
      <c r="O31" s="1" t="n">
        <v>101</v>
      </c>
      <c r="P31" s="1" t="n">
        <v>101</v>
      </c>
      <c r="Q31" s="1" t="n">
        <v>101</v>
      </c>
      <c r="R31" s="1" t="n">
        <v>101</v>
      </c>
      <c r="S31" s="1" t="n">
        <v>101</v>
      </c>
      <c r="T31" s="1" t="n">
        <v>101</v>
      </c>
      <c r="U31" s="1" t="n">
        <v>101</v>
      </c>
      <c r="V31" s="1" t="n">
        <v>101</v>
      </c>
      <c r="W31" s="1" t="n">
        <v>101</v>
      </c>
      <c r="X31" s="1" t="n">
        <v>101</v>
      </c>
      <c r="Y31" s="1" t="n">
        <v>101</v>
      </c>
      <c r="Z31" s="1" t="n">
        <v>101</v>
      </c>
      <c r="AA31" s="1" t="n">
        <v>101</v>
      </c>
      <c r="AB31" s="1" t="n">
        <v>101</v>
      </c>
      <c r="AC31" s="1" t="n">
        <v>101</v>
      </c>
      <c r="AD31" s="1" t="n">
        <v>101</v>
      </c>
      <c r="AE31" s="1" t="n">
        <v>101</v>
      </c>
      <c r="AF31" s="1" t="n">
        <v>101</v>
      </c>
      <c r="AG31" s="1" t="n">
        <v>101</v>
      </c>
      <c r="AH31" s="1" t="n">
        <v>101</v>
      </c>
      <c r="AI31" s="1" t="n">
        <v>101</v>
      </c>
      <c r="AJ31" s="1" t="n">
        <v>101</v>
      </c>
      <c r="AK31" s="1" t="n">
        <v>101</v>
      </c>
      <c r="AL31" s="1" t="n">
        <v>101</v>
      </c>
      <c r="AM31" s="1" t="n">
        <v>101</v>
      </c>
      <c r="AN31" s="1" t="n">
        <v>101</v>
      </c>
      <c r="AO31" s="1"/>
      <c r="AP31" s="1"/>
      <c r="AQ31" s="1"/>
    </row>
    <row r="32" customFormat="false" ht="15" hidden="false" customHeight="false" outlineLevel="0" collapsed="false">
      <c r="A32" s="1" t="n">
        <v>529</v>
      </c>
      <c r="D32" s="31" t="n">
        <f aca="false">COUNTIFS(I32:AQ32,"&gt;0",I32:AQ32,"&lt;101")</f>
        <v>0</v>
      </c>
      <c r="E32" s="31" t="n">
        <f aca="true">INDIRECT("'Stammdaten - Schwimmer'!F"&amp;(I32+3))+INDIRECT("'Stammdaten - Schwimmer'!F"&amp;(J32+3))+INDIRECT("'Stammdaten - Schwimmer'!F"&amp;(K32+3))+INDIRECT("'Stammdaten - Schwimmer'!F"&amp;(L32+3))+INDIRECT("'Stammdaten - Schwimmer'!F"&amp;(M32+3))+INDIRECT("'Stammdaten - Schwimmer'!F"&amp;(N32+3))+INDIRECT("'Stammdaten - Schwimmer'!F"&amp;O32+3)+INDIRECT("'Stammdaten - Schwimmer'!F"&amp;(P32+3))+INDIRECT("'Stammdaten - Schwimmer'!F"&amp;(Q32+3))+INDIRECT("'Stammdaten - Schwimmer'!F"&amp;(R32+3))+INDIRECT("'Stammdaten - Schwimmer'!F"&amp;(S32+3))+INDIRECT("'Stammdaten - Schwimmer'!F"&amp;(T32+3))+INDIRECT("'Stammdaten - Schwimmer'!F"&amp;(U32+3))+INDIRECT("'Stammdaten - Schwimmer'!F"&amp;(V32+3))+INDIRECT("'Stammdaten - Schwimmer'!F"&amp;(W32+3))+INDIRECT("'Stammdaten - Schwimmer'!F"&amp;(X32+3))+INDIRECT("'Stammdaten - Schwimmer'!F"&amp;(Y32+3))+INDIRECT("'Stammdaten - Schwimmer'!F"&amp;(Z32+3))+INDIRECT("'Stammdaten - Schwimmer'!F"&amp;(AA32+3))+INDIRECT("'Stammdaten - Schwimmer'!F"&amp;(AB32+3))+INDIRECT("'Stammdaten - Schwimmer'!F"&amp;(AC32+3))+INDIRECT("'Stammdaten - Schwimmer'!F"&amp;(AD32+3))+INDIRECT("'Stammdaten - Schwimmer'!F"&amp;(AE32+3))+INDIRECT("'Stammdaten - Schwimmer'!F"&amp;(AF32+3))+INDIRECT("'Stammdaten - Schwimmer'!F"&amp;(AG32+3))</f>
        <v>0</v>
      </c>
      <c r="F32" s="2"/>
      <c r="G32" s="32" t="n">
        <f aca="false">E32*F32</f>
        <v>0</v>
      </c>
      <c r="H32" s="33" t="n">
        <f aca="false">IF(D32&gt;0,E32/D32,)</f>
        <v>0</v>
      </c>
      <c r="I32" s="1" t="n">
        <v>101</v>
      </c>
      <c r="J32" s="1" t="n">
        <v>101</v>
      </c>
      <c r="K32" s="1" t="n">
        <v>101</v>
      </c>
      <c r="L32" s="1" t="n">
        <v>101</v>
      </c>
      <c r="M32" s="1" t="n">
        <v>101</v>
      </c>
      <c r="N32" s="1" t="n">
        <v>101</v>
      </c>
      <c r="O32" s="1" t="n">
        <v>101</v>
      </c>
      <c r="P32" s="1" t="n">
        <v>101</v>
      </c>
      <c r="Q32" s="1" t="n">
        <v>101</v>
      </c>
      <c r="R32" s="1" t="n">
        <v>101</v>
      </c>
      <c r="S32" s="1" t="n">
        <v>101</v>
      </c>
      <c r="T32" s="1" t="n">
        <v>101</v>
      </c>
      <c r="U32" s="1" t="n">
        <v>101</v>
      </c>
      <c r="V32" s="1" t="n">
        <v>101</v>
      </c>
      <c r="W32" s="1" t="n">
        <v>101</v>
      </c>
      <c r="X32" s="1" t="n">
        <v>101</v>
      </c>
      <c r="Y32" s="1" t="n">
        <v>101</v>
      </c>
      <c r="Z32" s="1" t="n">
        <v>101</v>
      </c>
      <c r="AA32" s="1" t="n">
        <v>101</v>
      </c>
      <c r="AB32" s="1" t="n">
        <v>101</v>
      </c>
      <c r="AC32" s="1" t="n">
        <v>101</v>
      </c>
      <c r="AD32" s="1" t="n">
        <v>101</v>
      </c>
      <c r="AE32" s="1" t="n">
        <v>101</v>
      </c>
      <c r="AF32" s="1" t="n">
        <v>101</v>
      </c>
      <c r="AG32" s="1" t="n">
        <v>101</v>
      </c>
      <c r="AH32" s="1" t="n">
        <v>101</v>
      </c>
      <c r="AI32" s="1" t="n">
        <v>101</v>
      </c>
      <c r="AJ32" s="1" t="n">
        <v>101</v>
      </c>
      <c r="AK32" s="1" t="n">
        <v>101</v>
      </c>
      <c r="AL32" s="1" t="n">
        <v>101</v>
      </c>
      <c r="AM32" s="1" t="n">
        <v>101</v>
      </c>
      <c r="AN32" s="1" t="n">
        <v>101</v>
      </c>
      <c r="AO32" s="1"/>
      <c r="AP32" s="1"/>
      <c r="AQ32" s="1"/>
    </row>
    <row r="33" customFormat="false" ht="15" hidden="false" customHeight="false" outlineLevel="0" collapsed="false">
      <c r="A33" s="1" t="n">
        <v>530</v>
      </c>
      <c r="D33" s="31" t="n">
        <f aca="false">COUNTIFS(I33:AQ33,"&gt;0",I33:AQ33,"&lt;101")</f>
        <v>0</v>
      </c>
      <c r="E33" s="31" t="n">
        <f aca="true">INDIRECT("'Stammdaten - Schwimmer'!F"&amp;(I33+3))+INDIRECT("'Stammdaten - Schwimmer'!F"&amp;(J33+3))+INDIRECT("'Stammdaten - Schwimmer'!F"&amp;(K33+3))+INDIRECT("'Stammdaten - Schwimmer'!F"&amp;(L33+3))+INDIRECT("'Stammdaten - Schwimmer'!F"&amp;(M33+3))+INDIRECT("'Stammdaten - Schwimmer'!F"&amp;(N33+3))+INDIRECT("'Stammdaten - Schwimmer'!F"&amp;O33+3)+INDIRECT("'Stammdaten - Schwimmer'!F"&amp;(P33+3))+INDIRECT("'Stammdaten - Schwimmer'!F"&amp;(Q33+3))+INDIRECT("'Stammdaten - Schwimmer'!F"&amp;(R33+3))+INDIRECT("'Stammdaten - Schwimmer'!F"&amp;(S33+3))+INDIRECT("'Stammdaten - Schwimmer'!F"&amp;(T33+3))+INDIRECT("'Stammdaten - Schwimmer'!F"&amp;(U33+3))+INDIRECT("'Stammdaten - Schwimmer'!F"&amp;(V33+3))+INDIRECT("'Stammdaten - Schwimmer'!F"&amp;(W33+3))+INDIRECT("'Stammdaten - Schwimmer'!F"&amp;(X33+3))+INDIRECT("'Stammdaten - Schwimmer'!F"&amp;(Y33+3))+INDIRECT("'Stammdaten - Schwimmer'!F"&amp;(Z33+3))+INDIRECT("'Stammdaten - Schwimmer'!F"&amp;(AA33+3))+INDIRECT("'Stammdaten - Schwimmer'!F"&amp;(AB33+3))+INDIRECT("'Stammdaten - Schwimmer'!F"&amp;(AC33+3))+INDIRECT("'Stammdaten - Schwimmer'!F"&amp;(AD33+3))+INDIRECT("'Stammdaten - Schwimmer'!F"&amp;(AE33+3))+INDIRECT("'Stammdaten - Schwimmer'!F"&amp;(AF33+3))+INDIRECT("'Stammdaten - Schwimmer'!F"&amp;(AG33+3))</f>
        <v>0</v>
      </c>
      <c r="F33" s="2"/>
      <c r="G33" s="32" t="n">
        <f aca="false">E33*F33</f>
        <v>0</v>
      </c>
      <c r="H33" s="33" t="n">
        <f aca="false">IF(D33&gt;0,E33/D33,)</f>
        <v>0</v>
      </c>
      <c r="I33" s="1" t="n">
        <v>101</v>
      </c>
      <c r="J33" s="1" t="n">
        <v>101</v>
      </c>
      <c r="K33" s="1" t="n">
        <v>101</v>
      </c>
      <c r="L33" s="1" t="n">
        <v>101</v>
      </c>
      <c r="M33" s="1" t="n">
        <v>101</v>
      </c>
      <c r="N33" s="1" t="n">
        <v>101</v>
      </c>
      <c r="O33" s="1" t="n">
        <v>101</v>
      </c>
      <c r="P33" s="1" t="n">
        <v>101</v>
      </c>
      <c r="Q33" s="1" t="n">
        <v>101</v>
      </c>
      <c r="R33" s="1" t="n">
        <v>101</v>
      </c>
      <c r="S33" s="1" t="n">
        <v>101</v>
      </c>
      <c r="T33" s="1" t="n">
        <v>101</v>
      </c>
      <c r="U33" s="1" t="n">
        <v>101</v>
      </c>
      <c r="V33" s="1" t="n">
        <v>101</v>
      </c>
      <c r="W33" s="1" t="n">
        <v>101</v>
      </c>
      <c r="X33" s="1" t="n">
        <v>101</v>
      </c>
      <c r="Y33" s="1" t="n">
        <v>101</v>
      </c>
      <c r="Z33" s="1" t="n">
        <v>101</v>
      </c>
      <c r="AA33" s="1" t="n">
        <v>101</v>
      </c>
      <c r="AB33" s="1" t="n">
        <v>101</v>
      </c>
      <c r="AC33" s="1" t="n">
        <v>101</v>
      </c>
      <c r="AD33" s="1" t="n">
        <v>101</v>
      </c>
      <c r="AE33" s="1" t="n">
        <v>101</v>
      </c>
      <c r="AF33" s="1" t="n">
        <v>101</v>
      </c>
      <c r="AG33" s="1" t="n">
        <v>101</v>
      </c>
      <c r="AH33" s="1" t="n">
        <v>101</v>
      </c>
      <c r="AI33" s="1" t="n">
        <v>101</v>
      </c>
      <c r="AJ33" s="1" t="n">
        <v>101</v>
      </c>
      <c r="AK33" s="1" t="n">
        <v>101</v>
      </c>
      <c r="AL33" s="1" t="n">
        <v>101</v>
      </c>
      <c r="AM33" s="1" t="n">
        <v>101</v>
      </c>
      <c r="AN33" s="1" t="n">
        <v>101</v>
      </c>
      <c r="AO33" s="1"/>
      <c r="AP33" s="1"/>
      <c r="AQ33" s="1"/>
    </row>
    <row r="34" customFormat="false" ht="15" hidden="false" customHeight="false" outlineLevel="0" collapsed="false">
      <c r="A34" s="1" t="n">
        <v>531</v>
      </c>
      <c r="D34" s="31" t="n">
        <f aca="false">COUNTIFS(I34:AQ34,"&gt;0",I34:AQ34,"&lt;101")</f>
        <v>0</v>
      </c>
      <c r="E34" s="31" t="n">
        <f aca="true">INDIRECT("'Stammdaten - Schwimmer'!F"&amp;(I34+3))+INDIRECT("'Stammdaten - Schwimmer'!F"&amp;(J34+3))+INDIRECT("'Stammdaten - Schwimmer'!F"&amp;(K34+3))+INDIRECT("'Stammdaten - Schwimmer'!F"&amp;(L34+3))+INDIRECT("'Stammdaten - Schwimmer'!F"&amp;(M34+3))+INDIRECT("'Stammdaten - Schwimmer'!F"&amp;(N34+3))+INDIRECT("'Stammdaten - Schwimmer'!F"&amp;O34+3)+INDIRECT("'Stammdaten - Schwimmer'!F"&amp;(P34+3))+INDIRECT("'Stammdaten - Schwimmer'!F"&amp;(Q34+3))+INDIRECT("'Stammdaten - Schwimmer'!F"&amp;(R34+3))+INDIRECT("'Stammdaten - Schwimmer'!F"&amp;(S34+3))+INDIRECT("'Stammdaten - Schwimmer'!F"&amp;(T34+3))+INDIRECT("'Stammdaten - Schwimmer'!F"&amp;(U34+3))+INDIRECT("'Stammdaten - Schwimmer'!F"&amp;(V34+3))+INDIRECT("'Stammdaten - Schwimmer'!F"&amp;(W34+3))+INDIRECT("'Stammdaten - Schwimmer'!F"&amp;(X34+3))+INDIRECT("'Stammdaten - Schwimmer'!F"&amp;(Y34+3))+INDIRECT("'Stammdaten - Schwimmer'!F"&amp;(Z34+3))+INDIRECT("'Stammdaten - Schwimmer'!F"&amp;(AA34+3))+INDIRECT("'Stammdaten - Schwimmer'!F"&amp;(AB34+3))+INDIRECT("'Stammdaten - Schwimmer'!F"&amp;(AC34+3))+INDIRECT("'Stammdaten - Schwimmer'!F"&amp;(AD34+3))+INDIRECT("'Stammdaten - Schwimmer'!F"&amp;(AE34+3))+INDIRECT("'Stammdaten - Schwimmer'!F"&amp;(AF34+3))+INDIRECT("'Stammdaten - Schwimmer'!F"&amp;(AG34+3))</f>
        <v>0</v>
      </c>
      <c r="F34" s="2"/>
      <c r="G34" s="32" t="n">
        <f aca="false">E34*F34</f>
        <v>0</v>
      </c>
      <c r="H34" s="33" t="n">
        <f aca="false">IF(D34&gt;0,E34/D34,)</f>
        <v>0</v>
      </c>
      <c r="I34" s="1" t="n">
        <v>101</v>
      </c>
      <c r="J34" s="1" t="n">
        <v>101</v>
      </c>
      <c r="K34" s="1" t="n">
        <v>101</v>
      </c>
      <c r="L34" s="1" t="n">
        <v>101</v>
      </c>
      <c r="M34" s="1" t="n">
        <v>101</v>
      </c>
      <c r="N34" s="1" t="n">
        <v>101</v>
      </c>
      <c r="O34" s="1" t="n">
        <v>101</v>
      </c>
      <c r="P34" s="1" t="n">
        <v>101</v>
      </c>
      <c r="Q34" s="1" t="n">
        <v>101</v>
      </c>
      <c r="R34" s="1" t="n">
        <v>101</v>
      </c>
      <c r="S34" s="1" t="n">
        <v>101</v>
      </c>
      <c r="T34" s="1" t="n">
        <v>101</v>
      </c>
      <c r="U34" s="1" t="n">
        <v>101</v>
      </c>
      <c r="V34" s="1" t="n">
        <v>101</v>
      </c>
      <c r="W34" s="1" t="n">
        <v>101</v>
      </c>
      <c r="X34" s="1" t="n">
        <v>101</v>
      </c>
      <c r="Y34" s="1" t="n">
        <v>101</v>
      </c>
      <c r="Z34" s="1" t="n">
        <v>101</v>
      </c>
      <c r="AA34" s="1" t="n">
        <v>101</v>
      </c>
      <c r="AB34" s="1" t="n">
        <v>101</v>
      </c>
      <c r="AC34" s="1" t="n">
        <v>101</v>
      </c>
      <c r="AD34" s="1" t="n">
        <v>101</v>
      </c>
      <c r="AE34" s="1" t="n">
        <v>101</v>
      </c>
      <c r="AF34" s="1" t="n">
        <v>101</v>
      </c>
      <c r="AG34" s="1" t="n">
        <v>101</v>
      </c>
      <c r="AH34" s="1" t="n">
        <v>101</v>
      </c>
      <c r="AI34" s="1" t="n">
        <v>101</v>
      </c>
      <c r="AJ34" s="1" t="n">
        <v>101</v>
      </c>
      <c r="AK34" s="1" t="n">
        <v>101</v>
      </c>
      <c r="AL34" s="1" t="n">
        <v>101</v>
      </c>
      <c r="AM34" s="1" t="n">
        <v>101</v>
      </c>
      <c r="AN34" s="1" t="n">
        <v>101</v>
      </c>
      <c r="AO34" s="1"/>
      <c r="AP34" s="1"/>
      <c r="AQ34" s="1"/>
    </row>
    <row r="35" customFormat="false" ht="15" hidden="false" customHeight="false" outlineLevel="0" collapsed="false">
      <c r="A35" s="1" t="n">
        <v>532</v>
      </c>
      <c r="D35" s="31" t="n">
        <f aca="false">COUNTIFS(I35:AQ35,"&gt;0",I35:AQ35,"&lt;101")</f>
        <v>0</v>
      </c>
      <c r="E35" s="31" t="n">
        <f aca="true">INDIRECT("'Stammdaten - Schwimmer'!F"&amp;(I35+3))+INDIRECT("'Stammdaten - Schwimmer'!F"&amp;(J35+3))+INDIRECT("'Stammdaten - Schwimmer'!F"&amp;(K35+3))+INDIRECT("'Stammdaten - Schwimmer'!F"&amp;(L35+3))+INDIRECT("'Stammdaten - Schwimmer'!F"&amp;(M35+3))+INDIRECT("'Stammdaten - Schwimmer'!F"&amp;(N35+3))+INDIRECT("'Stammdaten - Schwimmer'!F"&amp;O35+3)+INDIRECT("'Stammdaten - Schwimmer'!F"&amp;(P35+3))+INDIRECT("'Stammdaten - Schwimmer'!F"&amp;(Q35+3))+INDIRECT("'Stammdaten - Schwimmer'!F"&amp;(R35+3))+INDIRECT("'Stammdaten - Schwimmer'!F"&amp;(S35+3))+INDIRECT("'Stammdaten - Schwimmer'!F"&amp;(T35+3))+INDIRECT("'Stammdaten - Schwimmer'!F"&amp;(U35+3))+INDIRECT("'Stammdaten - Schwimmer'!F"&amp;(V35+3))+INDIRECT("'Stammdaten - Schwimmer'!F"&amp;(W35+3))+INDIRECT("'Stammdaten - Schwimmer'!F"&amp;(X35+3))+INDIRECT("'Stammdaten - Schwimmer'!F"&amp;(Y35+3))+INDIRECT("'Stammdaten - Schwimmer'!F"&amp;(Z35+3))+INDIRECT("'Stammdaten - Schwimmer'!F"&amp;(AA35+3))+INDIRECT("'Stammdaten - Schwimmer'!F"&amp;(AB35+3))+INDIRECT("'Stammdaten - Schwimmer'!F"&amp;(AC35+3))+INDIRECT("'Stammdaten - Schwimmer'!F"&amp;(AD35+3))+INDIRECT("'Stammdaten - Schwimmer'!F"&amp;(AE35+3))+INDIRECT("'Stammdaten - Schwimmer'!F"&amp;(AF35+3))+INDIRECT("'Stammdaten - Schwimmer'!F"&amp;(AG35+3))</f>
        <v>0</v>
      </c>
      <c r="F35" s="2"/>
      <c r="G35" s="32" t="n">
        <f aca="false">E35*F35</f>
        <v>0</v>
      </c>
      <c r="H35" s="33" t="n">
        <f aca="false">IF(D35&gt;0,E35/D35,)</f>
        <v>0</v>
      </c>
      <c r="I35" s="1" t="n">
        <v>101</v>
      </c>
      <c r="J35" s="1" t="n">
        <v>101</v>
      </c>
      <c r="K35" s="1" t="n">
        <v>101</v>
      </c>
      <c r="L35" s="1" t="n">
        <v>101</v>
      </c>
      <c r="M35" s="1" t="n">
        <v>101</v>
      </c>
      <c r="N35" s="1" t="n">
        <v>101</v>
      </c>
      <c r="O35" s="1" t="n">
        <v>101</v>
      </c>
      <c r="P35" s="1" t="n">
        <v>101</v>
      </c>
      <c r="Q35" s="1" t="n">
        <v>101</v>
      </c>
      <c r="R35" s="1" t="n">
        <v>101</v>
      </c>
      <c r="S35" s="1" t="n">
        <v>101</v>
      </c>
      <c r="T35" s="1" t="n">
        <v>101</v>
      </c>
      <c r="U35" s="1" t="n">
        <v>101</v>
      </c>
      <c r="V35" s="1" t="n">
        <v>101</v>
      </c>
      <c r="W35" s="1" t="n">
        <v>101</v>
      </c>
      <c r="X35" s="1" t="n">
        <v>101</v>
      </c>
      <c r="Y35" s="1" t="n">
        <v>101</v>
      </c>
      <c r="Z35" s="1" t="n">
        <v>101</v>
      </c>
      <c r="AA35" s="1" t="n">
        <v>101</v>
      </c>
      <c r="AB35" s="1" t="n">
        <v>101</v>
      </c>
      <c r="AC35" s="1" t="n">
        <v>101</v>
      </c>
      <c r="AD35" s="1" t="n">
        <v>101</v>
      </c>
      <c r="AE35" s="1" t="n">
        <v>101</v>
      </c>
      <c r="AF35" s="1" t="n">
        <v>101</v>
      </c>
      <c r="AG35" s="1" t="n">
        <v>101</v>
      </c>
      <c r="AH35" s="1" t="n">
        <v>101</v>
      </c>
      <c r="AI35" s="1" t="n">
        <v>101</v>
      </c>
      <c r="AJ35" s="1" t="n">
        <v>101</v>
      </c>
      <c r="AK35" s="1" t="n">
        <v>101</v>
      </c>
      <c r="AL35" s="1" t="n">
        <v>101</v>
      </c>
      <c r="AM35" s="1" t="n">
        <v>101</v>
      </c>
      <c r="AN35" s="1" t="n">
        <v>101</v>
      </c>
      <c r="AO35" s="1"/>
      <c r="AP35" s="1"/>
      <c r="AQ35" s="1"/>
    </row>
    <row r="36" customFormat="false" ht="15" hidden="false" customHeight="false" outlineLevel="0" collapsed="false">
      <c r="A36" s="1" t="n">
        <v>533</v>
      </c>
      <c r="D36" s="31" t="n">
        <f aca="false">COUNTIFS(I36:AQ36,"&gt;0",I36:AQ36,"&lt;101")</f>
        <v>0</v>
      </c>
      <c r="E36" s="31" t="n">
        <f aca="true">INDIRECT("'Stammdaten - Schwimmer'!F"&amp;(I36+3))+INDIRECT("'Stammdaten - Schwimmer'!F"&amp;(J36+3))+INDIRECT("'Stammdaten - Schwimmer'!F"&amp;(K36+3))+INDIRECT("'Stammdaten - Schwimmer'!F"&amp;(L36+3))+INDIRECT("'Stammdaten - Schwimmer'!F"&amp;(M36+3))+INDIRECT("'Stammdaten - Schwimmer'!F"&amp;(N36+3))+INDIRECT("'Stammdaten - Schwimmer'!F"&amp;O36+3)+INDIRECT("'Stammdaten - Schwimmer'!F"&amp;(P36+3))+INDIRECT("'Stammdaten - Schwimmer'!F"&amp;(Q36+3))+INDIRECT("'Stammdaten - Schwimmer'!F"&amp;(R36+3))+INDIRECT("'Stammdaten - Schwimmer'!F"&amp;(S36+3))+INDIRECT("'Stammdaten - Schwimmer'!F"&amp;(T36+3))+INDIRECT("'Stammdaten - Schwimmer'!F"&amp;(U36+3))+INDIRECT("'Stammdaten - Schwimmer'!F"&amp;(V36+3))+INDIRECT("'Stammdaten - Schwimmer'!F"&amp;(W36+3))+INDIRECT("'Stammdaten - Schwimmer'!F"&amp;(X36+3))+INDIRECT("'Stammdaten - Schwimmer'!F"&amp;(Y36+3))+INDIRECT("'Stammdaten - Schwimmer'!F"&amp;(Z36+3))+INDIRECT("'Stammdaten - Schwimmer'!F"&amp;(AA36+3))+INDIRECT("'Stammdaten - Schwimmer'!F"&amp;(AB36+3))+INDIRECT("'Stammdaten - Schwimmer'!F"&amp;(AC36+3))+INDIRECT("'Stammdaten - Schwimmer'!F"&amp;(AD36+3))+INDIRECT("'Stammdaten - Schwimmer'!F"&amp;(AE36+3))+INDIRECT("'Stammdaten - Schwimmer'!F"&amp;(AF36+3))+INDIRECT("'Stammdaten - Schwimmer'!F"&amp;(AG36+3))</f>
        <v>0</v>
      </c>
      <c r="F36" s="2"/>
      <c r="G36" s="32" t="n">
        <f aca="false">E36*F36</f>
        <v>0</v>
      </c>
      <c r="H36" s="33" t="n">
        <f aca="false">IF(D36&gt;0,E36/D36,)</f>
        <v>0</v>
      </c>
      <c r="I36" s="1" t="n">
        <v>101</v>
      </c>
      <c r="J36" s="1" t="n">
        <v>101</v>
      </c>
      <c r="K36" s="1" t="n">
        <v>101</v>
      </c>
      <c r="L36" s="1" t="n">
        <v>101</v>
      </c>
      <c r="M36" s="1" t="n">
        <v>101</v>
      </c>
      <c r="N36" s="1" t="n">
        <v>101</v>
      </c>
      <c r="O36" s="1" t="n">
        <v>101</v>
      </c>
      <c r="P36" s="1" t="n">
        <v>101</v>
      </c>
      <c r="Q36" s="1" t="n">
        <v>101</v>
      </c>
      <c r="R36" s="1" t="n">
        <v>101</v>
      </c>
      <c r="S36" s="1" t="n">
        <v>101</v>
      </c>
      <c r="T36" s="1" t="n">
        <v>101</v>
      </c>
      <c r="U36" s="1" t="n">
        <v>101</v>
      </c>
      <c r="V36" s="1" t="n">
        <v>101</v>
      </c>
      <c r="W36" s="1" t="n">
        <v>101</v>
      </c>
      <c r="X36" s="1" t="n">
        <v>101</v>
      </c>
      <c r="Y36" s="1" t="n">
        <v>101</v>
      </c>
      <c r="Z36" s="1" t="n">
        <v>101</v>
      </c>
      <c r="AA36" s="1" t="n">
        <v>101</v>
      </c>
      <c r="AB36" s="1" t="n">
        <v>101</v>
      </c>
      <c r="AC36" s="1" t="n">
        <v>101</v>
      </c>
      <c r="AD36" s="1" t="n">
        <v>101</v>
      </c>
      <c r="AE36" s="1" t="n">
        <v>101</v>
      </c>
      <c r="AF36" s="1" t="n">
        <v>101</v>
      </c>
      <c r="AG36" s="1" t="n">
        <v>101</v>
      </c>
      <c r="AH36" s="1" t="n">
        <v>101</v>
      </c>
      <c r="AI36" s="1" t="n">
        <v>101</v>
      </c>
      <c r="AJ36" s="1" t="n">
        <v>101</v>
      </c>
      <c r="AK36" s="1" t="n">
        <v>101</v>
      </c>
      <c r="AL36" s="1" t="n">
        <v>101</v>
      </c>
      <c r="AM36" s="1" t="n">
        <v>101</v>
      </c>
      <c r="AN36" s="1" t="n">
        <v>101</v>
      </c>
      <c r="AO36" s="1"/>
      <c r="AP36" s="1"/>
      <c r="AQ36" s="1"/>
    </row>
    <row r="37" customFormat="false" ht="15" hidden="false" customHeight="false" outlineLevel="0" collapsed="false">
      <c r="A37" s="1" t="n">
        <v>534</v>
      </c>
      <c r="D37" s="31" t="n">
        <f aca="false">COUNTIFS(I37:AQ37,"&gt;0",I37:AQ37,"&lt;101")</f>
        <v>0</v>
      </c>
      <c r="E37" s="31" t="n">
        <f aca="true">INDIRECT("'Stammdaten - Schwimmer'!F"&amp;(I37+3))+INDIRECT("'Stammdaten - Schwimmer'!F"&amp;(J37+3))+INDIRECT("'Stammdaten - Schwimmer'!F"&amp;(K37+3))+INDIRECT("'Stammdaten - Schwimmer'!F"&amp;(L37+3))+INDIRECT("'Stammdaten - Schwimmer'!F"&amp;(M37+3))+INDIRECT("'Stammdaten - Schwimmer'!F"&amp;(N37+3))+INDIRECT("'Stammdaten - Schwimmer'!F"&amp;O37+3)+INDIRECT("'Stammdaten - Schwimmer'!F"&amp;(P37+3))+INDIRECT("'Stammdaten - Schwimmer'!F"&amp;(Q37+3))+INDIRECT("'Stammdaten - Schwimmer'!F"&amp;(R37+3))+INDIRECT("'Stammdaten - Schwimmer'!F"&amp;(S37+3))+INDIRECT("'Stammdaten - Schwimmer'!F"&amp;(T37+3))+INDIRECT("'Stammdaten - Schwimmer'!F"&amp;(U37+3))+INDIRECT("'Stammdaten - Schwimmer'!F"&amp;(V37+3))+INDIRECT("'Stammdaten - Schwimmer'!F"&amp;(W37+3))+INDIRECT("'Stammdaten - Schwimmer'!F"&amp;(X37+3))+INDIRECT("'Stammdaten - Schwimmer'!F"&amp;(Y37+3))+INDIRECT("'Stammdaten - Schwimmer'!F"&amp;(Z37+3))+INDIRECT("'Stammdaten - Schwimmer'!F"&amp;(AA37+3))+INDIRECT("'Stammdaten - Schwimmer'!F"&amp;(AB37+3))+INDIRECT("'Stammdaten - Schwimmer'!F"&amp;(AC37+3))+INDIRECT("'Stammdaten - Schwimmer'!F"&amp;(AD37+3))+INDIRECT("'Stammdaten - Schwimmer'!F"&amp;(AE37+3))+INDIRECT("'Stammdaten - Schwimmer'!F"&amp;(AF37+3))+INDIRECT("'Stammdaten - Schwimmer'!F"&amp;(AG37+3))</f>
        <v>0</v>
      </c>
      <c r="F37" s="2"/>
      <c r="G37" s="32" t="n">
        <f aca="false">E37*F37</f>
        <v>0</v>
      </c>
      <c r="H37" s="33" t="n">
        <f aca="false">IF(D37&gt;0,E37/D37,)</f>
        <v>0</v>
      </c>
      <c r="I37" s="1" t="n">
        <v>101</v>
      </c>
      <c r="J37" s="1" t="n">
        <v>101</v>
      </c>
      <c r="K37" s="1" t="n">
        <v>101</v>
      </c>
      <c r="L37" s="1" t="n">
        <v>101</v>
      </c>
      <c r="M37" s="1" t="n">
        <v>101</v>
      </c>
      <c r="N37" s="1" t="n">
        <v>101</v>
      </c>
      <c r="O37" s="1" t="n">
        <v>101</v>
      </c>
      <c r="P37" s="1" t="n">
        <v>101</v>
      </c>
      <c r="Q37" s="1" t="n">
        <v>101</v>
      </c>
      <c r="R37" s="1" t="n">
        <v>101</v>
      </c>
      <c r="S37" s="1" t="n">
        <v>101</v>
      </c>
      <c r="T37" s="1" t="n">
        <v>101</v>
      </c>
      <c r="U37" s="1" t="n">
        <v>101</v>
      </c>
      <c r="V37" s="1" t="n">
        <v>101</v>
      </c>
      <c r="W37" s="1" t="n">
        <v>101</v>
      </c>
      <c r="X37" s="1" t="n">
        <v>101</v>
      </c>
      <c r="Y37" s="1" t="n">
        <v>101</v>
      </c>
      <c r="Z37" s="1" t="n">
        <v>101</v>
      </c>
      <c r="AA37" s="1" t="n">
        <v>101</v>
      </c>
      <c r="AB37" s="1" t="n">
        <v>101</v>
      </c>
      <c r="AC37" s="1" t="n">
        <v>101</v>
      </c>
      <c r="AD37" s="1" t="n">
        <v>101</v>
      </c>
      <c r="AE37" s="1" t="n">
        <v>101</v>
      </c>
      <c r="AF37" s="1" t="n">
        <v>101</v>
      </c>
      <c r="AG37" s="1" t="n">
        <v>101</v>
      </c>
      <c r="AH37" s="1" t="n">
        <v>101</v>
      </c>
      <c r="AI37" s="1" t="n">
        <v>101</v>
      </c>
      <c r="AJ37" s="1" t="n">
        <v>101</v>
      </c>
      <c r="AK37" s="1" t="n">
        <v>101</v>
      </c>
      <c r="AL37" s="1" t="n">
        <v>101</v>
      </c>
      <c r="AM37" s="1" t="n">
        <v>101</v>
      </c>
      <c r="AN37" s="1" t="n">
        <v>101</v>
      </c>
      <c r="AO37" s="1"/>
      <c r="AP37" s="1"/>
      <c r="AQ37" s="1"/>
    </row>
    <row r="38" customFormat="false" ht="15" hidden="false" customHeight="false" outlineLevel="0" collapsed="false">
      <c r="A38" s="1" t="n">
        <v>535</v>
      </c>
      <c r="D38" s="31" t="n">
        <f aca="false">COUNTIFS(I38:AQ38,"&gt;0",I38:AQ38,"&lt;101")</f>
        <v>0</v>
      </c>
      <c r="E38" s="31" t="n">
        <f aca="true">INDIRECT("'Stammdaten - Schwimmer'!F"&amp;(I38+3))+INDIRECT("'Stammdaten - Schwimmer'!F"&amp;(J38+3))+INDIRECT("'Stammdaten - Schwimmer'!F"&amp;(K38+3))+INDIRECT("'Stammdaten - Schwimmer'!F"&amp;(L38+3))+INDIRECT("'Stammdaten - Schwimmer'!F"&amp;(M38+3))+INDIRECT("'Stammdaten - Schwimmer'!F"&amp;(N38+3))+INDIRECT("'Stammdaten - Schwimmer'!F"&amp;O38+3)+INDIRECT("'Stammdaten - Schwimmer'!F"&amp;(P38+3))+INDIRECT("'Stammdaten - Schwimmer'!F"&amp;(Q38+3))+INDIRECT("'Stammdaten - Schwimmer'!F"&amp;(R38+3))+INDIRECT("'Stammdaten - Schwimmer'!F"&amp;(S38+3))+INDIRECT("'Stammdaten - Schwimmer'!F"&amp;(T38+3))+INDIRECT("'Stammdaten - Schwimmer'!F"&amp;(U38+3))+INDIRECT("'Stammdaten - Schwimmer'!F"&amp;(V38+3))+INDIRECT("'Stammdaten - Schwimmer'!F"&amp;(W38+3))+INDIRECT("'Stammdaten - Schwimmer'!F"&amp;(X38+3))+INDIRECT("'Stammdaten - Schwimmer'!F"&amp;(Y38+3))+INDIRECT("'Stammdaten - Schwimmer'!F"&amp;(Z38+3))+INDIRECT("'Stammdaten - Schwimmer'!F"&amp;(AA38+3))+INDIRECT("'Stammdaten - Schwimmer'!F"&amp;(AB38+3))+INDIRECT("'Stammdaten - Schwimmer'!F"&amp;(AC38+3))+INDIRECT("'Stammdaten - Schwimmer'!F"&amp;(AD38+3))+INDIRECT("'Stammdaten - Schwimmer'!F"&amp;(AE38+3))+INDIRECT("'Stammdaten - Schwimmer'!F"&amp;(AF38+3))+INDIRECT("'Stammdaten - Schwimmer'!F"&amp;(AG38+3))</f>
        <v>0</v>
      </c>
      <c r="F38" s="2"/>
      <c r="G38" s="32" t="n">
        <f aca="false">E38*F38</f>
        <v>0</v>
      </c>
      <c r="H38" s="33" t="n">
        <f aca="false">IF(D38&gt;0,E38/D38,)</f>
        <v>0</v>
      </c>
      <c r="I38" s="1" t="n">
        <v>101</v>
      </c>
      <c r="J38" s="1" t="n">
        <v>101</v>
      </c>
      <c r="K38" s="1" t="n">
        <v>101</v>
      </c>
      <c r="L38" s="1" t="n">
        <v>101</v>
      </c>
      <c r="M38" s="1" t="n">
        <v>101</v>
      </c>
      <c r="N38" s="1" t="n">
        <v>101</v>
      </c>
      <c r="O38" s="1" t="n">
        <v>101</v>
      </c>
      <c r="P38" s="1" t="n">
        <v>101</v>
      </c>
      <c r="Q38" s="1" t="n">
        <v>101</v>
      </c>
      <c r="R38" s="1" t="n">
        <v>101</v>
      </c>
      <c r="S38" s="1" t="n">
        <v>101</v>
      </c>
      <c r="T38" s="1" t="n">
        <v>101</v>
      </c>
      <c r="U38" s="1" t="n">
        <v>101</v>
      </c>
      <c r="V38" s="1" t="n">
        <v>101</v>
      </c>
      <c r="W38" s="1" t="n">
        <v>101</v>
      </c>
      <c r="X38" s="1" t="n">
        <v>101</v>
      </c>
      <c r="Y38" s="1" t="n">
        <v>101</v>
      </c>
      <c r="Z38" s="1" t="n">
        <v>101</v>
      </c>
      <c r="AA38" s="1" t="n">
        <v>101</v>
      </c>
      <c r="AB38" s="1" t="n">
        <v>101</v>
      </c>
      <c r="AC38" s="1" t="n">
        <v>101</v>
      </c>
      <c r="AD38" s="1" t="n">
        <v>101</v>
      </c>
      <c r="AE38" s="1" t="n">
        <v>101</v>
      </c>
      <c r="AF38" s="1" t="n">
        <v>101</v>
      </c>
      <c r="AG38" s="1" t="n">
        <v>101</v>
      </c>
      <c r="AH38" s="1" t="n">
        <v>101</v>
      </c>
      <c r="AI38" s="1" t="n">
        <v>101</v>
      </c>
      <c r="AJ38" s="1" t="n">
        <v>101</v>
      </c>
      <c r="AK38" s="1" t="n">
        <v>101</v>
      </c>
      <c r="AL38" s="1" t="n">
        <v>101</v>
      </c>
      <c r="AM38" s="1" t="n">
        <v>101</v>
      </c>
      <c r="AN38" s="1" t="n">
        <v>101</v>
      </c>
      <c r="AO38" s="1"/>
      <c r="AP38" s="1"/>
      <c r="AQ38" s="1"/>
    </row>
    <row r="39" customFormat="false" ht="15" hidden="false" customHeight="false" outlineLevel="0" collapsed="false">
      <c r="A39" s="1" t="n">
        <v>536</v>
      </c>
      <c r="D39" s="31" t="n">
        <f aca="false">COUNTIFS(I39:AQ39,"&gt;0",I39:AQ39,"&lt;101")</f>
        <v>0</v>
      </c>
      <c r="E39" s="31" t="n">
        <f aca="true">INDIRECT("'Stammdaten - Schwimmer'!F"&amp;(I39+3))+INDIRECT("'Stammdaten - Schwimmer'!F"&amp;(J39+3))+INDIRECT("'Stammdaten - Schwimmer'!F"&amp;(K39+3))+INDIRECT("'Stammdaten - Schwimmer'!F"&amp;(L39+3))+INDIRECT("'Stammdaten - Schwimmer'!F"&amp;(M39+3))+INDIRECT("'Stammdaten - Schwimmer'!F"&amp;(N39+3))+INDIRECT("'Stammdaten - Schwimmer'!F"&amp;O39+3)+INDIRECT("'Stammdaten - Schwimmer'!F"&amp;(P39+3))+INDIRECT("'Stammdaten - Schwimmer'!F"&amp;(Q39+3))+INDIRECT("'Stammdaten - Schwimmer'!F"&amp;(R39+3))+INDIRECT("'Stammdaten - Schwimmer'!F"&amp;(S39+3))+INDIRECT("'Stammdaten - Schwimmer'!F"&amp;(T39+3))+INDIRECT("'Stammdaten - Schwimmer'!F"&amp;(U39+3))+INDIRECT("'Stammdaten - Schwimmer'!F"&amp;(V39+3))+INDIRECT("'Stammdaten - Schwimmer'!F"&amp;(W39+3))+INDIRECT("'Stammdaten - Schwimmer'!F"&amp;(X39+3))+INDIRECT("'Stammdaten - Schwimmer'!F"&amp;(Y39+3))+INDIRECT("'Stammdaten - Schwimmer'!F"&amp;(Z39+3))+INDIRECT("'Stammdaten - Schwimmer'!F"&amp;(AA39+3))+INDIRECT("'Stammdaten - Schwimmer'!F"&amp;(AB39+3))+INDIRECT("'Stammdaten - Schwimmer'!F"&amp;(AC39+3))+INDIRECT("'Stammdaten - Schwimmer'!F"&amp;(AD39+3))+INDIRECT("'Stammdaten - Schwimmer'!F"&amp;(AE39+3))+INDIRECT("'Stammdaten - Schwimmer'!F"&amp;(AF39+3))+INDIRECT("'Stammdaten - Schwimmer'!F"&amp;(AG39+3))</f>
        <v>0</v>
      </c>
      <c r="F39" s="2"/>
      <c r="G39" s="32" t="n">
        <f aca="false">E39*F39</f>
        <v>0</v>
      </c>
      <c r="H39" s="33" t="n">
        <f aca="false">IF(D39&gt;0,E39/D39,)</f>
        <v>0</v>
      </c>
      <c r="I39" s="1" t="n">
        <v>101</v>
      </c>
      <c r="J39" s="1" t="n">
        <v>101</v>
      </c>
      <c r="K39" s="1" t="n">
        <v>101</v>
      </c>
      <c r="L39" s="1" t="n">
        <v>101</v>
      </c>
      <c r="M39" s="1" t="n">
        <v>101</v>
      </c>
      <c r="N39" s="1" t="n">
        <v>101</v>
      </c>
      <c r="O39" s="1" t="n">
        <v>101</v>
      </c>
      <c r="P39" s="1" t="n">
        <v>101</v>
      </c>
      <c r="Q39" s="1" t="n">
        <v>101</v>
      </c>
      <c r="R39" s="1" t="n">
        <v>101</v>
      </c>
      <c r="S39" s="1" t="n">
        <v>101</v>
      </c>
      <c r="T39" s="1" t="n">
        <v>101</v>
      </c>
      <c r="U39" s="1" t="n">
        <v>101</v>
      </c>
      <c r="V39" s="1" t="n">
        <v>101</v>
      </c>
      <c r="W39" s="1" t="n">
        <v>101</v>
      </c>
      <c r="X39" s="1" t="n">
        <v>101</v>
      </c>
      <c r="Y39" s="1" t="n">
        <v>101</v>
      </c>
      <c r="Z39" s="1" t="n">
        <v>101</v>
      </c>
      <c r="AA39" s="1" t="n">
        <v>101</v>
      </c>
      <c r="AB39" s="1" t="n">
        <v>101</v>
      </c>
      <c r="AC39" s="1" t="n">
        <v>101</v>
      </c>
      <c r="AD39" s="1" t="n">
        <v>101</v>
      </c>
      <c r="AE39" s="1" t="n">
        <v>101</v>
      </c>
      <c r="AF39" s="1" t="n">
        <v>101</v>
      </c>
      <c r="AG39" s="1" t="n">
        <v>101</v>
      </c>
      <c r="AH39" s="1" t="n">
        <v>101</v>
      </c>
      <c r="AI39" s="1" t="n">
        <v>101</v>
      </c>
      <c r="AJ39" s="1" t="n">
        <v>101</v>
      </c>
      <c r="AK39" s="1" t="n">
        <v>101</v>
      </c>
      <c r="AL39" s="1" t="n">
        <v>101</v>
      </c>
      <c r="AM39" s="1" t="n">
        <v>101</v>
      </c>
      <c r="AN39" s="1" t="n">
        <v>101</v>
      </c>
      <c r="AO39" s="1"/>
      <c r="AP39" s="1"/>
      <c r="AQ39" s="1"/>
    </row>
    <row r="40" customFormat="false" ht="15" hidden="false" customHeight="false" outlineLevel="0" collapsed="false">
      <c r="A40" s="1" t="n">
        <v>537</v>
      </c>
      <c r="D40" s="31" t="n">
        <f aca="false">COUNTIFS(I40:AQ40,"&gt;0",I40:AQ40,"&lt;101")</f>
        <v>0</v>
      </c>
      <c r="E40" s="31" t="n">
        <f aca="true">INDIRECT("'Stammdaten - Schwimmer'!F"&amp;(I40+3))+INDIRECT("'Stammdaten - Schwimmer'!F"&amp;(J40+3))+INDIRECT("'Stammdaten - Schwimmer'!F"&amp;(K40+3))+INDIRECT("'Stammdaten - Schwimmer'!F"&amp;(L40+3))+INDIRECT("'Stammdaten - Schwimmer'!F"&amp;(M40+3))+INDIRECT("'Stammdaten - Schwimmer'!F"&amp;(N40+3))+INDIRECT("'Stammdaten - Schwimmer'!F"&amp;O40+3)+INDIRECT("'Stammdaten - Schwimmer'!F"&amp;(P40+3))+INDIRECT("'Stammdaten - Schwimmer'!F"&amp;(Q40+3))+INDIRECT("'Stammdaten - Schwimmer'!F"&amp;(R40+3))+INDIRECT("'Stammdaten - Schwimmer'!F"&amp;(S40+3))+INDIRECT("'Stammdaten - Schwimmer'!F"&amp;(T40+3))+INDIRECT("'Stammdaten - Schwimmer'!F"&amp;(U40+3))+INDIRECT("'Stammdaten - Schwimmer'!F"&amp;(V40+3))+INDIRECT("'Stammdaten - Schwimmer'!F"&amp;(W40+3))+INDIRECT("'Stammdaten - Schwimmer'!F"&amp;(X40+3))+INDIRECT("'Stammdaten - Schwimmer'!F"&amp;(Y40+3))+INDIRECT("'Stammdaten - Schwimmer'!F"&amp;(Z40+3))+INDIRECT("'Stammdaten - Schwimmer'!F"&amp;(AA40+3))+INDIRECT("'Stammdaten - Schwimmer'!F"&amp;(AB40+3))+INDIRECT("'Stammdaten - Schwimmer'!F"&amp;(AC40+3))+INDIRECT("'Stammdaten - Schwimmer'!F"&amp;(AD40+3))+INDIRECT("'Stammdaten - Schwimmer'!F"&amp;(AE40+3))+INDIRECT("'Stammdaten - Schwimmer'!F"&amp;(AF40+3))+INDIRECT("'Stammdaten - Schwimmer'!F"&amp;(AG40+3))</f>
        <v>0</v>
      </c>
      <c r="F40" s="2"/>
      <c r="G40" s="32" t="n">
        <f aca="false">E40*F40</f>
        <v>0</v>
      </c>
      <c r="H40" s="33" t="n">
        <f aca="false">IF(D40&gt;0,E40/D40,)</f>
        <v>0</v>
      </c>
      <c r="I40" s="1" t="n">
        <v>101</v>
      </c>
      <c r="J40" s="1" t="n">
        <v>101</v>
      </c>
      <c r="K40" s="1" t="n">
        <v>101</v>
      </c>
      <c r="L40" s="1" t="n">
        <v>101</v>
      </c>
      <c r="M40" s="1" t="n">
        <v>101</v>
      </c>
      <c r="N40" s="1" t="n">
        <v>101</v>
      </c>
      <c r="O40" s="1" t="n">
        <v>101</v>
      </c>
      <c r="P40" s="1" t="n">
        <v>101</v>
      </c>
      <c r="Q40" s="1" t="n">
        <v>101</v>
      </c>
      <c r="R40" s="1" t="n">
        <v>101</v>
      </c>
      <c r="S40" s="1" t="n">
        <v>101</v>
      </c>
      <c r="T40" s="1" t="n">
        <v>101</v>
      </c>
      <c r="U40" s="1" t="n">
        <v>101</v>
      </c>
      <c r="V40" s="1" t="n">
        <v>101</v>
      </c>
      <c r="W40" s="1" t="n">
        <v>101</v>
      </c>
      <c r="X40" s="1" t="n">
        <v>101</v>
      </c>
      <c r="Y40" s="1" t="n">
        <v>101</v>
      </c>
      <c r="Z40" s="1" t="n">
        <v>101</v>
      </c>
      <c r="AA40" s="1" t="n">
        <v>101</v>
      </c>
      <c r="AB40" s="1" t="n">
        <v>101</v>
      </c>
      <c r="AC40" s="1" t="n">
        <v>101</v>
      </c>
      <c r="AD40" s="1" t="n">
        <v>101</v>
      </c>
      <c r="AE40" s="1" t="n">
        <v>101</v>
      </c>
      <c r="AF40" s="1" t="n">
        <v>101</v>
      </c>
      <c r="AG40" s="1" t="n">
        <v>101</v>
      </c>
      <c r="AH40" s="1" t="n">
        <v>101</v>
      </c>
      <c r="AI40" s="1" t="n">
        <v>101</v>
      </c>
      <c r="AJ40" s="1" t="n">
        <v>101</v>
      </c>
      <c r="AK40" s="1" t="n">
        <v>101</v>
      </c>
      <c r="AL40" s="1" t="n">
        <v>101</v>
      </c>
      <c r="AM40" s="1" t="n">
        <v>101</v>
      </c>
      <c r="AN40" s="1" t="n">
        <v>101</v>
      </c>
      <c r="AO40" s="1"/>
      <c r="AP40" s="1"/>
      <c r="AQ40" s="1"/>
    </row>
    <row r="41" customFormat="false" ht="15" hidden="false" customHeight="false" outlineLevel="0" collapsed="false">
      <c r="A41" s="1" t="n">
        <v>538</v>
      </c>
      <c r="D41" s="31" t="n">
        <f aca="false">COUNTIFS(I41:AQ41,"&gt;0",I41:AQ41,"&lt;101")</f>
        <v>0</v>
      </c>
      <c r="E41" s="31" t="n">
        <f aca="true">INDIRECT("'Stammdaten - Schwimmer'!F"&amp;(I41+3))+INDIRECT("'Stammdaten - Schwimmer'!F"&amp;(J41+3))+INDIRECT("'Stammdaten - Schwimmer'!F"&amp;(K41+3))+INDIRECT("'Stammdaten - Schwimmer'!F"&amp;(L41+3))+INDIRECT("'Stammdaten - Schwimmer'!F"&amp;(M41+3))+INDIRECT("'Stammdaten - Schwimmer'!F"&amp;(N41+3))+INDIRECT("'Stammdaten - Schwimmer'!F"&amp;O41+3)+INDIRECT("'Stammdaten - Schwimmer'!F"&amp;(P41+3))+INDIRECT("'Stammdaten - Schwimmer'!F"&amp;(Q41+3))+INDIRECT("'Stammdaten - Schwimmer'!F"&amp;(R41+3))+INDIRECT("'Stammdaten - Schwimmer'!F"&amp;(S41+3))+INDIRECT("'Stammdaten - Schwimmer'!F"&amp;(T41+3))+INDIRECT("'Stammdaten - Schwimmer'!F"&amp;(U41+3))+INDIRECT("'Stammdaten - Schwimmer'!F"&amp;(V41+3))+INDIRECT("'Stammdaten - Schwimmer'!F"&amp;(W41+3))+INDIRECT("'Stammdaten - Schwimmer'!F"&amp;(X41+3))+INDIRECT("'Stammdaten - Schwimmer'!F"&amp;(Y41+3))+INDIRECT("'Stammdaten - Schwimmer'!F"&amp;(Z41+3))+INDIRECT("'Stammdaten - Schwimmer'!F"&amp;(AA41+3))+INDIRECT("'Stammdaten - Schwimmer'!F"&amp;(AB41+3))+INDIRECT("'Stammdaten - Schwimmer'!F"&amp;(AC41+3))+INDIRECT("'Stammdaten - Schwimmer'!F"&amp;(AD41+3))+INDIRECT("'Stammdaten - Schwimmer'!F"&amp;(AE41+3))+INDIRECT("'Stammdaten - Schwimmer'!F"&amp;(AF41+3))+INDIRECT("'Stammdaten - Schwimmer'!F"&amp;(AG41+3))</f>
        <v>0</v>
      </c>
      <c r="F41" s="2"/>
      <c r="G41" s="32" t="n">
        <f aca="false">E41*F41</f>
        <v>0</v>
      </c>
      <c r="H41" s="33" t="n">
        <f aca="false">IF(D41&gt;0,E41/D41,)</f>
        <v>0</v>
      </c>
      <c r="I41" s="1" t="n">
        <v>101</v>
      </c>
      <c r="J41" s="1" t="n">
        <v>101</v>
      </c>
      <c r="K41" s="1" t="n">
        <v>101</v>
      </c>
      <c r="L41" s="1" t="n">
        <v>101</v>
      </c>
      <c r="M41" s="1" t="n">
        <v>101</v>
      </c>
      <c r="N41" s="1" t="n">
        <v>101</v>
      </c>
      <c r="O41" s="1" t="n">
        <v>101</v>
      </c>
      <c r="P41" s="1" t="n">
        <v>101</v>
      </c>
      <c r="Q41" s="1" t="n">
        <v>101</v>
      </c>
      <c r="R41" s="1" t="n">
        <v>101</v>
      </c>
      <c r="S41" s="1" t="n">
        <v>101</v>
      </c>
      <c r="T41" s="1" t="n">
        <v>101</v>
      </c>
      <c r="U41" s="1" t="n">
        <v>101</v>
      </c>
      <c r="V41" s="1" t="n">
        <v>101</v>
      </c>
      <c r="W41" s="1" t="n">
        <v>101</v>
      </c>
      <c r="X41" s="1" t="n">
        <v>101</v>
      </c>
      <c r="Y41" s="1" t="n">
        <v>101</v>
      </c>
      <c r="Z41" s="1" t="n">
        <v>101</v>
      </c>
      <c r="AA41" s="1" t="n">
        <v>101</v>
      </c>
      <c r="AB41" s="1" t="n">
        <v>101</v>
      </c>
      <c r="AC41" s="1" t="n">
        <v>101</v>
      </c>
      <c r="AD41" s="1" t="n">
        <v>101</v>
      </c>
      <c r="AE41" s="1" t="n">
        <v>101</v>
      </c>
      <c r="AF41" s="1" t="n">
        <v>101</v>
      </c>
      <c r="AG41" s="1" t="n">
        <v>101</v>
      </c>
      <c r="AH41" s="1" t="n">
        <v>101</v>
      </c>
      <c r="AI41" s="1" t="n">
        <v>101</v>
      </c>
      <c r="AJ41" s="1" t="n">
        <v>101</v>
      </c>
      <c r="AK41" s="1" t="n">
        <v>101</v>
      </c>
      <c r="AL41" s="1" t="n">
        <v>101</v>
      </c>
      <c r="AM41" s="1" t="n">
        <v>101</v>
      </c>
      <c r="AN41" s="1" t="n">
        <v>101</v>
      </c>
      <c r="AO41" s="1"/>
      <c r="AP41" s="1"/>
      <c r="AQ41" s="1"/>
    </row>
    <row r="42" customFormat="false" ht="15" hidden="false" customHeight="false" outlineLevel="0" collapsed="false">
      <c r="A42" s="1" t="n">
        <v>539</v>
      </c>
      <c r="D42" s="31" t="n">
        <f aca="false">COUNTIFS(I42:AQ42,"&gt;0",I42:AQ42,"&lt;101")</f>
        <v>0</v>
      </c>
      <c r="E42" s="31" t="n">
        <f aca="true">INDIRECT("'Stammdaten - Schwimmer'!F"&amp;(I42+3))+INDIRECT("'Stammdaten - Schwimmer'!F"&amp;(J42+3))+INDIRECT("'Stammdaten - Schwimmer'!F"&amp;(K42+3))+INDIRECT("'Stammdaten - Schwimmer'!F"&amp;(L42+3))+INDIRECT("'Stammdaten - Schwimmer'!F"&amp;(M42+3))+INDIRECT("'Stammdaten - Schwimmer'!F"&amp;(N42+3))+INDIRECT("'Stammdaten - Schwimmer'!F"&amp;O42+3)+INDIRECT("'Stammdaten - Schwimmer'!F"&amp;(P42+3))+INDIRECT("'Stammdaten - Schwimmer'!F"&amp;(Q42+3))+INDIRECT("'Stammdaten - Schwimmer'!F"&amp;(R42+3))+INDIRECT("'Stammdaten - Schwimmer'!F"&amp;(S42+3))+INDIRECT("'Stammdaten - Schwimmer'!F"&amp;(T42+3))+INDIRECT("'Stammdaten - Schwimmer'!F"&amp;(U42+3))+INDIRECT("'Stammdaten - Schwimmer'!F"&amp;(V42+3))+INDIRECT("'Stammdaten - Schwimmer'!F"&amp;(W42+3))+INDIRECT("'Stammdaten - Schwimmer'!F"&amp;(X42+3))+INDIRECT("'Stammdaten - Schwimmer'!F"&amp;(Y42+3))+INDIRECT("'Stammdaten - Schwimmer'!F"&amp;(Z42+3))+INDIRECT("'Stammdaten - Schwimmer'!F"&amp;(AA42+3))+INDIRECT("'Stammdaten - Schwimmer'!F"&amp;(AB42+3))+INDIRECT("'Stammdaten - Schwimmer'!F"&amp;(AC42+3))+INDIRECT("'Stammdaten - Schwimmer'!F"&amp;(AD42+3))+INDIRECT("'Stammdaten - Schwimmer'!F"&amp;(AE42+3))+INDIRECT("'Stammdaten - Schwimmer'!F"&amp;(AF42+3))+INDIRECT("'Stammdaten - Schwimmer'!F"&amp;(AG42+3))</f>
        <v>0</v>
      </c>
      <c r="F42" s="2"/>
      <c r="G42" s="32" t="n">
        <f aca="false">E42*F42</f>
        <v>0</v>
      </c>
      <c r="H42" s="33" t="n">
        <f aca="false">IF(D42&gt;0,E42/D42,)</f>
        <v>0</v>
      </c>
      <c r="I42" s="1" t="n">
        <v>101</v>
      </c>
      <c r="J42" s="1" t="n">
        <v>101</v>
      </c>
      <c r="K42" s="1" t="n">
        <v>101</v>
      </c>
      <c r="L42" s="1" t="n">
        <v>101</v>
      </c>
      <c r="M42" s="1" t="n">
        <v>101</v>
      </c>
      <c r="N42" s="1" t="n">
        <v>101</v>
      </c>
      <c r="O42" s="1" t="n">
        <v>101</v>
      </c>
      <c r="P42" s="1" t="n">
        <v>101</v>
      </c>
      <c r="Q42" s="1" t="n">
        <v>101</v>
      </c>
      <c r="R42" s="1" t="n">
        <v>101</v>
      </c>
      <c r="S42" s="1" t="n">
        <v>101</v>
      </c>
      <c r="T42" s="1" t="n">
        <v>101</v>
      </c>
      <c r="U42" s="1" t="n">
        <v>101</v>
      </c>
      <c r="V42" s="1" t="n">
        <v>101</v>
      </c>
      <c r="W42" s="1" t="n">
        <v>101</v>
      </c>
      <c r="X42" s="1" t="n">
        <v>101</v>
      </c>
      <c r="Y42" s="1" t="n">
        <v>101</v>
      </c>
      <c r="Z42" s="1" t="n">
        <v>101</v>
      </c>
      <c r="AA42" s="1" t="n">
        <v>101</v>
      </c>
      <c r="AB42" s="1" t="n">
        <v>101</v>
      </c>
      <c r="AC42" s="1" t="n">
        <v>101</v>
      </c>
      <c r="AD42" s="1" t="n">
        <v>101</v>
      </c>
      <c r="AE42" s="1" t="n">
        <v>101</v>
      </c>
      <c r="AF42" s="1" t="n">
        <v>101</v>
      </c>
      <c r="AG42" s="1" t="n">
        <v>101</v>
      </c>
      <c r="AH42" s="1" t="n">
        <v>101</v>
      </c>
      <c r="AI42" s="1" t="n">
        <v>101</v>
      </c>
      <c r="AJ42" s="1" t="n">
        <v>101</v>
      </c>
      <c r="AK42" s="1" t="n">
        <v>101</v>
      </c>
      <c r="AL42" s="1" t="n">
        <v>101</v>
      </c>
      <c r="AM42" s="1" t="n">
        <v>101</v>
      </c>
      <c r="AN42" s="1" t="n">
        <v>101</v>
      </c>
      <c r="AO42" s="1"/>
      <c r="AP42" s="1"/>
      <c r="AQ42" s="1"/>
    </row>
    <row r="43" customFormat="false" ht="15" hidden="false" customHeight="false" outlineLevel="0" collapsed="false">
      <c r="A43" s="1" t="n">
        <v>540</v>
      </c>
      <c r="D43" s="31" t="n">
        <f aca="false">COUNTIFS(I43:AQ43,"&gt;0",I43:AQ43,"&lt;101")</f>
        <v>0</v>
      </c>
      <c r="E43" s="31" t="n">
        <f aca="true">INDIRECT("'Stammdaten - Schwimmer'!F"&amp;(I43+3))+INDIRECT("'Stammdaten - Schwimmer'!F"&amp;(J43+3))+INDIRECT("'Stammdaten - Schwimmer'!F"&amp;(K43+3))+INDIRECT("'Stammdaten - Schwimmer'!F"&amp;(L43+3))+INDIRECT("'Stammdaten - Schwimmer'!F"&amp;(M43+3))+INDIRECT("'Stammdaten - Schwimmer'!F"&amp;(N43+3))+INDIRECT("'Stammdaten - Schwimmer'!F"&amp;O43+3)+INDIRECT("'Stammdaten - Schwimmer'!F"&amp;(P43+3))+INDIRECT("'Stammdaten - Schwimmer'!F"&amp;(Q43+3))+INDIRECT("'Stammdaten - Schwimmer'!F"&amp;(R43+3))+INDIRECT("'Stammdaten - Schwimmer'!F"&amp;(S43+3))+INDIRECT("'Stammdaten - Schwimmer'!F"&amp;(T43+3))+INDIRECT("'Stammdaten - Schwimmer'!F"&amp;(U43+3))+INDIRECT("'Stammdaten - Schwimmer'!F"&amp;(V43+3))+INDIRECT("'Stammdaten - Schwimmer'!F"&amp;(W43+3))+INDIRECT("'Stammdaten - Schwimmer'!F"&amp;(X43+3))+INDIRECT("'Stammdaten - Schwimmer'!F"&amp;(Y43+3))+INDIRECT("'Stammdaten - Schwimmer'!F"&amp;(Z43+3))+INDIRECT("'Stammdaten - Schwimmer'!F"&amp;(AA43+3))+INDIRECT("'Stammdaten - Schwimmer'!F"&amp;(AB43+3))+INDIRECT("'Stammdaten - Schwimmer'!F"&amp;(AC43+3))+INDIRECT("'Stammdaten - Schwimmer'!F"&amp;(AD43+3))+INDIRECT("'Stammdaten - Schwimmer'!F"&amp;(AE43+3))+INDIRECT("'Stammdaten - Schwimmer'!F"&amp;(AF43+3))+INDIRECT("'Stammdaten - Schwimmer'!F"&amp;(AG43+3))</f>
        <v>0</v>
      </c>
      <c r="F43" s="2"/>
      <c r="G43" s="32" t="n">
        <f aca="false">E43*F43</f>
        <v>0</v>
      </c>
      <c r="H43" s="33" t="n">
        <f aca="false">IF(D43&gt;0,E43/D43,)</f>
        <v>0</v>
      </c>
      <c r="I43" s="1" t="n">
        <v>101</v>
      </c>
      <c r="J43" s="1" t="n">
        <v>101</v>
      </c>
      <c r="K43" s="1" t="n">
        <v>101</v>
      </c>
      <c r="L43" s="1" t="n">
        <v>101</v>
      </c>
      <c r="M43" s="1" t="n">
        <v>101</v>
      </c>
      <c r="N43" s="1" t="n">
        <v>101</v>
      </c>
      <c r="O43" s="1" t="n">
        <v>101</v>
      </c>
      <c r="P43" s="1" t="n">
        <v>101</v>
      </c>
      <c r="Q43" s="1" t="n">
        <v>101</v>
      </c>
      <c r="R43" s="1" t="n">
        <v>101</v>
      </c>
      <c r="S43" s="1" t="n">
        <v>101</v>
      </c>
      <c r="T43" s="1" t="n">
        <v>101</v>
      </c>
      <c r="U43" s="1" t="n">
        <v>101</v>
      </c>
      <c r="V43" s="1" t="n">
        <v>101</v>
      </c>
      <c r="W43" s="1" t="n">
        <v>101</v>
      </c>
      <c r="X43" s="1" t="n">
        <v>101</v>
      </c>
      <c r="Y43" s="1" t="n">
        <v>101</v>
      </c>
      <c r="Z43" s="1" t="n">
        <v>101</v>
      </c>
      <c r="AA43" s="1" t="n">
        <v>101</v>
      </c>
      <c r="AB43" s="1" t="n">
        <v>101</v>
      </c>
      <c r="AC43" s="1" t="n">
        <v>101</v>
      </c>
      <c r="AD43" s="1" t="n">
        <v>101</v>
      </c>
      <c r="AE43" s="1" t="n">
        <v>101</v>
      </c>
      <c r="AF43" s="1" t="n">
        <v>101</v>
      </c>
      <c r="AG43" s="1" t="n">
        <v>101</v>
      </c>
      <c r="AH43" s="1" t="n">
        <v>101</v>
      </c>
      <c r="AI43" s="1" t="n">
        <v>101</v>
      </c>
      <c r="AJ43" s="1" t="n">
        <v>101</v>
      </c>
      <c r="AK43" s="1" t="n">
        <v>101</v>
      </c>
      <c r="AL43" s="1" t="n">
        <v>101</v>
      </c>
      <c r="AM43" s="1" t="n">
        <v>101</v>
      </c>
      <c r="AN43" s="1" t="n">
        <v>101</v>
      </c>
      <c r="AO43" s="1"/>
      <c r="AP43" s="1"/>
      <c r="AQ43" s="1"/>
    </row>
    <row r="44" customFormat="false" ht="15" hidden="false" customHeight="false" outlineLevel="0" collapsed="false">
      <c r="A44" s="1" t="n">
        <v>541</v>
      </c>
      <c r="D44" s="31" t="n">
        <f aca="false">COUNTIFS(I44:AQ44,"&gt;0",I44:AQ44,"&lt;101")</f>
        <v>0</v>
      </c>
      <c r="E44" s="31" t="n">
        <f aca="true">INDIRECT("'Stammdaten - Schwimmer'!F"&amp;(I44+3))+INDIRECT("'Stammdaten - Schwimmer'!F"&amp;(J44+3))+INDIRECT("'Stammdaten - Schwimmer'!F"&amp;(K44+3))+INDIRECT("'Stammdaten - Schwimmer'!F"&amp;(L44+3))+INDIRECT("'Stammdaten - Schwimmer'!F"&amp;(M44+3))+INDIRECT("'Stammdaten - Schwimmer'!F"&amp;(N44+3))+INDIRECT("'Stammdaten - Schwimmer'!F"&amp;O44+3)+INDIRECT("'Stammdaten - Schwimmer'!F"&amp;(P44+3))+INDIRECT("'Stammdaten - Schwimmer'!F"&amp;(Q44+3))+INDIRECT("'Stammdaten - Schwimmer'!F"&amp;(R44+3))+INDIRECT("'Stammdaten - Schwimmer'!F"&amp;(S44+3))+INDIRECT("'Stammdaten - Schwimmer'!F"&amp;(T44+3))+INDIRECT("'Stammdaten - Schwimmer'!F"&amp;(U44+3))+INDIRECT("'Stammdaten - Schwimmer'!F"&amp;(V44+3))+INDIRECT("'Stammdaten - Schwimmer'!F"&amp;(W44+3))+INDIRECT("'Stammdaten - Schwimmer'!F"&amp;(X44+3))+INDIRECT("'Stammdaten - Schwimmer'!F"&amp;(Y44+3))+INDIRECT("'Stammdaten - Schwimmer'!F"&amp;(Z44+3))+INDIRECT("'Stammdaten - Schwimmer'!F"&amp;(AA44+3))+INDIRECT("'Stammdaten - Schwimmer'!F"&amp;(AB44+3))+INDIRECT("'Stammdaten - Schwimmer'!F"&amp;(AC44+3))+INDIRECT("'Stammdaten - Schwimmer'!F"&amp;(AD44+3))+INDIRECT("'Stammdaten - Schwimmer'!F"&amp;(AE44+3))+INDIRECT("'Stammdaten - Schwimmer'!F"&amp;(AF44+3))+INDIRECT("'Stammdaten - Schwimmer'!F"&amp;(AG44+3))</f>
        <v>0</v>
      </c>
      <c r="F44" s="2"/>
      <c r="G44" s="32" t="n">
        <f aca="false">E44*F44</f>
        <v>0</v>
      </c>
      <c r="H44" s="33" t="n">
        <f aca="false">IF(D44&gt;0,E44/D44,)</f>
        <v>0</v>
      </c>
      <c r="I44" s="1" t="n">
        <v>101</v>
      </c>
      <c r="J44" s="1" t="n">
        <v>101</v>
      </c>
      <c r="K44" s="1" t="n">
        <v>101</v>
      </c>
      <c r="L44" s="1" t="n">
        <v>101</v>
      </c>
      <c r="M44" s="1" t="n">
        <v>101</v>
      </c>
      <c r="N44" s="1" t="n">
        <v>101</v>
      </c>
      <c r="O44" s="1" t="n">
        <v>101</v>
      </c>
      <c r="P44" s="1" t="n">
        <v>101</v>
      </c>
      <c r="Q44" s="1" t="n">
        <v>101</v>
      </c>
      <c r="R44" s="1" t="n">
        <v>101</v>
      </c>
      <c r="S44" s="1" t="n">
        <v>101</v>
      </c>
      <c r="T44" s="1" t="n">
        <v>101</v>
      </c>
      <c r="U44" s="1" t="n">
        <v>101</v>
      </c>
      <c r="V44" s="1" t="n">
        <v>101</v>
      </c>
      <c r="W44" s="1" t="n">
        <v>101</v>
      </c>
      <c r="X44" s="1" t="n">
        <v>101</v>
      </c>
      <c r="Y44" s="1" t="n">
        <v>101</v>
      </c>
      <c r="Z44" s="1" t="n">
        <v>101</v>
      </c>
      <c r="AA44" s="1" t="n">
        <v>101</v>
      </c>
      <c r="AB44" s="1" t="n">
        <v>101</v>
      </c>
      <c r="AC44" s="1" t="n">
        <v>101</v>
      </c>
      <c r="AD44" s="1" t="n">
        <v>101</v>
      </c>
      <c r="AE44" s="1" t="n">
        <v>101</v>
      </c>
      <c r="AF44" s="1" t="n">
        <v>101</v>
      </c>
      <c r="AG44" s="1" t="n">
        <v>101</v>
      </c>
      <c r="AH44" s="1" t="n">
        <v>101</v>
      </c>
      <c r="AI44" s="1" t="n">
        <v>101</v>
      </c>
      <c r="AJ44" s="1" t="n">
        <v>101</v>
      </c>
      <c r="AK44" s="1" t="n">
        <v>101</v>
      </c>
      <c r="AL44" s="1" t="n">
        <v>101</v>
      </c>
      <c r="AM44" s="1" t="n">
        <v>101</v>
      </c>
      <c r="AN44" s="1" t="n">
        <v>101</v>
      </c>
      <c r="AO44" s="1"/>
      <c r="AP44" s="1"/>
      <c r="AQ44" s="1"/>
    </row>
    <row r="45" customFormat="false" ht="15" hidden="false" customHeight="false" outlineLevel="0" collapsed="false">
      <c r="A45" s="1" t="n">
        <v>542</v>
      </c>
      <c r="D45" s="31" t="n">
        <f aca="false">COUNTIFS(I45:AQ45,"&gt;0",I45:AQ45,"&lt;101")</f>
        <v>0</v>
      </c>
      <c r="E45" s="31" t="n">
        <f aca="true">INDIRECT("'Stammdaten - Schwimmer'!F"&amp;(I45+3))+INDIRECT("'Stammdaten - Schwimmer'!F"&amp;(J45+3))+INDIRECT("'Stammdaten - Schwimmer'!F"&amp;(K45+3))+INDIRECT("'Stammdaten - Schwimmer'!F"&amp;(L45+3))+INDIRECT("'Stammdaten - Schwimmer'!F"&amp;(M45+3))+INDIRECT("'Stammdaten - Schwimmer'!F"&amp;(N45+3))+INDIRECT("'Stammdaten - Schwimmer'!F"&amp;O45+3)+INDIRECT("'Stammdaten - Schwimmer'!F"&amp;(P45+3))+INDIRECT("'Stammdaten - Schwimmer'!F"&amp;(Q45+3))+INDIRECT("'Stammdaten - Schwimmer'!F"&amp;(R45+3))+INDIRECT("'Stammdaten - Schwimmer'!F"&amp;(S45+3))+INDIRECT("'Stammdaten - Schwimmer'!F"&amp;(T45+3))+INDIRECT("'Stammdaten - Schwimmer'!F"&amp;(U45+3))+INDIRECT("'Stammdaten - Schwimmer'!F"&amp;(V45+3))+INDIRECT("'Stammdaten - Schwimmer'!F"&amp;(W45+3))+INDIRECT("'Stammdaten - Schwimmer'!F"&amp;(X45+3))+INDIRECT("'Stammdaten - Schwimmer'!F"&amp;(Y45+3))+INDIRECT("'Stammdaten - Schwimmer'!F"&amp;(Z45+3))+INDIRECT("'Stammdaten - Schwimmer'!F"&amp;(AA45+3))+INDIRECT("'Stammdaten - Schwimmer'!F"&amp;(AB45+3))+INDIRECT("'Stammdaten - Schwimmer'!F"&amp;(AC45+3))+INDIRECT("'Stammdaten - Schwimmer'!F"&amp;(AD45+3))+INDIRECT("'Stammdaten - Schwimmer'!F"&amp;(AE45+3))+INDIRECT("'Stammdaten - Schwimmer'!F"&amp;(AF45+3))+INDIRECT("'Stammdaten - Schwimmer'!F"&amp;(AG45+3))</f>
        <v>0</v>
      </c>
      <c r="F45" s="2"/>
      <c r="G45" s="32" t="n">
        <f aca="false">E45*F45</f>
        <v>0</v>
      </c>
      <c r="H45" s="33" t="n">
        <f aca="false">IF(D45&gt;0,E45/D45,)</f>
        <v>0</v>
      </c>
      <c r="I45" s="1" t="n">
        <v>101</v>
      </c>
      <c r="J45" s="1" t="n">
        <v>101</v>
      </c>
      <c r="K45" s="1" t="n">
        <v>101</v>
      </c>
      <c r="L45" s="1" t="n">
        <v>101</v>
      </c>
      <c r="M45" s="1" t="n">
        <v>101</v>
      </c>
      <c r="N45" s="1" t="n">
        <v>101</v>
      </c>
      <c r="O45" s="1" t="n">
        <v>101</v>
      </c>
      <c r="P45" s="1" t="n">
        <v>101</v>
      </c>
      <c r="Q45" s="1" t="n">
        <v>101</v>
      </c>
      <c r="R45" s="1" t="n">
        <v>101</v>
      </c>
      <c r="S45" s="1" t="n">
        <v>101</v>
      </c>
      <c r="T45" s="1" t="n">
        <v>101</v>
      </c>
      <c r="U45" s="1" t="n">
        <v>101</v>
      </c>
      <c r="V45" s="1" t="n">
        <v>101</v>
      </c>
      <c r="W45" s="1" t="n">
        <v>101</v>
      </c>
      <c r="X45" s="1" t="n">
        <v>101</v>
      </c>
      <c r="Y45" s="1" t="n">
        <v>101</v>
      </c>
      <c r="Z45" s="1" t="n">
        <v>101</v>
      </c>
      <c r="AA45" s="1" t="n">
        <v>101</v>
      </c>
      <c r="AB45" s="1" t="n">
        <v>101</v>
      </c>
      <c r="AC45" s="1" t="n">
        <v>101</v>
      </c>
      <c r="AD45" s="1" t="n">
        <v>101</v>
      </c>
      <c r="AE45" s="1" t="n">
        <v>101</v>
      </c>
      <c r="AF45" s="1" t="n">
        <v>101</v>
      </c>
      <c r="AG45" s="1" t="n">
        <v>101</v>
      </c>
      <c r="AH45" s="1" t="n">
        <v>101</v>
      </c>
      <c r="AI45" s="1" t="n">
        <v>101</v>
      </c>
      <c r="AJ45" s="1" t="n">
        <v>101</v>
      </c>
      <c r="AK45" s="1" t="n">
        <v>101</v>
      </c>
      <c r="AL45" s="1" t="n">
        <v>101</v>
      </c>
      <c r="AM45" s="1" t="n">
        <v>101</v>
      </c>
      <c r="AN45" s="1" t="n">
        <v>101</v>
      </c>
      <c r="AO45" s="1"/>
      <c r="AP45" s="1"/>
      <c r="AQ45" s="1"/>
    </row>
    <row r="46" customFormat="false" ht="15" hidden="false" customHeight="false" outlineLevel="0" collapsed="false">
      <c r="A46" s="1" t="n">
        <v>543</v>
      </c>
      <c r="D46" s="31" t="n">
        <f aca="false">COUNTIFS(I46:AQ46,"&gt;0",I46:AQ46,"&lt;101")</f>
        <v>0</v>
      </c>
      <c r="E46" s="31" t="n">
        <f aca="true">INDIRECT("'Stammdaten - Schwimmer'!F"&amp;(I46+3))+INDIRECT("'Stammdaten - Schwimmer'!F"&amp;(J46+3))+INDIRECT("'Stammdaten - Schwimmer'!F"&amp;(K46+3))+INDIRECT("'Stammdaten - Schwimmer'!F"&amp;(L46+3))+INDIRECT("'Stammdaten - Schwimmer'!F"&amp;(M46+3))+INDIRECT("'Stammdaten - Schwimmer'!F"&amp;(N46+3))+INDIRECT("'Stammdaten - Schwimmer'!F"&amp;O46+3)+INDIRECT("'Stammdaten - Schwimmer'!F"&amp;(P46+3))+INDIRECT("'Stammdaten - Schwimmer'!F"&amp;(Q46+3))+INDIRECT("'Stammdaten - Schwimmer'!F"&amp;(R46+3))+INDIRECT("'Stammdaten - Schwimmer'!F"&amp;(S46+3))+INDIRECT("'Stammdaten - Schwimmer'!F"&amp;(T46+3))+INDIRECT("'Stammdaten - Schwimmer'!F"&amp;(U46+3))+INDIRECT("'Stammdaten - Schwimmer'!F"&amp;(V46+3))+INDIRECT("'Stammdaten - Schwimmer'!F"&amp;(W46+3))+INDIRECT("'Stammdaten - Schwimmer'!F"&amp;(X46+3))+INDIRECT("'Stammdaten - Schwimmer'!F"&amp;(Y46+3))+INDIRECT("'Stammdaten - Schwimmer'!F"&amp;(Z46+3))+INDIRECT("'Stammdaten - Schwimmer'!F"&amp;(AA46+3))+INDIRECT("'Stammdaten - Schwimmer'!F"&amp;(AB46+3))+INDIRECT("'Stammdaten - Schwimmer'!F"&amp;(AC46+3))+INDIRECT("'Stammdaten - Schwimmer'!F"&amp;(AD46+3))+INDIRECT("'Stammdaten - Schwimmer'!F"&amp;(AE46+3))+INDIRECT("'Stammdaten - Schwimmer'!F"&amp;(AF46+3))+INDIRECT("'Stammdaten - Schwimmer'!F"&amp;(AG46+3))</f>
        <v>0</v>
      </c>
      <c r="F46" s="2"/>
      <c r="G46" s="32" t="n">
        <f aca="false">E46*F46</f>
        <v>0</v>
      </c>
      <c r="H46" s="33" t="n">
        <f aca="false">IF(D46&gt;0,E46/D46,)</f>
        <v>0</v>
      </c>
      <c r="I46" s="1" t="n">
        <v>101</v>
      </c>
      <c r="J46" s="1" t="n">
        <v>101</v>
      </c>
      <c r="K46" s="1" t="n">
        <v>101</v>
      </c>
      <c r="L46" s="1" t="n">
        <v>101</v>
      </c>
      <c r="M46" s="1" t="n">
        <v>101</v>
      </c>
      <c r="N46" s="1" t="n">
        <v>101</v>
      </c>
      <c r="O46" s="1" t="n">
        <v>101</v>
      </c>
      <c r="P46" s="1" t="n">
        <v>101</v>
      </c>
      <c r="Q46" s="1" t="n">
        <v>101</v>
      </c>
      <c r="R46" s="1" t="n">
        <v>101</v>
      </c>
      <c r="S46" s="1" t="n">
        <v>101</v>
      </c>
      <c r="T46" s="1" t="n">
        <v>101</v>
      </c>
      <c r="U46" s="1" t="n">
        <v>101</v>
      </c>
      <c r="V46" s="1" t="n">
        <v>101</v>
      </c>
      <c r="W46" s="1" t="n">
        <v>101</v>
      </c>
      <c r="X46" s="1" t="n">
        <v>101</v>
      </c>
      <c r="Y46" s="1" t="n">
        <v>101</v>
      </c>
      <c r="Z46" s="1" t="n">
        <v>101</v>
      </c>
      <c r="AA46" s="1" t="n">
        <v>101</v>
      </c>
      <c r="AB46" s="1" t="n">
        <v>101</v>
      </c>
      <c r="AC46" s="1" t="n">
        <v>101</v>
      </c>
      <c r="AD46" s="1" t="n">
        <v>101</v>
      </c>
      <c r="AE46" s="1" t="n">
        <v>101</v>
      </c>
      <c r="AF46" s="1" t="n">
        <v>101</v>
      </c>
      <c r="AG46" s="1" t="n">
        <v>101</v>
      </c>
      <c r="AH46" s="1" t="n">
        <v>101</v>
      </c>
      <c r="AI46" s="1" t="n">
        <v>101</v>
      </c>
      <c r="AJ46" s="1" t="n">
        <v>101</v>
      </c>
      <c r="AK46" s="1" t="n">
        <v>101</v>
      </c>
      <c r="AL46" s="1" t="n">
        <v>101</v>
      </c>
      <c r="AM46" s="1" t="n">
        <v>101</v>
      </c>
      <c r="AN46" s="1" t="n">
        <v>101</v>
      </c>
      <c r="AO46" s="1"/>
      <c r="AP46" s="1"/>
      <c r="AQ46" s="1"/>
    </row>
    <row r="47" customFormat="false" ht="15" hidden="false" customHeight="false" outlineLevel="0" collapsed="false">
      <c r="A47" s="1" t="n">
        <v>544</v>
      </c>
      <c r="D47" s="31" t="n">
        <f aca="false">COUNTIFS(I47:AQ47,"&gt;0",I47:AQ47,"&lt;101")</f>
        <v>0</v>
      </c>
      <c r="E47" s="31" t="n">
        <f aca="true">INDIRECT("'Stammdaten - Schwimmer'!F"&amp;(I47+3))+INDIRECT("'Stammdaten - Schwimmer'!F"&amp;(J47+3))+INDIRECT("'Stammdaten - Schwimmer'!F"&amp;(K47+3))+INDIRECT("'Stammdaten - Schwimmer'!F"&amp;(L47+3))+INDIRECT("'Stammdaten - Schwimmer'!F"&amp;(M47+3))+INDIRECT("'Stammdaten - Schwimmer'!F"&amp;(N47+3))+INDIRECT("'Stammdaten - Schwimmer'!F"&amp;O47+3)+INDIRECT("'Stammdaten - Schwimmer'!F"&amp;(P47+3))+INDIRECT("'Stammdaten - Schwimmer'!F"&amp;(Q47+3))+INDIRECT("'Stammdaten - Schwimmer'!F"&amp;(R47+3))+INDIRECT("'Stammdaten - Schwimmer'!F"&amp;(S47+3))+INDIRECT("'Stammdaten - Schwimmer'!F"&amp;(T47+3))+INDIRECT("'Stammdaten - Schwimmer'!F"&amp;(U47+3))+INDIRECT("'Stammdaten - Schwimmer'!F"&amp;(V47+3))+INDIRECT("'Stammdaten - Schwimmer'!F"&amp;(W47+3))+INDIRECT("'Stammdaten - Schwimmer'!F"&amp;(X47+3))+INDIRECT("'Stammdaten - Schwimmer'!F"&amp;(Y47+3))+INDIRECT("'Stammdaten - Schwimmer'!F"&amp;(Z47+3))+INDIRECT("'Stammdaten - Schwimmer'!F"&amp;(AA47+3))+INDIRECT("'Stammdaten - Schwimmer'!F"&amp;(AB47+3))+INDIRECT("'Stammdaten - Schwimmer'!F"&amp;(AC47+3))+INDIRECT("'Stammdaten - Schwimmer'!F"&amp;(AD47+3))+INDIRECT("'Stammdaten - Schwimmer'!F"&amp;(AE47+3))+INDIRECT("'Stammdaten - Schwimmer'!F"&amp;(AF47+3))+INDIRECT("'Stammdaten - Schwimmer'!F"&amp;(AG47+3))</f>
        <v>0</v>
      </c>
      <c r="F47" s="2"/>
      <c r="G47" s="32" t="n">
        <f aca="false">E47*F47</f>
        <v>0</v>
      </c>
      <c r="H47" s="33" t="n">
        <f aca="false">IF(D47&gt;0,E47/D47,)</f>
        <v>0</v>
      </c>
      <c r="I47" s="1" t="n">
        <v>101</v>
      </c>
      <c r="J47" s="1" t="n">
        <v>101</v>
      </c>
      <c r="K47" s="1" t="n">
        <v>101</v>
      </c>
      <c r="L47" s="1" t="n">
        <v>101</v>
      </c>
      <c r="M47" s="1" t="n">
        <v>101</v>
      </c>
      <c r="N47" s="1" t="n">
        <v>101</v>
      </c>
      <c r="O47" s="1" t="n">
        <v>101</v>
      </c>
      <c r="P47" s="1" t="n">
        <v>101</v>
      </c>
      <c r="Q47" s="1" t="n">
        <v>101</v>
      </c>
      <c r="R47" s="1" t="n">
        <v>101</v>
      </c>
      <c r="S47" s="1" t="n">
        <v>101</v>
      </c>
      <c r="T47" s="1" t="n">
        <v>101</v>
      </c>
      <c r="U47" s="1" t="n">
        <v>101</v>
      </c>
      <c r="V47" s="1" t="n">
        <v>101</v>
      </c>
      <c r="W47" s="1" t="n">
        <v>101</v>
      </c>
      <c r="X47" s="1" t="n">
        <v>101</v>
      </c>
      <c r="Y47" s="1" t="n">
        <v>101</v>
      </c>
      <c r="Z47" s="1" t="n">
        <v>101</v>
      </c>
      <c r="AA47" s="1" t="n">
        <v>101</v>
      </c>
      <c r="AB47" s="1" t="n">
        <v>101</v>
      </c>
      <c r="AC47" s="1" t="n">
        <v>101</v>
      </c>
      <c r="AD47" s="1" t="n">
        <v>101</v>
      </c>
      <c r="AE47" s="1" t="n">
        <v>101</v>
      </c>
      <c r="AF47" s="1" t="n">
        <v>101</v>
      </c>
      <c r="AG47" s="1" t="n">
        <v>101</v>
      </c>
      <c r="AH47" s="1" t="n">
        <v>101</v>
      </c>
      <c r="AI47" s="1" t="n">
        <v>101</v>
      </c>
      <c r="AJ47" s="1" t="n">
        <v>101</v>
      </c>
      <c r="AK47" s="1" t="n">
        <v>101</v>
      </c>
      <c r="AL47" s="1" t="n">
        <v>101</v>
      </c>
      <c r="AM47" s="1" t="n">
        <v>101</v>
      </c>
      <c r="AN47" s="1" t="n">
        <v>101</v>
      </c>
      <c r="AO47" s="1"/>
      <c r="AP47" s="1"/>
      <c r="AQ47" s="1"/>
    </row>
    <row r="48" customFormat="false" ht="15" hidden="false" customHeight="false" outlineLevel="0" collapsed="false">
      <c r="A48" s="1" t="n">
        <v>545</v>
      </c>
      <c r="D48" s="31" t="n">
        <f aca="false">COUNTIFS(I48:AQ48,"&gt;0",I48:AQ48,"&lt;101")</f>
        <v>0</v>
      </c>
      <c r="E48" s="31" t="n">
        <f aca="true">INDIRECT("'Stammdaten - Schwimmer'!F"&amp;(I48+3))+INDIRECT("'Stammdaten - Schwimmer'!F"&amp;(J48+3))+INDIRECT("'Stammdaten - Schwimmer'!F"&amp;(K48+3))+INDIRECT("'Stammdaten - Schwimmer'!F"&amp;(L48+3))+INDIRECT("'Stammdaten - Schwimmer'!F"&amp;(M48+3))+INDIRECT("'Stammdaten - Schwimmer'!F"&amp;(N48+3))+INDIRECT("'Stammdaten - Schwimmer'!F"&amp;O48+3)+INDIRECT("'Stammdaten - Schwimmer'!F"&amp;(P48+3))+INDIRECT("'Stammdaten - Schwimmer'!F"&amp;(Q48+3))+INDIRECT("'Stammdaten - Schwimmer'!F"&amp;(R48+3))+INDIRECT("'Stammdaten - Schwimmer'!F"&amp;(S48+3))+INDIRECT("'Stammdaten - Schwimmer'!F"&amp;(T48+3))+INDIRECT("'Stammdaten - Schwimmer'!F"&amp;(U48+3))+INDIRECT("'Stammdaten - Schwimmer'!F"&amp;(V48+3))+INDIRECT("'Stammdaten - Schwimmer'!F"&amp;(W48+3))+INDIRECT("'Stammdaten - Schwimmer'!F"&amp;(X48+3))+INDIRECT("'Stammdaten - Schwimmer'!F"&amp;(Y48+3))+INDIRECT("'Stammdaten - Schwimmer'!F"&amp;(Z48+3))+INDIRECT("'Stammdaten - Schwimmer'!F"&amp;(AA48+3))+INDIRECT("'Stammdaten - Schwimmer'!F"&amp;(AB48+3))+INDIRECT("'Stammdaten - Schwimmer'!F"&amp;(AC48+3))+INDIRECT("'Stammdaten - Schwimmer'!F"&amp;(AD48+3))+INDIRECT("'Stammdaten - Schwimmer'!F"&amp;(AE48+3))+INDIRECT("'Stammdaten - Schwimmer'!F"&amp;(AF48+3))+INDIRECT("'Stammdaten - Schwimmer'!F"&amp;(AG48+3))</f>
        <v>0</v>
      </c>
      <c r="F48" s="2"/>
      <c r="G48" s="32" t="n">
        <f aca="false">E48*F48</f>
        <v>0</v>
      </c>
      <c r="H48" s="33" t="n">
        <f aca="false">IF(D48&gt;0,E48/D48,)</f>
        <v>0</v>
      </c>
      <c r="I48" s="1" t="n">
        <v>101</v>
      </c>
      <c r="J48" s="1" t="n">
        <v>101</v>
      </c>
      <c r="K48" s="1" t="n">
        <v>101</v>
      </c>
      <c r="L48" s="1" t="n">
        <v>101</v>
      </c>
      <c r="M48" s="1" t="n">
        <v>101</v>
      </c>
      <c r="N48" s="1" t="n">
        <v>101</v>
      </c>
      <c r="O48" s="1" t="n">
        <v>101</v>
      </c>
      <c r="P48" s="1" t="n">
        <v>101</v>
      </c>
      <c r="Q48" s="1" t="n">
        <v>101</v>
      </c>
      <c r="R48" s="1" t="n">
        <v>101</v>
      </c>
      <c r="S48" s="1" t="n">
        <v>101</v>
      </c>
      <c r="T48" s="1" t="n">
        <v>101</v>
      </c>
      <c r="U48" s="1" t="n">
        <v>101</v>
      </c>
      <c r="V48" s="1" t="n">
        <v>101</v>
      </c>
      <c r="W48" s="1" t="n">
        <v>101</v>
      </c>
      <c r="X48" s="1" t="n">
        <v>101</v>
      </c>
      <c r="Y48" s="1" t="n">
        <v>101</v>
      </c>
      <c r="Z48" s="1" t="n">
        <v>101</v>
      </c>
      <c r="AA48" s="1" t="n">
        <v>101</v>
      </c>
      <c r="AB48" s="1" t="n">
        <v>101</v>
      </c>
      <c r="AC48" s="1" t="n">
        <v>101</v>
      </c>
      <c r="AD48" s="1" t="n">
        <v>101</v>
      </c>
      <c r="AE48" s="1" t="n">
        <v>101</v>
      </c>
      <c r="AF48" s="1" t="n">
        <v>101</v>
      </c>
      <c r="AG48" s="1" t="n">
        <v>101</v>
      </c>
      <c r="AH48" s="1" t="n">
        <v>101</v>
      </c>
      <c r="AI48" s="1" t="n">
        <v>101</v>
      </c>
      <c r="AJ48" s="1" t="n">
        <v>101</v>
      </c>
      <c r="AK48" s="1" t="n">
        <v>101</v>
      </c>
      <c r="AL48" s="1" t="n">
        <v>101</v>
      </c>
      <c r="AM48" s="1" t="n">
        <v>101</v>
      </c>
      <c r="AN48" s="1" t="n">
        <v>101</v>
      </c>
      <c r="AO48" s="1"/>
      <c r="AP48" s="1"/>
      <c r="AQ48" s="1"/>
    </row>
    <row r="49" customFormat="false" ht="15" hidden="false" customHeight="false" outlineLevel="0" collapsed="false">
      <c r="A49" s="1" t="n">
        <v>546</v>
      </c>
      <c r="D49" s="31" t="n">
        <f aca="false">COUNTIFS(I49:AQ49,"&gt;0",I49:AQ49,"&lt;101")</f>
        <v>0</v>
      </c>
      <c r="E49" s="31" t="n">
        <f aca="true">INDIRECT("'Stammdaten - Schwimmer'!F"&amp;(I49+3))+INDIRECT("'Stammdaten - Schwimmer'!F"&amp;(J49+3))+INDIRECT("'Stammdaten - Schwimmer'!F"&amp;(K49+3))+INDIRECT("'Stammdaten - Schwimmer'!F"&amp;(L49+3))+INDIRECT("'Stammdaten - Schwimmer'!F"&amp;(M49+3))+INDIRECT("'Stammdaten - Schwimmer'!F"&amp;(N49+3))+INDIRECT("'Stammdaten - Schwimmer'!F"&amp;O49+3)+INDIRECT("'Stammdaten - Schwimmer'!F"&amp;(P49+3))+INDIRECT("'Stammdaten - Schwimmer'!F"&amp;(Q49+3))+INDIRECT("'Stammdaten - Schwimmer'!F"&amp;(R49+3))+INDIRECT("'Stammdaten - Schwimmer'!F"&amp;(S49+3))+INDIRECT("'Stammdaten - Schwimmer'!F"&amp;(T49+3))+INDIRECT("'Stammdaten - Schwimmer'!F"&amp;(U49+3))+INDIRECT("'Stammdaten - Schwimmer'!F"&amp;(V49+3))+INDIRECT("'Stammdaten - Schwimmer'!F"&amp;(W49+3))+INDIRECT("'Stammdaten - Schwimmer'!F"&amp;(X49+3))+INDIRECT("'Stammdaten - Schwimmer'!F"&amp;(Y49+3))+INDIRECT("'Stammdaten - Schwimmer'!F"&amp;(Z49+3))+INDIRECT("'Stammdaten - Schwimmer'!F"&amp;(AA49+3))+INDIRECT("'Stammdaten - Schwimmer'!F"&amp;(AB49+3))+INDIRECT("'Stammdaten - Schwimmer'!F"&amp;(AC49+3))+INDIRECT("'Stammdaten - Schwimmer'!F"&amp;(AD49+3))+INDIRECT("'Stammdaten - Schwimmer'!F"&amp;(AE49+3))+INDIRECT("'Stammdaten - Schwimmer'!F"&amp;(AF49+3))+INDIRECT("'Stammdaten - Schwimmer'!F"&amp;(AG49+3))</f>
        <v>0</v>
      </c>
      <c r="F49" s="2"/>
      <c r="G49" s="32" t="n">
        <f aca="false">E49*F49</f>
        <v>0</v>
      </c>
      <c r="H49" s="33" t="n">
        <f aca="false">IF(D49&gt;0,E49/D49,)</f>
        <v>0</v>
      </c>
      <c r="I49" s="1" t="n">
        <v>101</v>
      </c>
      <c r="J49" s="1" t="n">
        <v>101</v>
      </c>
      <c r="K49" s="1" t="n">
        <v>101</v>
      </c>
      <c r="L49" s="1" t="n">
        <v>101</v>
      </c>
      <c r="M49" s="1" t="n">
        <v>101</v>
      </c>
      <c r="N49" s="1" t="n">
        <v>101</v>
      </c>
      <c r="O49" s="1" t="n">
        <v>101</v>
      </c>
      <c r="P49" s="1" t="n">
        <v>101</v>
      </c>
      <c r="Q49" s="1" t="n">
        <v>101</v>
      </c>
      <c r="R49" s="1" t="n">
        <v>101</v>
      </c>
      <c r="S49" s="1" t="n">
        <v>101</v>
      </c>
      <c r="T49" s="1" t="n">
        <v>101</v>
      </c>
      <c r="U49" s="1" t="n">
        <v>101</v>
      </c>
      <c r="V49" s="1" t="n">
        <v>101</v>
      </c>
      <c r="W49" s="1" t="n">
        <v>101</v>
      </c>
      <c r="X49" s="1" t="n">
        <v>101</v>
      </c>
      <c r="Y49" s="1" t="n">
        <v>101</v>
      </c>
      <c r="Z49" s="1" t="n">
        <v>101</v>
      </c>
      <c r="AA49" s="1" t="n">
        <v>101</v>
      </c>
      <c r="AB49" s="1" t="n">
        <v>101</v>
      </c>
      <c r="AC49" s="1" t="n">
        <v>101</v>
      </c>
      <c r="AD49" s="1" t="n">
        <v>101</v>
      </c>
      <c r="AE49" s="1" t="n">
        <v>101</v>
      </c>
      <c r="AF49" s="1" t="n">
        <v>101</v>
      </c>
      <c r="AG49" s="1" t="n">
        <v>101</v>
      </c>
      <c r="AH49" s="1" t="n">
        <v>101</v>
      </c>
      <c r="AI49" s="1" t="n">
        <v>101</v>
      </c>
      <c r="AJ49" s="1" t="n">
        <v>101</v>
      </c>
      <c r="AK49" s="1" t="n">
        <v>101</v>
      </c>
      <c r="AL49" s="1" t="n">
        <v>101</v>
      </c>
      <c r="AM49" s="1" t="n">
        <v>101</v>
      </c>
      <c r="AN49" s="1" t="n">
        <v>101</v>
      </c>
      <c r="AO49" s="1"/>
      <c r="AP49" s="1"/>
      <c r="AQ49" s="1"/>
    </row>
    <row r="50" customFormat="false" ht="15" hidden="false" customHeight="false" outlineLevel="0" collapsed="false">
      <c r="A50" s="1" t="n">
        <v>547</v>
      </c>
      <c r="D50" s="31" t="n">
        <f aca="false">COUNTIFS(I50:AQ50,"&gt;0",I50:AQ50,"&lt;101")</f>
        <v>0</v>
      </c>
      <c r="E50" s="31" t="n">
        <f aca="true">INDIRECT("'Stammdaten - Schwimmer'!F"&amp;(I50+3))+INDIRECT("'Stammdaten - Schwimmer'!F"&amp;(J50+3))+INDIRECT("'Stammdaten - Schwimmer'!F"&amp;(K50+3))+INDIRECT("'Stammdaten - Schwimmer'!F"&amp;(L50+3))+INDIRECT("'Stammdaten - Schwimmer'!F"&amp;(M50+3))+INDIRECT("'Stammdaten - Schwimmer'!F"&amp;(N50+3))+INDIRECT("'Stammdaten - Schwimmer'!F"&amp;O50+3)+INDIRECT("'Stammdaten - Schwimmer'!F"&amp;(P50+3))+INDIRECT("'Stammdaten - Schwimmer'!F"&amp;(Q50+3))+INDIRECT("'Stammdaten - Schwimmer'!F"&amp;(R50+3))+INDIRECT("'Stammdaten - Schwimmer'!F"&amp;(S50+3))+INDIRECT("'Stammdaten - Schwimmer'!F"&amp;(T50+3))+INDIRECT("'Stammdaten - Schwimmer'!F"&amp;(U50+3))+INDIRECT("'Stammdaten - Schwimmer'!F"&amp;(V50+3))+INDIRECT("'Stammdaten - Schwimmer'!F"&amp;(W50+3))+INDIRECT("'Stammdaten - Schwimmer'!F"&amp;(X50+3))+INDIRECT("'Stammdaten - Schwimmer'!F"&amp;(Y50+3))+INDIRECT("'Stammdaten - Schwimmer'!F"&amp;(Z50+3))+INDIRECT("'Stammdaten - Schwimmer'!F"&amp;(AA50+3))+INDIRECT("'Stammdaten - Schwimmer'!F"&amp;(AB50+3))+INDIRECT("'Stammdaten - Schwimmer'!F"&amp;(AC50+3))+INDIRECT("'Stammdaten - Schwimmer'!F"&amp;(AD50+3))+INDIRECT("'Stammdaten - Schwimmer'!F"&amp;(AE50+3))+INDIRECT("'Stammdaten - Schwimmer'!F"&amp;(AF50+3))+INDIRECT("'Stammdaten - Schwimmer'!F"&amp;(AG50+3))</f>
        <v>0</v>
      </c>
      <c r="F50" s="2"/>
      <c r="G50" s="32" t="n">
        <f aca="false">E50*F50</f>
        <v>0</v>
      </c>
      <c r="H50" s="33" t="n">
        <f aca="false">IF(D50&gt;0,E50/D50,)</f>
        <v>0</v>
      </c>
      <c r="I50" s="1" t="n">
        <v>101</v>
      </c>
      <c r="J50" s="1" t="n">
        <v>101</v>
      </c>
      <c r="K50" s="1" t="n">
        <v>101</v>
      </c>
      <c r="L50" s="1" t="n">
        <v>101</v>
      </c>
      <c r="M50" s="1" t="n">
        <v>101</v>
      </c>
      <c r="N50" s="1" t="n">
        <v>101</v>
      </c>
      <c r="O50" s="1" t="n">
        <v>101</v>
      </c>
      <c r="P50" s="1" t="n">
        <v>101</v>
      </c>
      <c r="Q50" s="1" t="n">
        <v>101</v>
      </c>
      <c r="R50" s="1" t="n">
        <v>101</v>
      </c>
      <c r="S50" s="1" t="n">
        <v>101</v>
      </c>
      <c r="T50" s="1" t="n">
        <v>101</v>
      </c>
      <c r="U50" s="1" t="n">
        <v>101</v>
      </c>
      <c r="V50" s="1" t="n">
        <v>101</v>
      </c>
      <c r="W50" s="1" t="n">
        <v>101</v>
      </c>
      <c r="X50" s="1" t="n">
        <v>101</v>
      </c>
      <c r="Y50" s="1" t="n">
        <v>101</v>
      </c>
      <c r="Z50" s="1" t="n">
        <v>101</v>
      </c>
      <c r="AA50" s="1" t="n">
        <v>101</v>
      </c>
      <c r="AB50" s="1" t="n">
        <v>101</v>
      </c>
      <c r="AC50" s="1" t="n">
        <v>101</v>
      </c>
      <c r="AD50" s="1" t="n">
        <v>101</v>
      </c>
      <c r="AE50" s="1" t="n">
        <v>101</v>
      </c>
      <c r="AF50" s="1" t="n">
        <v>101</v>
      </c>
      <c r="AG50" s="1" t="n">
        <v>101</v>
      </c>
      <c r="AH50" s="1" t="n">
        <v>101</v>
      </c>
      <c r="AI50" s="1" t="n">
        <v>101</v>
      </c>
      <c r="AJ50" s="1" t="n">
        <v>101</v>
      </c>
      <c r="AK50" s="1" t="n">
        <v>101</v>
      </c>
      <c r="AL50" s="1" t="n">
        <v>101</v>
      </c>
      <c r="AM50" s="1" t="n">
        <v>101</v>
      </c>
      <c r="AN50" s="1" t="n">
        <v>101</v>
      </c>
      <c r="AO50" s="1"/>
      <c r="AP50" s="1"/>
      <c r="AQ50" s="1"/>
    </row>
    <row r="51" customFormat="false" ht="15" hidden="false" customHeight="false" outlineLevel="0" collapsed="false">
      <c r="A51" s="1" t="n">
        <v>548</v>
      </c>
      <c r="D51" s="31" t="n">
        <f aca="false">COUNTIFS(I51:AQ51,"&gt;0",I51:AQ51,"&lt;101")</f>
        <v>0</v>
      </c>
      <c r="E51" s="31" t="n">
        <f aca="true">INDIRECT("'Stammdaten - Schwimmer'!F"&amp;(I51+3))+INDIRECT("'Stammdaten - Schwimmer'!F"&amp;(J51+3))+INDIRECT("'Stammdaten - Schwimmer'!F"&amp;(K51+3))+INDIRECT("'Stammdaten - Schwimmer'!F"&amp;(L51+3))+INDIRECT("'Stammdaten - Schwimmer'!F"&amp;(M51+3))+INDIRECT("'Stammdaten - Schwimmer'!F"&amp;(N51+3))+INDIRECT("'Stammdaten - Schwimmer'!F"&amp;O51+3)+INDIRECT("'Stammdaten - Schwimmer'!F"&amp;(P51+3))+INDIRECT("'Stammdaten - Schwimmer'!F"&amp;(Q51+3))+INDIRECT("'Stammdaten - Schwimmer'!F"&amp;(R51+3))+INDIRECT("'Stammdaten - Schwimmer'!F"&amp;(S51+3))+INDIRECT("'Stammdaten - Schwimmer'!F"&amp;(T51+3))+INDIRECT("'Stammdaten - Schwimmer'!F"&amp;(U51+3))+INDIRECT("'Stammdaten - Schwimmer'!F"&amp;(V51+3))+INDIRECT("'Stammdaten - Schwimmer'!F"&amp;(W51+3))+INDIRECT("'Stammdaten - Schwimmer'!F"&amp;(X51+3))+INDIRECT("'Stammdaten - Schwimmer'!F"&amp;(Y51+3))+INDIRECT("'Stammdaten - Schwimmer'!F"&amp;(Z51+3))+INDIRECT("'Stammdaten - Schwimmer'!F"&amp;(AA51+3))+INDIRECT("'Stammdaten - Schwimmer'!F"&amp;(AB51+3))+INDIRECT("'Stammdaten - Schwimmer'!F"&amp;(AC51+3))+INDIRECT("'Stammdaten - Schwimmer'!F"&amp;(AD51+3))+INDIRECT("'Stammdaten - Schwimmer'!F"&amp;(AE51+3))+INDIRECT("'Stammdaten - Schwimmer'!F"&amp;(AF51+3))+INDIRECT("'Stammdaten - Schwimmer'!F"&amp;(AG51+3))</f>
        <v>0</v>
      </c>
      <c r="F51" s="2"/>
      <c r="G51" s="32" t="n">
        <f aca="false">E51*F51</f>
        <v>0</v>
      </c>
      <c r="H51" s="33" t="n">
        <f aca="false">IF(D51&gt;0,E51/D51,)</f>
        <v>0</v>
      </c>
      <c r="I51" s="1" t="n">
        <v>101</v>
      </c>
      <c r="J51" s="1" t="n">
        <v>101</v>
      </c>
      <c r="K51" s="1" t="n">
        <v>101</v>
      </c>
      <c r="L51" s="1" t="n">
        <v>101</v>
      </c>
      <c r="M51" s="1" t="n">
        <v>101</v>
      </c>
      <c r="N51" s="1" t="n">
        <v>101</v>
      </c>
      <c r="O51" s="1" t="n">
        <v>101</v>
      </c>
      <c r="P51" s="1" t="n">
        <v>101</v>
      </c>
      <c r="Q51" s="1" t="n">
        <v>101</v>
      </c>
      <c r="R51" s="1" t="n">
        <v>101</v>
      </c>
      <c r="S51" s="1" t="n">
        <v>101</v>
      </c>
      <c r="T51" s="1" t="n">
        <v>101</v>
      </c>
      <c r="U51" s="1" t="n">
        <v>101</v>
      </c>
      <c r="V51" s="1" t="n">
        <v>101</v>
      </c>
      <c r="W51" s="1" t="n">
        <v>101</v>
      </c>
      <c r="X51" s="1" t="n">
        <v>101</v>
      </c>
      <c r="Y51" s="1" t="n">
        <v>101</v>
      </c>
      <c r="Z51" s="1" t="n">
        <v>101</v>
      </c>
      <c r="AA51" s="1" t="n">
        <v>101</v>
      </c>
      <c r="AB51" s="1" t="n">
        <v>101</v>
      </c>
      <c r="AC51" s="1" t="n">
        <v>101</v>
      </c>
      <c r="AD51" s="1" t="n">
        <v>101</v>
      </c>
      <c r="AE51" s="1" t="n">
        <v>101</v>
      </c>
      <c r="AF51" s="1" t="n">
        <v>101</v>
      </c>
      <c r="AG51" s="1" t="n">
        <v>101</v>
      </c>
      <c r="AH51" s="1" t="n">
        <v>101</v>
      </c>
      <c r="AI51" s="1" t="n">
        <v>101</v>
      </c>
      <c r="AJ51" s="1" t="n">
        <v>101</v>
      </c>
      <c r="AK51" s="1" t="n">
        <v>101</v>
      </c>
      <c r="AL51" s="1" t="n">
        <v>101</v>
      </c>
      <c r="AM51" s="1" t="n">
        <v>101</v>
      </c>
      <c r="AN51" s="1" t="n">
        <v>101</v>
      </c>
      <c r="AO51" s="1"/>
      <c r="AP51" s="1"/>
      <c r="AQ51" s="1"/>
    </row>
    <row r="52" customFormat="false" ht="15" hidden="false" customHeight="false" outlineLevel="0" collapsed="false">
      <c r="A52" s="1" t="n">
        <v>549</v>
      </c>
      <c r="D52" s="31" t="n">
        <f aca="false">COUNTIFS(I52:AQ52,"&gt;0",I52:AQ52,"&lt;101")</f>
        <v>0</v>
      </c>
      <c r="E52" s="31" t="n">
        <f aca="true">INDIRECT("'Stammdaten - Schwimmer'!F"&amp;(I52+3))+INDIRECT("'Stammdaten - Schwimmer'!F"&amp;(J52+3))+INDIRECT("'Stammdaten - Schwimmer'!F"&amp;(K52+3))+INDIRECT("'Stammdaten - Schwimmer'!F"&amp;(L52+3))+INDIRECT("'Stammdaten - Schwimmer'!F"&amp;(M52+3))+INDIRECT("'Stammdaten - Schwimmer'!F"&amp;(N52+3))+INDIRECT("'Stammdaten - Schwimmer'!F"&amp;O52+3)+INDIRECT("'Stammdaten - Schwimmer'!F"&amp;(P52+3))+INDIRECT("'Stammdaten - Schwimmer'!F"&amp;(Q52+3))+INDIRECT("'Stammdaten - Schwimmer'!F"&amp;(R52+3))+INDIRECT("'Stammdaten - Schwimmer'!F"&amp;(S52+3))+INDIRECT("'Stammdaten - Schwimmer'!F"&amp;(T52+3))+INDIRECT("'Stammdaten - Schwimmer'!F"&amp;(U52+3))+INDIRECT("'Stammdaten - Schwimmer'!F"&amp;(V52+3))+INDIRECT("'Stammdaten - Schwimmer'!F"&amp;(W52+3))+INDIRECT("'Stammdaten - Schwimmer'!F"&amp;(X52+3))+INDIRECT("'Stammdaten - Schwimmer'!F"&amp;(Y52+3))+INDIRECT("'Stammdaten - Schwimmer'!F"&amp;(Z52+3))+INDIRECT("'Stammdaten - Schwimmer'!F"&amp;(AA52+3))+INDIRECT("'Stammdaten - Schwimmer'!F"&amp;(AB52+3))+INDIRECT("'Stammdaten - Schwimmer'!F"&amp;(AC52+3))+INDIRECT("'Stammdaten - Schwimmer'!F"&amp;(AD52+3))+INDIRECT("'Stammdaten - Schwimmer'!F"&amp;(AE52+3))+INDIRECT("'Stammdaten - Schwimmer'!F"&amp;(AF52+3))+INDIRECT("'Stammdaten - Schwimmer'!F"&amp;(AG52+3))</f>
        <v>0</v>
      </c>
      <c r="F52" s="2"/>
      <c r="G52" s="32" t="n">
        <f aca="false">E52*F52</f>
        <v>0</v>
      </c>
      <c r="H52" s="33" t="n">
        <f aca="false">IF(D52&gt;0,E52/D52,)</f>
        <v>0</v>
      </c>
      <c r="I52" s="1" t="n">
        <v>101</v>
      </c>
      <c r="J52" s="1" t="n">
        <v>101</v>
      </c>
      <c r="K52" s="1" t="n">
        <v>101</v>
      </c>
      <c r="L52" s="1" t="n">
        <v>101</v>
      </c>
      <c r="M52" s="1" t="n">
        <v>101</v>
      </c>
      <c r="N52" s="1" t="n">
        <v>101</v>
      </c>
      <c r="O52" s="1" t="n">
        <v>101</v>
      </c>
      <c r="P52" s="1" t="n">
        <v>101</v>
      </c>
      <c r="Q52" s="1" t="n">
        <v>101</v>
      </c>
      <c r="R52" s="1" t="n">
        <v>101</v>
      </c>
      <c r="S52" s="1" t="n">
        <v>101</v>
      </c>
      <c r="T52" s="1" t="n">
        <v>101</v>
      </c>
      <c r="U52" s="1" t="n">
        <v>101</v>
      </c>
      <c r="V52" s="1" t="n">
        <v>101</v>
      </c>
      <c r="W52" s="1" t="n">
        <v>101</v>
      </c>
      <c r="X52" s="1" t="n">
        <v>101</v>
      </c>
      <c r="Y52" s="1" t="n">
        <v>101</v>
      </c>
      <c r="Z52" s="1" t="n">
        <v>101</v>
      </c>
      <c r="AA52" s="1" t="n">
        <v>101</v>
      </c>
      <c r="AB52" s="1" t="n">
        <v>101</v>
      </c>
      <c r="AC52" s="1" t="n">
        <v>101</v>
      </c>
      <c r="AD52" s="1" t="n">
        <v>101</v>
      </c>
      <c r="AE52" s="1" t="n">
        <v>101</v>
      </c>
      <c r="AF52" s="1" t="n">
        <v>101</v>
      </c>
      <c r="AG52" s="1" t="n">
        <v>101</v>
      </c>
      <c r="AH52" s="1" t="n">
        <v>101</v>
      </c>
      <c r="AI52" s="1" t="n">
        <v>101</v>
      </c>
      <c r="AJ52" s="1" t="n">
        <v>101</v>
      </c>
      <c r="AK52" s="1" t="n">
        <v>101</v>
      </c>
      <c r="AL52" s="1" t="n">
        <v>101</v>
      </c>
      <c r="AM52" s="1" t="n">
        <v>101</v>
      </c>
      <c r="AN52" s="1" t="n">
        <v>101</v>
      </c>
      <c r="AO52" s="1"/>
      <c r="AP52" s="1"/>
      <c r="AQ52" s="1"/>
    </row>
    <row r="53" customFormat="false" ht="15" hidden="false" customHeight="false" outlineLevel="0" collapsed="false">
      <c r="A53" s="1" t="n">
        <v>550</v>
      </c>
      <c r="D53" s="31" t="n">
        <f aca="false">COUNTIFS(I53:AQ53,"&gt;0",I53:AQ53,"&lt;101")</f>
        <v>0</v>
      </c>
      <c r="E53" s="31" t="n">
        <f aca="true">INDIRECT("'Stammdaten - Schwimmer'!F"&amp;(I53+3))+INDIRECT("'Stammdaten - Schwimmer'!F"&amp;(J53+3))+INDIRECT("'Stammdaten - Schwimmer'!F"&amp;(K53+3))+INDIRECT("'Stammdaten - Schwimmer'!F"&amp;(L53+3))+INDIRECT("'Stammdaten - Schwimmer'!F"&amp;(M53+3))+INDIRECT("'Stammdaten - Schwimmer'!F"&amp;(N53+3))+INDIRECT("'Stammdaten - Schwimmer'!F"&amp;O53+3)+INDIRECT("'Stammdaten - Schwimmer'!F"&amp;(P53+3))+INDIRECT("'Stammdaten - Schwimmer'!F"&amp;(Q53+3))+INDIRECT("'Stammdaten - Schwimmer'!F"&amp;(R53+3))+INDIRECT("'Stammdaten - Schwimmer'!F"&amp;(S53+3))+INDIRECT("'Stammdaten - Schwimmer'!F"&amp;(T53+3))+INDIRECT("'Stammdaten - Schwimmer'!F"&amp;(U53+3))+INDIRECT("'Stammdaten - Schwimmer'!F"&amp;(V53+3))+INDIRECT("'Stammdaten - Schwimmer'!F"&amp;(W53+3))+INDIRECT("'Stammdaten - Schwimmer'!F"&amp;(X53+3))+INDIRECT("'Stammdaten - Schwimmer'!F"&amp;(Y53+3))+INDIRECT("'Stammdaten - Schwimmer'!F"&amp;(Z53+3))+INDIRECT("'Stammdaten - Schwimmer'!F"&amp;(AA53+3))+INDIRECT("'Stammdaten - Schwimmer'!F"&amp;(AB53+3))+INDIRECT("'Stammdaten - Schwimmer'!F"&amp;(AC53+3))+INDIRECT("'Stammdaten - Schwimmer'!F"&amp;(AD53+3))+INDIRECT("'Stammdaten - Schwimmer'!F"&amp;(AE53+3))+INDIRECT("'Stammdaten - Schwimmer'!F"&amp;(AF53+3))+INDIRECT("'Stammdaten - Schwimmer'!F"&amp;(AG53+3))</f>
        <v>0</v>
      </c>
      <c r="F53" s="2"/>
      <c r="G53" s="32" t="n">
        <f aca="false">E53*F53</f>
        <v>0</v>
      </c>
      <c r="H53" s="33" t="n">
        <f aca="false">IF(D53&gt;0,E53/D53,)</f>
        <v>0</v>
      </c>
      <c r="I53" s="1" t="n">
        <v>101</v>
      </c>
      <c r="J53" s="1" t="n">
        <v>101</v>
      </c>
      <c r="K53" s="1" t="n">
        <v>101</v>
      </c>
      <c r="L53" s="1" t="n">
        <v>101</v>
      </c>
      <c r="M53" s="1" t="n">
        <v>101</v>
      </c>
      <c r="N53" s="1" t="n">
        <v>101</v>
      </c>
      <c r="O53" s="1" t="n">
        <v>101</v>
      </c>
      <c r="P53" s="1" t="n">
        <v>101</v>
      </c>
      <c r="Q53" s="1" t="n">
        <v>101</v>
      </c>
      <c r="R53" s="1" t="n">
        <v>101</v>
      </c>
      <c r="S53" s="1" t="n">
        <v>101</v>
      </c>
      <c r="T53" s="1" t="n">
        <v>101</v>
      </c>
      <c r="U53" s="1" t="n">
        <v>101</v>
      </c>
      <c r="V53" s="1" t="n">
        <v>101</v>
      </c>
      <c r="W53" s="1" t="n">
        <v>101</v>
      </c>
      <c r="X53" s="1" t="n">
        <v>101</v>
      </c>
      <c r="Y53" s="1" t="n">
        <v>101</v>
      </c>
      <c r="Z53" s="1" t="n">
        <v>101</v>
      </c>
      <c r="AA53" s="1" t="n">
        <v>101</v>
      </c>
      <c r="AB53" s="1" t="n">
        <v>101</v>
      </c>
      <c r="AC53" s="1" t="n">
        <v>101</v>
      </c>
      <c r="AD53" s="1" t="n">
        <v>101</v>
      </c>
      <c r="AE53" s="1" t="n">
        <v>101</v>
      </c>
      <c r="AF53" s="1" t="n">
        <v>101</v>
      </c>
      <c r="AG53" s="1" t="n">
        <v>101</v>
      </c>
      <c r="AH53" s="1" t="n">
        <v>101</v>
      </c>
      <c r="AI53" s="1" t="n">
        <v>101</v>
      </c>
      <c r="AJ53" s="1" t="n">
        <v>101</v>
      </c>
      <c r="AK53" s="1" t="n">
        <v>101</v>
      </c>
      <c r="AL53" s="1" t="n">
        <v>101</v>
      </c>
      <c r="AM53" s="1" t="n">
        <v>101</v>
      </c>
      <c r="AN53" s="1" t="n">
        <v>101</v>
      </c>
      <c r="AO53" s="1"/>
      <c r="AP53" s="1"/>
      <c r="AQ53" s="1"/>
    </row>
    <row r="70" customFormat="false" ht="15" hidden="false" customHeight="false" outlineLevel="0" collapsed="false">
      <c r="A70" s="3" t="s">
        <v>181</v>
      </c>
    </row>
    <row r="72" customFormat="false" ht="28.35" hidden="false" customHeight="false" outlineLevel="0" collapsed="false">
      <c r="A72" s="34" t="str">
        <f aca="false">A3</f>
        <v>Team Nummer</v>
      </c>
      <c r="B72" s="34" t="str">
        <f aca="false">B3</f>
        <v>Team Name</v>
      </c>
      <c r="C72" s="34" t="str">
        <f aca="false">C3</f>
        <v>Verantwortlicher </v>
      </c>
      <c r="D72" s="35" t="str">
        <f aca="false">D3</f>
        <v>Gesamt 
Mitglieder</v>
      </c>
      <c r="E72" s="35" t="str">
        <f aca="false">E3</f>
        <v>Gesamtanzahl
Bahnen</v>
      </c>
      <c r="F72" s="35" t="str">
        <f aca="false">F3</f>
        <v>Spende
pro Bahn</v>
      </c>
      <c r="G72" s="35" t="str">
        <f aca="false">G3</f>
        <v>Spenden-
Betrag</v>
      </c>
      <c r="H72" s="35" t="str">
        <f aca="false">H3</f>
        <v>Bahnen pro
Mitglied</v>
      </c>
    </row>
    <row r="73" customFormat="false" ht="7.5" hidden="false" customHeight="true" outlineLevel="0" collapsed="false">
      <c r="A73" s="34"/>
      <c r="B73" s="34"/>
      <c r="C73" s="34"/>
      <c r="D73" s="34"/>
      <c r="E73" s="34"/>
      <c r="F73" s="34"/>
      <c r="G73" s="34"/>
      <c r="H73" s="34"/>
    </row>
    <row r="74" customFormat="false" ht="15" hidden="false" customHeight="false" outlineLevel="0" collapsed="false">
      <c r="A74" s="34" t="n">
        <f aca="false">A5</f>
        <v>502</v>
      </c>
      <c r="B74" s="34" t="str">
        <f aca="false">B5</f>
        <v>DLRG</v>
      </c>
      <c r="C74" s="34" t="str">
        <f aca="false">C5</f>
        <v>Thomas Schmid</v>
      </c>
      <c r="D74" s="34" t="n">
        <f aca="false">D5</f>
        <v>11</v>
      </c>
      <c r="E74" s="34" t="n">
        <f aca="false">E5</f>
        <v>448</v>
      </c>
      <c r="F74" s="36" t="n">
        <f aca="false">F5</f>
        <v>0.5</v>
      </c>
      <c r="G74" s="36" t="n">
        <f aca="false">G5</f>
        <v>224</v>
      </c>
      <c r="H74" s="37" t="n">
        <f aca="false">H5</f>
        <v>40.7272727272727</v>
      </c>
    </row>
    <row r="75" customFormat="false" ht="15" hidden="false" customHeight="false" outlineLevel="0" collapsed="false">
      <c r="A75" s="34" t="n">
        <f aca="false">A6</f>
        <v>503</v>
      </c>
      <c r="B75" s="34" t="str">
        <f aca="false">B6</f>
        <v>TVV Schwimm</v>
      </c>
      <c r="C75" s="34" t="str">
        <f aca="false">C6</f>
        <v>Tim Bauer</v>
      </c>
      <c r="D75" s="34" t="n">
        <f aca="false">D6</f>
        <v>13</v>
      </c>
      <c r="E75" s="34" t="n">
        <f aca="false">E6</f>
        <v>800</v>
      </c>
      <c r="F75" s="36" t="n">
        <f aca="false">F6</f>
        <v>0.5</v>
      </c>
      <c r="G75" s="36" t="n">
        <f aca="false">G6</f>
        <v>400</v>
      </c>
      <c r="H75" s="37" t="n">
        <f aca="false">H6</f>
        <v>61.5384615384615</v>
      </c>
    </row>
    <row r="76" customFormat="false" ht="15" hidden="false" customHeight="false" outlineLevel="0" collapsed="false">
      <c r="A76" s="34" t="n">
        <f aca="false">A8</f>
        <v>505</v>
      </c>
      <c r="B76" s="34" t="str">
        <f aca="false">B8</f>
        <v>Kanu Klub</v>
      </c>
      <c r="C76" s="34" t="str">
        <f aca="false">C8</f>
        <v>Michael Fischer</v>
      </c>
      <c r="D76" s="34" t="n">
        <f aca="false">D8</f>
        <v>4</v>
      </c>
      <c r="E76" s="34" t="n">
        <f aca="false">E8</f>
        <v>292</v>
      </c>
      <c r="F76" s="36" t="n">
        <f aca="false">F8</f>
        <v>0.5</v>
      </c>
      <c r="G76" s="36" t="n">
        <f aca="false">G8</f>
        <v>146</v>
      </c>
      <c r="H76" s="37" t="n">
        <f aca="false">H8</f>
        <v>73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6796875" defaultRowHeight="15" customHeight="false" zeroHeight="false" outlineLevelRow="0" outlineLevelCol="0"/>
  <cols>
    <col collapsed="false" customWidth="true" hidden="false" outlineLevel="0" max="2" min="2" style="0" width="17.29"/>
    <col collapsed="false" customWidth="true" hidden="false" outlineLevel="0" max="3" min="3" style="0" width="16.71"/>
    <col collapsed="false" customWidth="true" hidden="false" outlineLevel="0" max="5" min="5" style="1" width="11.43"/>
    <col collapsed="false" customWidth="true" hidden="false" outlineLevel="0" max="9" min="9" style="0" width="16.85"/>
    <col collapsed="false" customWidth="true" hidden="false" outlineLevel="0" max="10" min="10" style="0" width="16.43"/>
    <col collapsed="false" customWidth="true" hidden="false" outlineLevel="0" max="16" min="16" style="0" width="18.57"/>
    <col collapsed="false" customWidth="true" hidden="false" outlineLevel="0" max="17" min="17" style="0" width="17.86"/>
  </cols>
  <sheetData>
    <row r="1" customFormat="false" ht="15" hidden="false" customHeight="false" outlineLevel="0" collapsed="false">
      <c r="A1" s="0" t="s">
        <v>182</v>
      </c>
    </row>
    <row r="3" customFormat="false" ht="15" hidden="false" customHeight="false" outlineLevel="0" collapsed="false">
      <c r="A3" s="0" t="s">
        <v>183</v>
      </c>
      <c r="H3" s="0" t="s">
        <v>184</v>
      </c>
      <c r="O3" s="0" t="s">
        <v>185</v>
      </c>
    </row>
    <row r="4" customFormat="false" ht="28.35" hidden="false" customHeight="false" outlineLevel="0" collapsed="false">
      <c r="A4" s="38" t="s">
        <v>186</v>
      </c>
      <c r="B4" s="39" t="s">
        <v>3</v>
      </c>
      <c r="C4" s="39" t="s">
        <v>4</v>
      </c>
      <c r="D4" s="40" t="s">
        <v>187</v>
      </c>
      <c r="E4" s="40" t="s">
        <v>188</v>
      </c>
      <c r="H4" s="38" t="s">
        <v>2</v>
      </c>
      <c r="I4" s="39" t="s">
        <v>3</v>
      </c>
      <c r="J4" s="39" t="s">
        <v>4</v>
      </c>
      <c r="K4" s="40" t="s">
        <v>187</v>
      </c>
      <c r="L4" s="40" t="s">
        <v>7</v>
      </c>
      <c r="O4" s="38" t="s">
        <v>2</v>
      </c>
      <c r="P4" s="39" t="s">
        <v>3</v>
      </c>
      <c r="Q4" s="39" t="s">
        <v>4</v>
      </c>
      <c r="R4" s="40" t="s">
        <v>187</v>
      </c>
      <c r="S4" s="40" t="s">
        <v>7</v>
      </c>
    </row>
    <row r="5" customFormat="false" ht="15" hidden="false" customHeight="false" outlineLevel="0" collapsed="false">
      <c r="A5" s="41" t="e">
        <f aca="false">INDEX('Spenden-Kalkulation-Schwimmer'!$H$4:$H$103,MATCH(LARGE('Spenden-Kalkulation-Schwimmer'!$L$4:$L$103,ROWS('Spenden-Kalkulation-Schwimmer'!$H$4:H4)),'Spenden-Kalkulation-Schwimmer'!$L$4:$L$103,0))</f>
        <v>#REF!</v>
      </c>
      <c r="B5" s="41" t="e">
        <f aca="false">INDEX('Spenden-Kalkulation-Schwimmer'!$I$4:$I$103,MATCH(LARGE('Spenden-Kalkulation-Schwimmer'!$L$4:$L$103,ROWS('Spenden-Kalkulation-Schwimmer'!$I$4:I4)),'Spenden-Kalkulation-Schwimmer'!$L$4:$L$103,0))</f>
        <v>#REF!</v>
      </c>
      <c r="C5" s="41" t="e">
        <f aca="false">INDEX('Spenden-Kalkulation-Schwimmer'!$J$4:$J$103,MATCH(LARGE('Spenden-Kalkulation-Schwimmer'!$L$4:$L$103,ROWS('Spenden-Kalkulation-Schwimmer'!$J$4:J4)),'Spenden-Kalkulation-Schwimmer'!$L$4:$L$103,0))</f>
        <v>#REF!</v>
      </c>
      <c r="D5" s="42" t="e">
        <f aca="false">INDEX('Spenden-Kalkulation-Schwimmer'!$K$4:$K$103,MATCH(LARGE('Spenden-Kalkulation-Schwimmer'!$L$4:$L$103,ROWS('Spenden-Kalkulation-Schwimmer'!$K$4:K4)),'Spenden-Kalkulation-Schwimmer'!$L$4:$L$103,0))</f>
        <v>#REF!</v>
      </c>
      <c r="E5" s="41" t="e">
        <f aca="false">LARGE('Spenden-Kalkulation-Schwimmer'!$L$4:$L$103,ROWS('Spenden-Kalkulation-Schwimmer'!L$4:L4))</f>
        <v>#REF!</v>
      </c>
      <c r="H5" s="41" t="e">
        <f aca="false">INDEX('Spenden-Kalkulation-Schwimmer'!$O$4:$O$103,MATCH(LARGE('Spenden-Kalkulation-Schwimmer'!$S$4:$S$103,ROWS('Spenden-Kalkulation-Schwimmer'!$O$4:O4)),'Spenden-Kalkulation-Schwimmer'!$S$4:$S$103,0))</f>
        <v>#REF!</v>
      </c>
      <c r="I5" s="41" t="e">
        <f aca="false">INDEX('Spenden-Kalkulation-Schwimmer'!$P$4:$P$103,MATCH(LARGE('Spenden-Kalkulation-Schwimmer'!$S$4:$S$103,ROWS('Spenden-Kalkulation-Schwimmer'!$P$4:P4)),'Spenden-Kalkulation-Schwimmer'!$S$4:$S$103,0))</f>
        <v>#REF!</v>
      </c>
      <c r="J5" s="41" t="e">
        <f aca="false">INDEX('Spenden-Kalkulation-Schwimmer'!$Q$4:$Q$103,MATCH(LARGE('Spenden-Kalkulation-Schwimmer'!$S$4:$S$103,ROWS('Spenden-Kalkulation-Schwimmer'!$Q$4:Q4)),'Spenden-Kalkulation-Schwimmer'!$S$4:$S$103,0))</f>
        <v>#REF!</v>
      </c>
      <c r="K5" s="42" t="e">
        <f aca="false">INDEX('Spenden-Kalkulation-Schwimmer'!$R$4:$R$103,MATCH(LARGE('Spenden-Kalkulation-Schwimmer'!$S$4:$S$103,ROWS('Spenden-Kalkulation-Schwimmer'!$R$4:R4)),'Spenden-Kalkulation-Schwimmer'!$S$4:$S$103,0))</f>
        <v>#REF!</v>
      </c>
      <c r="L5" s="41" t="e">
        <f aca="false">LARGE('Spenden-Kalkulation-Schwimmer'!$S$4:$S$103,ROWS('Spenden-Kalkulation-Schwimmer'!S$4:S4))</f>
        <v>#REF!</v>
      </c>
      <c r="O5" s="41" t="e">
        <f aca="false">INDEX('Spenden-Kalkulation-Schwimmer'!$V$4:$V$103,MATCH(LARGE('Spenden-Kalkulation-Schwimmer'!$Z$4:$Z$103,ROWS('Spenden-Kalkulation-Schwimmer'!$V$4:V4)),'Spenden-Kalkulation-Schwimmer'!$Z$4:$Z$103,0))</f>
        <v>#REF!</v>
      </c>
      <c r="P5" s="41" t="e">
        <f aca="false">INDEX('Spenden-Kalkulation-Schwimmer'!$W$4:$W$103,MATCH(LARGE('Spenden-Kalkulation-Schwimmer'!$Z$4:$Z$103,ROWS('Spenden-Kalkulation-Schwimmer'!$W$4:W4)),'Spenden-Kalkulation-Schwimmer'!$Z$4:$Z$103,0))</f>
        <v>#REF!</v>
      </c>
      <c r="Q5" s="41" t="e">
        <f aca="false">INDEX('Spenden-Kalkulation-Schwimmer'!$X$4:$X$103,MATCH(LARGE('Spenden-Kalkulation-Schwimmer'!$Z$4:$Z$103,ROWS('Spenden-Kalkulation-Schwimmer'!$X$4:X4)),'Spenden-Kalkulation-Schwimmer'!$Z$4:$Z$103,0))</f>
        <v>#REF!</v>
      </c>
      <c r="R5" s="42" t="e">
        <f aca="false">INDEX('Spenden-Kalkulation-Schwimmer'!$Y$4:$Y$103,MATCH(LARGE('Spenden-Kalkulation-Schwimmer'!$Z$4:$Z$103,ROWS('Spenden-Kalkulation-Schwimmer'!$Y$4:Y4)),'Spenden-Kalkulation-Schwimmer'!$Z$4:$Z$103,0))</f>
        <v>#REF!</v>
      </c>
      <c r="S5" s="41" t="e">
        <f aca="false">LARGE('Spenden-Kalkulation-Schwimmer'!$Z$4:$Z$103,ROWS('Spenden-Kalkulation-Schwimmer'!Z$4:Z4))</f>
        <v>#REF!</v>
      </c>
    </row>
    <row r="6" customFormat="false" ht="15" hidden="false" customHeight="false" outlineLevel="0" collapsed="false">
      <c r="A6" s="41" t="e">
        <f aca="false">INDEX('Spenden-Kalkulation-Schwimmer'!$H$4:$H$103,MATCH(LARGE('Spenden-Kalkulation-Schwimmer'!$L$4:$L$103,ROWS('Spenden-Kalkulation-Schwimmer'!$H$4:H5)),'Spenden-Kalkulation-Schwimmer'!$L$4:$L$103,0))</f>
        <v>#REF!</v>
      </c>
      <c r="B6" s="41" t="e">
        <f aca="false">INDEX('Spenden-Kalkulation-Schwimmer'!$I$4:$I$103,MATCH(LARGE('Spenden-Kalkulation-Schwimmer'!$L$4:$L$103,ROWS('Spenden-Kalkulation-Schwimmer'!$I$4:I5)),'Spenden-Kalkulation-Schwimmer'!$L$4:$L$103,0))</f>
        <v>#REF!</v>
      </c>
      <c r="C6" s="41" t="e">
        <f aca="false">INDEX('Spenden-Kalkulation-Schwimmer'!$J$4:$J$103,MATCH(LARGE('Spenden-Kalkulation-Schwimmer'!$L$4:$L$103,ROWS('Spenden-Kalkulation-Schwimmer'!$J$4:J5)),'Spenden-Kalkulation-Schwimmer'!$L$4:$L$103,0))</f>
        <v>#REF!</v>
      </c>
      <c r="D6" s="42" t="e">
        <f aca="false">INDEX('Spenden-Kalkulation-Schwimmer'!$K$4:$K$103,MATCH(LARGE('Spenden-Kalkulation-Schwimmer'!$L$4:$L$103,ROWS('Spenden-Kalkulation-Schwimmer'!$K$4:K5)),'Spenden-Kalkulation-Schwimmer'!$L$4:$L$103,0))</f>
        <v>#REF!</v>
      </c>
      <c r="E6" s="41" t="e">
        <f aca="false">LARGE('Spenden-Kalkulation-Schwimmer'!$L$4:$L$103,ROWS('Spenden-Kalkulation-Schwimmer'!L$4:L5))</f>
        <v>#REF!</v>
      </c>
      <c r="H6" s="41" t="e">
        <f aca="false">INDEX('Spenden-Kalkulation-Schwimmer'!$O$4:$O$103,MATCH(LARGE('Spenden-Kalkulation-Schwimmer'!$S$4:$S$103,ROWS('Spenden-Kalkulation-Schwimmer'!$O$4:O5)),'Spenden-Kalkulation-Schwimmer'!$S$4:$S$103,0))</f>
        <v>#REF!</v>
      </c>
      <c r="I6" s="41" t="e">
        <f aca="false">INDEX('Spenden-Kalkulation-Schwimmer'!$P$4:$P$103,MATCH(LARGE('Spenden-Kalkulation-Schwimmer'!$S$4:$S$103,ROWS('Spenden-Kalkulation-Schwimmer'!$P$4:P5)),'Spenden-Kalkulation-Schwimmer'!$S$4:$S$103,0))</f>
        <v>#REF!</v>
      </c>
      <c r="J6" s="41" t="e">
        <f aca="false">INDEX('Spenden-Kalkulation-Schwimmer'!$Q$4:$Q$103,MATCH(LARGE('Spenden-Kalkulation-Schwimmer'!$S$4:$S$103,ROWS('Spenden-Kalkulation-Schwimmer'!$Q$4:Q5)),'Spenden-Kalkulation-Schwimmer'!$S$4:$S$103,0))</f>
        <v>#REF!</v>
      </c>
      <c r="K6" s="42" t="e">
        <f aca="false">INDEX('Spenden-Kalkulation-Schwimmer'!$R$4:$R$103,MATCH(LARGE('Spenden-Kalkulation-Schwimmer'!$S$4:$S$103,ROWS('Spenden-Kalkulation-Schwimmer'!$R$4:R5)),'Spenden-Kalkulation-Schwimmer'!$S$4:$S$103,0))</f>
        <v>#REF!</v>
      </c>
      <c r="L6" s="41" t="e">
        <f aca="false">LARGE('Spenden-Kalkulation-Schwimmer'!$S$4:$S$103,ROWS('Spenden-Kalkulation-Schwimmer'!S$4:S5))</f>
        <v>#REF!</v>
      </c>
      <c r="O6" s="41" t="e">
        <f aca="false">INDEX('Spenden-Kalkulation-Schwimmer'!$V$4:$V$103,MATCH(LARGE('Spenden-Kalkulation-Schwimmer'!$Z$4:$Z$103,ROWS('Spenden-Kalkulation-Schwimmer'!$V$4:V5)),'Spenden-Kalkulation-Schwimmer'!$Z$4:$Z$103,0))</f>
        <v>#REF!</v>
      </c>
      <c r="P6" s="41" t="e">
        <f aca="false">INDEX('Spenden-Kalkulation-Schwimmer'!$W$4:$W$103,MATCH(LARGE('Spenden-Kalkulation-Schwimmer'!$Z$4:$Z$103,ROWS('Spenden-Kalkulation-Schwimmer'!$W$4:W5)),'Spenden-Kalkulation-Schwimmer'!$Z$4:$Z$103,0))</f>
        <v>#REF!</v>
      </c>
      <c r="Q6" s="41" t="e">
        <f aca="false">INDEX('Spenden-Kalkulation-Schwimmer'!$X$4:$X$103,MATCH(LARGE('Spenden-Kalkulation-Schwimmer'!$Z$4:$Z$103,ROWS('Spenden-Kalkulation-Schwimmer'!$X$4:X5)),'Spenden-Kalkulation-Schwimmer'!$Z$4:$Z$103,0))</f>
        <v>#REF!</v>
      </c>
      <c r="R6" s="42" t="e">
        <f aca="false">INDEX('Spenden-Kalkulation-Schwimmer'!$Y$4:$Y$103,MATCH(LARGE('Spenden-Kalkulation-Schwimmer'!$Z$4:$Z$103,ROWS('Spenden-Kalkulation-Schwimmer'!$Y$4:Y5)),'Spenden-Kalkulation-Schwimmer'!$Z$4:$Z$103,0))</f>
        <v>#REF!</v>
      </c>
      <c r="S6" s="41" t="e">
        <f aca="false">LARGE('Spenden-Kalkulation-Schwimmer'!$Z$4:$Z$103,ROWS('Spenden-Kalkulation-Schwimmer'!Z$4:Z5))</f>
        <v>#REF!</v>
      </c>
    </row>
    <row r="7" customFormat="false" ht="15" hidden="false" customHeight="false" outlineLevel="0" collapsed="false">
      <c r="A7" s="41" t="e">
        <f aca="false">INDEX('Spenden-Kalkulation-Schwimmer'!$H$4:$H$103,MATCH(LARGE('Spenden-Kalkulation-Schwimmer'!$L$4:$L$103,ROWS('Spenden-Kalkulation-Schwimmer'!$H$4:H6)),'Spenden-Kalkulation-Schwimmer'!$L$4:$L$103,0))</f>
        <v>#REF!</v>
      </c>
      <c r="B7" s="41" t="e">
        <f aca="false">INDEX('Spenden-Kalkulation-Schwimmer'!$I$4:$I$103,MATCH(LARGE('Spenden-Kalkulation-Schwimmer'!$L$4:$L$103,ROWS('Spenden-Kalkulation-Schwimmer'!$I$4:I6)),'Spenden-Kalkulation-Schwimmer'!$L$4:$L$103,0))</f>
        <v>#REF!</v>
      </c>
      <c r="C7" s="41" t="e">
        <f aca="false">INDEX('Spenden-Kalkulation-Schwimmer'!$J$4:$J$103,MATCH(LARGE('Spenden-Kalkulation-Schwimmer'!$L$4:$L$103,ROWS('Spenden-Kalkulation-Schwimmer'!$J$4:J6)),'Spenden-Kalkulation-Schwimmer'!$L$4:$L$103,0))</f>
        <v>#REF!</v>
      </c>
      <c r="D7" s="42" t="e">
        <f aca="false">INDEX('Spenden-Kalkulation-Schwimmer'!$K$4:$K$103,MATCH(LARGE('Spenden-Kalkulation-Schwimmer'!$L$4:$L$103,ROWS('Spenden-Kalkulation-Schwimmer'!$K$4:K6)),'Spenden-Kalkulation-Schwimmer'!$L$4:$L$103,0))</f>
        <v>#REF!</v>
      </c>
      <c r="E7" s="41" t="e">
        <f aca="false">LARGE('Spenden-Kalkulation-Schwimmer'!$L$4:$L$103,ROWS('Spenden-Kalkulation-Schwimmer'!L$4:L6))</f>
        <v>#REF!</v>
      </c>
      <c r="H7" s="41" t="e">
        <f aca="false">INDEX('Spenden-Kalkulation-Schwimmer'!$O$4:$O$103,MATCH(LARGE('Spenden-Kalkulation-Schwimmer'!$S$4:$S$103,ROWS('Spenden-Kalkulation-Schwimmer'!$O$4:O6)),'Spenden-Kalkulation-Schwimmer'!$S$4:$S$103,0))</f>
        <v>#REF!</v>
      </c>
      <c r="I7" s="41" t="e">
        <f aca="false">INDEX('Spenden-Kalkulation-Schwimmer'!$P$4:$P$103,MATCH(LARGE('Spenden-Kalkulation-Schwimmer'!$S$4:$S$103,ROWS('Spenden-Kalkulation-Schwimmer'!$P$4:P6)),'Spenden-Kalkulation-Schwimmer'!$S$4:$S$103,0))</f>
        <v>#REF!</v>
      </c>
      <c r="J7" s="41" t="e">
        <f aca="false">INDEX('Spenden-Kalkulation-Schwimmer'!$Q$4:$Q$103,MATCH(LARGE('Spenden-Kalkulation-Schwimmer'!$S$4:$S$103,ROWS('Spenden-Kalkulation-Schwimmer'!$Q$4:Q6)),'Spenden-Kalkulation-Schwimmer'!$S$4:$S$103,0))</f>
        <v>#REF!</v>
      </c>
      <c r="K7" s="42" t="e">
        <f aca="false">INDEX('Spenden-Kalkulation-Schwimmer'!$R$4:$R$103,MATCH(LARGE('Spenden-Kalkulation-Schwimmer'!$S$4:$S$103,ROWS('Spenden-Kalkulation-Schwimmer'!$R$4:R6)),'Spenden-Kalkulation-Schwimmer'!$S$4:$S$103,0))</f>
        <v>#REF!</v>
      </c>
      <c r="L7" s="41" t="e">
        <f aca="false">LARGE('Spenden-Kalkulation-Schwimmer'!$S$4:$S$103,ROWS('Spenden-Kalkulation-Schwimmer'!S$4:S6))</f>
        <v>#REF!</v>
      </c>
      <c r="O7" s="41" t="e">
        <f aca="false">INDEX('Spenden-Kalkulation-Schwimmer'!$V$4:$V$103,MATCH(LARGE('Spenden-Kalkulation-Schwimmer'!$Z$4:$Z$103,ROWS('Spenden-Kalkulation-Schwimmer'!$V$4:V6)),'Spenden-Kalkulation-Schwimmer'!$Z$4:$Z$103,0))</f>
        <v>#REF!</v>
      </c>
      <c r="P7" s="41" t="e">
        <f aca="false">INDEX('Spenden-Kalkulation-Schwimmer'!$W$4:$W$103,MATCH(LARGE('Spenden-Kalkulation-Schwimmer'!$Z$4:$Z$103,ROWS('Spenden-Kalkulation-Schwimmer'!$W$4:W6)),'Spenden-Kalkulation-Schwimmer'!$Z$4:$Z$103,0))</f>
        <v>#REF!</v>
      </c>
      <c r="Q7" s="41" t="e">
        <f aca="false">INDEX('Spenden-Kalkulation-Schwimmer'!$X$4:$X$103,MATCH(LARGE('Spenden-Kalkulation-Schwimmer'!$Z$4:$Z$103,ROWS('Spenden-Kalkulation-Schwimmer'!$X$4:X6)),'Spenden-Kalkulation-Schwimmer'!$Z$4:$Z$103,0))</f>
        <v>#REF!</v>
      </c>
      <c r="R7" s="42" t="e">
        <f aca="false">INDEX('Spenden-Kalkulation-Schwimmer'!$Y$4:$Y$103,MATCH(LARGE('Spenden-Kalkulation-Schwimmer'!$Z$4:$Z$103,ROWS('Spenden-Kalkulation-Schwimmer'!$Y$4:Y6)),'Spenden-Kalkulation-Schwimmer'!$Z$4:$Z$103,0))</f>
        <v>#REF!</v>
      </c>
      <c r="S7" s="41" t="e">
        <f aca="false">LARGE('Spenden-Kalkulation-Schwimmer'!$Z$4:$Z$103,ROWS('Spenden-Kalkulation-Schwimmer'!Z$4:Z6))</f>
        <v>#REF!</v>
      </c>
    </row>
    <row r="8" customFormat="false" ht="15" hidden="false" customHeight="false" outlineLevel="0" collapsed="false">
      <c r="A8" s="41" t="e">
        <f aca="false">INDEX('Spenden-Kalkulation-Schwimmer'!$H$4:$H$103,MATCH(LARGE('Spenden-Kalkulation-Schwimmer'!$L$4:$L$103,ROWS('Spenden-Kalkulation-Schwimmer'!$H$4:H7)),'Spenden-Kalkulation-Schwimmer'!$L$4:$L$103,0))</f>
        <v>#REF!</v>
      </c>
      <c r="B8" s="41" t="e">
        <f aca="false">INDEX('Spenden-Kalkulation-Schwimmer'!$I$4:$I$103,MATCH(LARGE('Spenden-Kalkulation-Schwimmer'!$L$4:$L$103,ROWS('Spenden-Kalkulation-Schwimmer'!$I$4:I7)),'Spenden-Kalkulation-Schwimmer'!$L$4:$L$103,0))</f>
        <v>#REF!</v>
      </c>
      <c r="C8" s="41" t="e">
        <f aca="false">INDEX('Spenden-Kalkulation-Schwimmer'!$J$4:$J$103,MATCH(LARGE('Spenden-Kalkulation-Schwimmer'!$L$4:$L$103,ROWS('Spenden-Kalkulation-Schwimmer'!$J$4:J7)),'Spenden-Kalkulation-Schwimmer'!$L$4:$L$103,0))</f>
        <v>#REF!</v>
      </c>
      <c r="D8" s="42" t="e">
        <f aca="false">INDEX('Spenden-Kalkulation-Schwimmer'!$K$4:$K$103,MATCH(LARGE('Spenden-Kalkulation-Schwimmer'!$L$4:$L$103,ROWS('Spenden-Kalkulation-Schwimmer'!$K$4:K7)),'Spenden-Kalkulation-Schwimmer'!$L$4:$L$103,0))</f>
        <v>#REF!</v>
      </c>
      <c r="E8" s="41" t="e">
        <f aca="false">LARGE('Spenden-Kalkulation-Schwimmer'!$L$4:$L$103,ROWS('Spenden-Kalkulation-Schwimmer'!L$4:L7))</f>
        <v>#REF!</v>
      </c>
      <c r="H8" s="41" t="e">
        <f aca="false">INDEX('Spenden-Kalkulation-Schwimmer'!$O$4:$O$103,MATCH(LARGE('Spenden-Kalkulation-Schwimmer'!$S$4:$S$103,ROWS('Spenden-Kalkulation-Schwimmer'!$O$4:O7)),'Spenden-Kalkulation-Schwimmer'!$S$4:$S$103,0))</f>
        <v>#REF!</v>
      </c>
      <c r="I8" s="41" t="e">
        <f aca="false">INDEX('Spenden-Kalkulation-Schwimmer'!$P$4:$P$103,MATCH(LARGE('Spenden-Kalkulation-Schwimmer'!$S$4:$S$103,ROWS('Spenden-Kalkulation-Schwimmer'!$P$4:P7)),'Spenden-Kalkulation-Schwimmer'!$S$4:$S$103,0))</f>
        <v>#REF!</v>
      </c>
      <c r="J8" s="41" t="e">
        <f aca="false">INDEX('Spenden-Kalkulation-Schwimmer'!$Q$4:$Q$103,MATCH(LARGE('Spenden-Kalkulation-Schwimmer'!$S$4:$S$103,ROWS('Spenden-Kalkulation-Schwimmer'!$Q$4:Q7)),'Spenden-Kalkulation-Schwimmer'!$S$4:$S$103,0))</f>
        <v>#REF!</v>
      </c>
      <c r="K8" s="42" t="e">
        <f aca="false">INDEX('Spenden-Kalkulation-Schwimmer'!$R$4:$R$103,MATCH(LARGE('Spenden-Kalkulation-Schwimmer'!$S$4:$S$103,ROWS('Spenden-Kalkulation-Schwimmer'!$R$4:R7)),'Spenden-Kalkulation-Schwimmer'!$S$4:$S$103,0))</f>
        <v>#REF!</v>
      </c>
      <c r="L8" s="41" t="e">
        <f aca="false">LARGE('Spenden-Kalkulation-Schwimmer'!$S$4:$S$103,ROWS('Spenden-Kalkulation-Schwimmer'!S$4:S7))</f>
        <v>#REF!</v>
      </c>
      <c r="O8" s="41" t="e">
        <f aca="false">INDEX('Spenden-Kalkulation-Schwimmer'!$V$4:$V$103,MATCH(LARGE('Spenden-Kalkulation-Schwimmer'!$Z$4:$Z$103,ROWS('Spenden-Kalkulation-Schwimmer'!$V$4:V7)),'Spenden-Kalkulation-Schwimmer'!$Z$4:$Z$103,0))</f>
        <v>#REF!</v>
      </c>
      <c r="P8" s="41" t="e">
        <f aca="false">INDEX('Spenden-Kalkulation-Schwimmer'!$W$4:$W$103,MATCH(LARGE('Spenden-Kalkulation-Schwimmer'!$Z$4:$Z$103,ROWS('Spenden-Kalkulation-Schwimmer'!$W$4:W7)),'Spenden-Kalkulation-Schwimmer'!$Z$4:$Z$103,0))</f>
        <v>#REF!</v>
      </c>
      <c r="Q8" s="41" t="e">
        <f aca="false">INDEX('Spenden-Kalkulation-Schwimmer'!$X$4:$X$103,MATCH(LARGE('Spenden-Kalkulation-Schwimmer'!$Z$4:$Z$103,ROWS('Spenden-Kalkulation-Schwimmer'!$X$4:X7)),'Spenden-Kalkulation-Schwimmer'!$Z$4:$Z$103,0))</f>
        <v>#REF!</v>
      </c>
      <c r="R8" s="42" t="e">
        <f aca="false">INDEX('Spenden-Kalkulation-Schwimmer'!$Y$4:$Y$103,MATCH(LARGE('Spenden-Kalkulation-Schwimmer'!$Z$4:$Z$103,ROWS('Spenden-Kalkulation-Schwimmer'!$Y$4:Y7)),'Spenden-Kalkulation-Schwimmer'!$Z$4:$Z$103,0))</f>
        <v>#REF!</v>
      </c>
      <c r="S8" s="41" t="e">
        <f aca="false">LARGE('Spenden-Kalkulation-Schwimmer'!$Z$4:$Z$103,ROWS('Spenden-Kalkulation-Schwimmer'!Z$4:Z7))</f>
        <v>#REF!</v>
      </c>
    </row>
    <row r="9" customFormat="false" ht="15" hidden="false" customHeight="false" outlineLevel="0" collapsed="false">
      <c r="A9" s="41" t="e">
        <f aca="false">INDEX('Spenden-Kalkulation-Schwimmer'!$H$4:$H$103,MATCH(LARGE('Spenden-Kalkulation-Schwimmer'!$L$4:$L$103,ROWS('Spenden-Kalkulation-Schwimmer'!$H$4:H8)),'Spenden-Kalkulation-Schwimmer'!$L$4:$L$103,0))</f>
        <v>#REF!</v>
      </c>
      <c r="B9" s="41" t="e">
        <f aca="false">INDEX('Spenden-Kalkulation-Schwimmer'!$I$4:$I$103,MATCH(LARGE('Spenden-Kalkulation-Schwimmer'!$L$4:$L$103,ROWS('Spenden-Kalkulation-Schwimmer'!$I$4:I8)),'Spenden-Kalkulation-Schwimmer'!$L$4:$L$103,0))</f>
        <v>#REF!</v>
      </c>
      <c r="C9" s="41" t="e">
        <f aca="false">INDEX('Spenden-Kalkulation-Schwimmer'!$J$4:$J$103,MATCH(LARGE('Spenden-Kalkulation-Schwimmer'!$L$4:$L$103,ROWS('Spenden-Kalkulation-Schwimmer'!$J$4:J8)),'Spenden-Kalkulation-Schwimmer'!$L$4:$L$103,0))</f>
        <v>#REF!</v>
      </c>
      <c r="D9" s="42" t="e">
        <f aca="false">INDEX('Spenden-Kalkulation-Schwimmer'!$K$4:$K$103,MATCH(LARGE('Spenden-Kalkulation-Schwimmer'!$L$4:$L$103,ROWS('Spenden-Kalkulation-Schwimmer'!$K$4:K8)),'Spenden-Kalkulation-Schwimmer'!$L$4:$L$103,0))</f>
        <v>#REF!</v>
      </c>
      <c r="E9" s="41" t="e">
        <f aca="false">LARGE('Spenden-Kalkulation-Schwimmer'!$L$4:$L$103,ROWS('Spenden-Kalkulation-Schwimmer'!L$4:L8))</f>
        <v>#REF!</v>
      </c>
      <c r="H9" s="41" t="e">
        <f aca="false">INDEX('Spenden-Kalkulation-Schwimmer'!$O$4:$O$103,MATCH(LARGE('Spenden-Kalkulation-Schwimmer'!$S$4:$S$103,ROWS('Spenden-Kalkulation-Schwimmer'!$O$4:O8)),'Spenden-Kalkulation-Schwimmer'!$S$4:$S$103,0))</f>
        <v>#REF!</v>
      </c>
      <c r="I9" s="41" t="e">
        <f aca="false">INDEX('Spenden-Kalkulation-Schwimmer'!$P$4:$P$103,MATCH(LARGE('Spenden-Kalkulation-Schwimmer'!$S$4:$S$103,ROWS('Spenden-Kalkulation-Schwimmer'!$P$4:P8)),'Spenden-Kalkulation-Schwimmer'!$S$4:$S$103,0))</f>
        <v>#REF!</v>
      </c>
      <c r="J9" s="41" t="e">
        <f aca="false">INDEX('Spenden-Kalkulation-Schwimmer'!$Q$4:$Q$103,MATCH(LARGE('Spenden-Kalkulation-Schwimmer'!$S$4:$S$103,ROWS('Spenden-Kalkulation-Schwimmer'!$Q$4:Q8)),'Spenden-Kalkulation-Schwimmer'!$S$4:$S$103,0))</f>
        <v>#REF!</v>
      </c>
      <c r="K9" s="42" t="e">
        <f aca="false">INDEX('Spenden-Kalkulation-Schwimmer'!$R$4:$R$103,MATCH(LARGE('Spenden-Kalkulation-Schwimmer'!$S$4:$S$103,ROWS('Spenden-Kalkulation-Schwimmer'!$R$4:R8)),'Spenden-Kalkulation-Schwimmer'!$S$4:$S$103,0))</f>
        <v>#REF!</v>
      </c>
      <c r="L9" s="41" t="e">
        <f aca="false">LARGE('Spenden-Kalkulation-Schwimmer'!$S$4:$S$103,ROWS('Spenden-Kalkulation-Schwimmer'!S$4:S8))</f>
        <v>#REF!</v>
      </c>
      <c r="O9" s="41" t="e">
        <f aca="false">INDEX('Spenden-Kalkulation-Schwimmer'!$V$4:$V$103,MATCH(LARGE('Spenden-Kalkulation-Schwimmer'!$Z$4:$Z$103,ROWS('Spenden-Kalkulation-Schwimmer'!$V$4:V8)),'Spenden-Kalkulation-Schwimmer'!$Z$4:$Z$103,0))</f>
        <v>#REF!</v>
      </c>
      <c r="P9" s="41" t="e">
        <f aca="false">INDEX('Spenden-Kalkulation-Schwimmer'!$W$4:$W$103,MATCH(LARGE('Spenden-Kalkulation-Schwimmer'!$Z$4:$Z$103,ROWS('Spenden-Kalkulation-Schwimmer'!$W$4:W8)),'Spenden-Kalkulation-Schwimmer'!$Z$4:$Z$103,0))</f>
        <v>#REF!</v>
      </c>
      <c r="Q9" s="41" t="e">
        <f aca="false">INDEX('Spenden-Kalkulation-Schwimmer'!$X$4:$X$103,MATCH(LARGE('Spenden-Kalkulation-Schwimmer'!$Z$4:$Z$103,ROWS('Spenden-Kalkulation-Schwimmer'!$X$4:X8)),'Spenden-Kalkulation-Schwimmer'!$Z$4:$Z$103,0))</f>
        <v>#REF!</v>
      </c>
      <c r="R9" s="42" t="e">
        <f aca="false">INDEX('Spenden-Kalkulation-Schwimmer'!$Y$4:$Y$103,MATCH(LARGE('Spenden-Kalkulation-Schwimmer'!$Z$4:$Z$103,ROWS('Spenden-Kalkulation-Schwimmer'!$Y$4:Y8)),'Spenden-Kalkulation-Schwimmer'!$Z$4:$Z$103,0))</f>
        <v>#REF!</v>
      </c>
      <c r="S9" s="41" t="e">
        <f aca="false">LARGE('Spenden-Kalkulation-Schwimmer'!$Z$4:$Z$103,ROWS('Spenden-Kalkulation-Schwimmer'!Z$4:Z8))</f>
        <v>#REF!</v>
      </c>
    </row>
    <row r="18" customFormat="false" ht="15" hidden="false" customHeight="false" outlineLevel="0" collapsed="false">
      <c r="A18" s="0" t="s">
        <v>189</v>
      </c>
      <c r="H18" s="0" t="s">
        <v>190</v>
      </c>
    </row>
    <row r="19" customFormat="false" ht="28.35" hidden="false" customHeight="false" outlineLevel="0" collapsed="false">
      <c r="A19" s="38" t="s">
        <v>2</v>
      </c>
      <c r="B19" s="39" t="s">
        <v>3</v>
      </c>
      <c r="C19" s="39" t="s">
        <v>4</v>
      </c>
      <c r="D19" s="40" t="s">
        <v>191</v>
      </c>
      <c r="E19" s="40" t="s">
        <v>7</v>
      </c>
      <c r="F19" s="40" t="s">
        <v>187</v>
      </c>
      <c r="H19" s="38" t="s">
        <v>2</v>
      </c>
      <c r="I19" s="39" t="s">
        <v>3</v>
      </c>
      <c r="J19" s="39" t="s">
        <v>4</v>
      </c>
      <c r="K19" s="40" t="s">
        <v>191</v>
      </c>
      <c r="L19" s="40" t="s">
        <v>169</v>
      </c>
      <c r="M19" s="40" t="s">
        <v>187</v>
      </c>
    </row>
    <row r="20" customFormat="false" ht="15" hidden="false" customHeight="false" outlineLevel="0" collapsed="false">
      <c r="A20" s="41" t="n">
        <f aca="false">INDEX('Stammdaten Teams'!$A$4:$A$102,MATCH(LARGE('Stammdaten Teams'!$E$4:$E$102,ROWS('Stammdaten Teams'!$A$4:A4)),'Stammdaten Teams'!$E$4:$E$102,0))</f>
        <v>503</v>
      </c>
      <c r="B20" s="41" t="str">
        <f aca="false">INDEX('Stammdaten Teams'!$B$4:$B$102,MATCH(LARGE('Stammdaten Teams'!$E$4:$E$102,ROWS('Stammdaten Teams'!$B$4:B4)),'Stammdaten Teams'!$E$4:$E$102,0))</f>
        <v>TVV Schwimm</v>
      </c>
      <c r="C20" s="41" t="str">
        <f aca="false">INDEX('Stammdaten Teams'!$C$4:$C$102,MATCH(LARGE('Stammdaten Teams'!$E$4:$E$102,ROWS('Stammdaten Teams'!$C$4:C4)),'Stammdaten Teams'!$E$4:$E$102,0))</f>
        <v>Tim Bauer</v>
      </c>
      <c r="D20" s="41" t="n">
        <f aca="false">INDEX('Stammdaten Teams'!$D$4:$D$102,MATCH(LARGE('Stammdaten Teams'!$E$4:$E$102,ROWS('Stammdaten Teams'!$D$4:D4)),'Stammdaten Teams'!$E$4:$E$102,0))</f>
        <v>13</v>
      </c>
      <c r="E20" s="31" t="n">
        <f aca="false">LARGE('Stammdaten Teams'!$E$4:$E$102,ROWS('Stammdaten Teams'!E$4:E4))</f>
        <v>800</v>
      </c>
      <c r="F20" s="42" t="n">
        <f aca="false">INDEX('Stammdaten Teams'!$G$4:$G$102,MATCH(LARGE('Stammdaten Teams'!$E$4:$E$102,ROWS('Stammdaten Teams'!$G$4:G4)),'Stammdaten Teams'!$E$4:$E$102,0))</f>
        <v>400</v>
      </c>
      <c r="H20" s="41" t="n">
        <f aca="false">INDEX('Stammdaten Teams'!$A$4:$A$102,MATCH(LARGE('Stammdaten Teams'!$H$4:$H$102,ROWS('Stammdaten Teams'!$A$4:A4)),'Stammdaten Teams'!$H$4:$H$102,0))</f>
        <v>505</v>
      </c>
      <c r="I20" s="41" t="str">
        <f aca="false">INDEX('Stammdaten Teams'!$B$4:$B$102,MATCH(LARGE('Stammdaten Teams'!$H$4:$H$102,ROWS('Stammdaten Teams'!$B$4:B4)),'Stammdaten Teams'!$H$4:$H$102,0))</f>
        <v>Kanu Klub</v>
      </c>
      <c r="J20" s="41" t="str">
        <f aca="false">INDEX('Stammdaten Teams'!$C$4:$C$102,MATCH(LARGE('Stammdaten Teams'!$H$4:$H$102,ROWS('Stammdaten Teams'!$C$4:C4)),'Stammdaten Teams'!$H$4:$H$102,0))</f>
        <v>Michael Fischer</v>
      </c>
      <c r="K20" s="41" t="n">
        <f aca="false">INDEX('Stammdaten Teams'!$D$4:$D$102,MATCH(LARGE('Stammdaten Teams'!$H$4:$H$102,ROWS('Stammdaten Teams'!$D$4:D4)),'Stammdaten Teams'!$H$4:$H$102,0))</f>
        <v>4</v>
      </c>
      <c r="L20" s="43" t="n">
        <f aca="false">LARGE('Stammdaten Teams'!$H$4:$H$102,ROWS('Stammdaten Teams'!H$4:H4))</f>
        <v>73</v>
      </c>
      <c r="M20" s="42" t="n">
        <f aca="false">INDEX('Stammdaten Teams'!$G$4:$G$102,MATCH(LARGE('Stammdaten Teams'!$H$4:$H$102,ROWS('Stammdaten Teams'!$G$4:G4)),'Stammdaten Teams'!$H$4:$H$102,0))</f>
        <v>146</v>
      </c>
    </row>
    <row r="21" customFormat="false" ht="15" hidden="false" customHeight="false" outlineLevel="0" collapsed="false">
      <c r="A21" s="41" t="n">
        <f aca="false">INDEX('Stammdaten Teams'!$A$4:$A$102,MATCH(LARGE('Stammdaten Teams'!$E$4:$E$102,ROWS('Stammdaten Teams'!$A$4:A5)),'Stammdaten Teams'!$E$4:$E$102,0))</f>
        <v>503</v>
      </c>
      <c r="B21" s="41" t="str">
        <f aca="false">INDEX('Stammdaten Teams'!$B$4:$B$102,MATCH(LARGE('Stammdaten Teams'!$E$4:$E$102,ROWS('Stammdaten Teams'!$B$4:B5)),'Stammdaten Teams'!$E$4:$E$102,0))</f>
        <v>TVV Schwimm</v>
      </c>
      <c r="C21" s="41" t="str">
        <f aca="false">INDEX('Stammdaten Teams'!$C$4:$C$102,MATCH(LARGE('Stammdaten Teams'!$E$4:$E$102,ROWS('Stammdaten Teams'!$C$4:C5)),'Stammdaten Teams'!$E$4:$E$102,0))</f>
        <v>Tim Bauer</v>
      </c>
      <c r="D21" s="41" t="n">
        <f aca="false">INDEX('Stammdaten Teams'!$D$4:$D$102,MATCH(LARGE('Stammdaten Teams'!$E$4:$E$102,ROWS('Stammdaten Teams'!$D$4:D5)),'Stammdaten Teams'!$E$4:$E$102,0))</f>
        <v>13</v>
      </c>
      <c r="E21" s="31" t="n">
        <f aca="false">LARGE('Stammdaten Teams'!$E$4:$E$102,ROWS('Stammdaten Teams'!E$4:E5))</f>
        <v>800</v>
      </c>
      <c r="F21" s="42" t="n">
        <f aca="false">INDEX('Stammdaten Teams'!$G$4:$G$102,MATCH(LARGE('Stammdaten Teams'!$E$4:$E$102,ROWS('Stammdaten Teams'!$G$4:G5)),'Stammdaten Teams'!$E$4:$E$102,0))</f>
        <v>400</v>
      </c>
      <c r="H21" s="41" t="n">
        <f aca="false">INDEX('Stammdaten Teams'!$A$4:$A$102,MATCH(LARGE('Stammdaten Teams'!$H$4:$H$102,ROWS('Stammdaten Teams'!$A$4:A5)),'Stammdaten Teams'!$H$4:$H$102,0))</f>
        <v>505</v>
      </c>
      <c r="I21" s="41" t="str">
        <f aca="false">INDEX('Stammdaten Teams'!$B$4:$B$102,MATCH(LARGE('Stammdaten Teams'!$H$4:$H$102,ROWS('Stammdaten Teams'!$B$4:B5)),'Stammdaten Teams'!$H$4:$H$102,0))</f>
        <v>Kanu Klub</v>
      </c>
      <c r="J21" s="41" t="str">
        <f aca="false">INDEX('Stammdaten Teams'!$C$4:$C$102,MATCH(LARGE('Stammdaten Teams'!$H$4:$H$102,ROWS('Stammdaten Teams'!$C$4:C5)),'Stammdaten Teams'!$H$4:$H$102,0))</f>
        <v>Michael Fischer</v>
      </c>
      <c r="K21" s="41" t="n">
        <f aca="false">INDEX('Stammdaten Teams'!$D$4:$D$102,MATCH(LARGE('Stammdaten Teams'!$H$4:$H$102,ROWS('Stammdaten Teams'!$D$4:D5)),'Stammdaten Teams'!$H$4:$H$102,0))</f>
        <v>4</v>
      </c>
      <c r="L21" s="43" t="n">
        <f aca="false">LARGE('Stammdaten Teams'!$H$4:$H$102,ROWS('Stammdaten Teams'!H$4:H5))</f>
        <v>73</v>
      </c>
      <c r="M21" s="42" t="n">
        <f aca="false">INDEX('Stammdaten Teams'!$G$4:$G$102,MATCH(LARGE('Stammdaten Teams'!$H$4:$H$102,ROWS('Stammdaten Teams'!$G$4:G5)),'Stammdaten Teams'!$H$4:$H$102,0))</f>
        <v>146</v>
      </c>
    </row>
    <row r="22" customFormat="false" ht="15" hidden="false" customHeight="false" outlineLevel="0" collapsed="false">
      <c r="A22" s="41" t="n">
        <f aca="false">INDEX('Stammdaten Teams'!$A$4:$A$102,MATCH(LARGE('Stammdaten Teams'!$E$4:$E$102,ROWS('Stammdaten Teams'!$A$4:A6)),'Stammdaten Teams'!$E$4:$E$102,0))</f>
        <v>502</v>
      </c>
      <c r="B22" s="41" t="str">
        <f aca="false">INDEX('Stammdaten Teams'!$B$4:$B$102,MATCH(LARGE('Stammdaten Teams'!$E$4:$E$102,ROWS('Stammdaten Teams'!$B$4:B6)),'Stammdaten Teams'!$E$4:$E$102,0))</f>
        <v>DLRG</v>
      </c>
      <c r="C22" s="41" t="str">
        <f aca="false">INDEX('Stammdaten Teams'!$C$4:$C$102,MATCH(LARGE('Stammdaten Teams'!$E$4:$E$102,ROWS('Stammdaten Teams'!$C$4:C6)),'Stammdaten Teams'!$E$4:$E$102,0))</f>
        <v>Thomas Schmid</v>
      </c>
      <c r="D22" s="41" t="n">
        <f aca="false">INDEX('Stammdaten Teams'!$D$4:$D$102,MATCH(LARGE('Stammdaten Teams'!$E$4:$E$102,ROWS('Stammdaten Teams'!$D$4:D6)),'Stammdaten Teams'!$E$4:$E$102,0))</f>
        <v>11</v>
      </c>
      <c r="E22" s="31" t="n">
        <f aca="false">LARGE('Stammdaten Teams'!$E$4:$E$102,ROWS('Stammdaten Teams'!E$4:E6))</f>
        <v>448</v>
      </c>
      <c r="F22" s="42" t="n">
        <f aca="false">INDEX('Stammdaten Teams'!$G$4:$G$102,MATCH(LARGE('Stammdaten Teams'!$E$4:$E$102,ROWS('Stammdaten Teams'!$G$4:G6)),'Stammdaten Teams'!$E$4:$E$102,0))</f>
        <v>224</v>
      </c>
      <c r="H22" s="41" t="n">
        <f aca="false">INDEX('Stammdaten Teams'!$A$4:$A$102,MATCH(LARGE('Stammdaten Teams'!$H$4:$H$102,ROWS('Stammdaten Teams'!$A$4:A6)),'Stammdaten Teams'!$H$4:$H$102,0))</f>
        <v>503</v>
      </c>
      <c r="I22" s="41" t="str">
        <f aca="false">INDEX('Stammdaten Teams'!$B$4:$B$102,MATCH(LARGE('Stammdaten Teams'!$H$4:$H$102,ROWS('Stammdaten Teams'!$B$4:B6)),'Stammdaten Teams'!$H$4:$H$102,0))</f>
        <v>TVV Schwimm</v>
      </c>
      <c r="J22" s="41" t="str">
        <f aca="false">INDEX('Stammdaten Teams'!$C$4:$C$102,MATCH(LARGE('Stammdaten Teams'!$H$4:$H$102,ROWS('Stammdaten Teams'!$C$4:C6)),'Stammdaten Teams'!$H$4:$H$102,0))</f>
        <v>Tim Bauer</v>
      </c>
      <c r="K22" s="41" t="n">
        <f aca="false">INDEX('Stammdaten Teams'!$D$4:$D$102,MATCH(LARGE('Stammdaten Teams'!$H$4:$H$102,ROWS('Stammdaten Teams'!$D$4:D6)),'Stammdaten Teams'!$H$4:$H$102,0))</f>
        <v>13</v>
      </c>
      <c r="L22" s="43" t="n">
        <f aca="false">LARGE('Stammdaten Teams'!$H$4:$H$102,ROWS('Stammdaten Teams'!H$4:H6))</f>
        <v>61.5384615384615</v>
      </c>
      <c r="M22" s="42" t="n">
        <f aca="false">INDEX('Stammdaten Teams'!$G$4:$G$102,MATCH(LARGE('Stammdaten Teams'!$H$4:$H$102,ROWS('Stammdaten Teams'!$G$4:G6)),'Stammdaten Teams'!$H$4:$H$102,0))</f>
        <v>400</v>
      </c>
    </row>
    <row r="23" customFormat="false" ht="15" hidden="false" customHeight="false" outlineLevel="0" collapsed="false">
      <c r="A23" s="41" t="n">
        <f aca="false">INDEX('Stammdaten Teams'!$A$4:$A$102,MATCH(LARGE('Stammdaten Teams'!$E$4:$E$102,ROWS('Stammdaten Teams'!$A$4:A7)),'Stammdaten Teams'!$E$4:$E$102,0))</f>
        <v>502</v>
      </c>
      <c r="B23" s="41" t="str">
        <f aca="false">INDEX('Stammdaten Teams'!$B$4:$B$102,MATCH(LARGE('Stammdaten Teams'!$E$4:$E$102,ROWS('Stammdaten Teams'!$B$4:B7)),'Stammdaten Teams'!$E$4:$E$102,0))</f>
        <v>DLRG</v>
      </c>
      <c r="C23" s="41" t="str">
        <f aca="false">INDEX('Stammdaten Teams'!$C$4:$C$102,MATCH(LARGE('Stammdaten Teams'!$E$4:$E$102,ROWS('Stammdaten Teams'!$C$4:C7)),'Stammdaten Teams'!$E$4:$E$102,0))</f>
        <v>Thomas Schmid</v>
      </c>
      <c r="D23" s="41" t="n">
        <f aca="false">INDEX('Stammdaten Teams'!$D$4:$D$102,MATCH(LARGE('Stammdaten Teams'!$E$4:$E$102,ROWS('Stammdaten Teams'!$D$4:D7)),'Stammdaten Teams'!$E$4:$E$102,0))</f>
        <v>11</v>
      </c>
      <c r="E23" s="31" t="n">
        <f aca="false">LARGE('Stammdaten Teams'!$E$4:$E$102,ROWS('Stammdaten Teams'!E$4:E7))</f>
        <v>448</v>
      </c>
      <c r="F23" s="42" t="n">
        <f aca="false">INDEX('Stammdaten Teams'!$G$4:$G$102,MATCH(LARGE('Stammdaten Teams'!$E$4:$E$102,ROWS('Stammdaten Teams'!$G$4:G7)),'Stammdaten Teams'!$E$4:$E$102,0))</f>
        <v>224</v>
      </c>
      <c r="H23" s="41" t="n">
        <f aca="false">INDEX('Stammdaten Teams'!$A$4:$A$102,MATCH(LARGE('Stammdaten Teams'!$H$4:$H$102,ROWS('Stammdaten Teams'!$A$4:A7)),'Stammdaten Teams'!$H$4:$H$102,0))</f>
        <v>503</v>
      </c>
      <c r="I23" s="41" t="str">
        <f aca="false">INDEX('Stammdaten Teams'!$B$4:$B$102,MATCH(LARGE('Stammdaten Teams'!$H$4:$H$102,ROWS('Stammdaten Teams'!$B$4:B7)),'Stammdaten Teams'!$H$4:$H$102,0))</f>
        <v>TVV Schwimm</v>
      </c>
      <c r="J23" s="41" t="str">
        <f aca="false">INDEX('Stammdaten Teams'!$C$4:$C$102,MATCH(LARGE('Stammdaten Teams'!$H$4:$H$102,ROWS('Stammdaten Teams'!$C$4:C7)),'Stammdaten Teams'!$H$4:$H$102,0))</f>
        <v>Tim Bauer</v>
      </c>
      <c r="K23" s="41" t="n">
        <f aca="false">INDEX('Stammdaten Teams'!$D$4:$D$102,MATCH(LARGE('Stammdaten Teams'!$H$4:$H$102,ROWS('Stammdaten Teams'!$D$4:D7)),'Stammdaten Teams'!$H$4:$H$102,0))</f>
        <v>13</v>
      </c>
      <c r="L23" s="43" t="n">
        <f aca="false">LARGE('Stammdaten Teams'!$H$4:$H$102,ROWS('Stammdaten Teams'!H$4:H7))</f>
        <v>61.5384615384615</v>
      </c>
      <c r="M23" s="42" t="n">
        <f aca="false">INDEX('Stammdaten Teams'!$G$4:$G$102,MATCH(LARGE('Stammdaten Teams'!$H$4:$H$102,ROWS('Stammdaten Teams'!$G$4:G7)),'Stammdaten Teams'!$H$4:$H$102,0))</f>
        <v>400</v>
      </c>
    </row>
    <row r="24" customFormat="false" ht="15" hidden="false" customHeight="false" outlineLevel="0" collapsed="false">
      <c r="A24" s="41" t="n">
        <f aca="false">INDEX('Stammdaten Teams'!$A$4:$A$102,MATCH(LARGE('Stammdaten Teams'!$E$4:$E$102,ROWS('Stammdaten Teams'!$A$4:A8)),'Stammdaten Teams'!$E$4:$E$102,0))</f>
        <v>505</v>
      </c>
      <c r="B24" s="41" t="str">
        <f aca="false">INDEX('Stammdaten Teams'!$B$4:$B$102,MATCH(LARGE('Stammdaten Teams'!$E$4:$E$102,ROWS('Stammdaten Teams'!$B$4:B8)),'Stammdaten Teams'!$E$4:$E$102,0))</f>
        <v>Kanu Klub</v>
      </c>
      <c r="C24" s="41" t="str">
        <f aca="false">INDEX('Stammdaten Teams'!$C$4:$C$102,MATCH(LARGE('Stammdaten Teams'!$E$4:$E$102,ROWS('Stammdaten Teams'!$C$4:C8)),'Stammdaten Teams'!$E$4:$E$102,0))</f>
        <v>Michael Fischer</v>
      </c>
      <c r="D24" s="41" t="n">
        <f aca="false">INDEX('Stammdaten Teams'!$D$4:$D$102,MATCH(LARGE('Stammdaten Teams'!$E$4:$E$102,ROWS('Stammdaten Teams'!$D$4:D8)),'Stammdaten Teams'!$E$4:$E$102,0))</f>
        <v>4</v>
      </c>
      <c r="E24" s="31" t="n">
        <f aca="false">LARGE('Stammdaten Teams'!$E$4:$E$102,ROWS('Stammdaten Teams'!E$4:E8))</f>
        <v>292</v>
      </c>
      <c r="F24" s="42" t="n">
        <f aca="false">INDEX('Stammdaten Teams'!$G$4:$G$102,MATCH(LARGE('Stammdaten Teams'!$E$4:$E$102,ROWS('Stammdaten Teams'!$G$4:G8)),'Stammdaten Teams'!$E$4:$E$102,0))</f>
        <v>146</v>
      </c>
      <c r="H24" s="41" t="n">
        <f aca="false">INDEX('Stammdaten Teams'!$A$4:$A$102,MATCH(LARGE('Stammdaten Teams'!$H$4:$H$102,ROWS('Stammdaten Teams'!$A$4:A8)),'Stammdaten Teams'!$H$4:$H$102,0))</f>
        <v>502</v>
      </c>
      <c r="I24" s="41" t="str">
        <f aca="false">INDEX('Stammdaten Teams'!$B$4:$B$102,MATCH(LARGE('Stammdaten Teams'!$H$4:$H$102,ROWS('Stammdaten Teams'!$B$4:B8)),'Stammdaten Teams'!$H$4:$H$102,0))</f>
        <v>DLRG</v>
      </c>
      <c r="J24" s="41" t="str">
        <f aca="false">INDEX('Stammdaten Teams'!$C$4:$C$102,MATCH(LARGE('Stammdaten Teams'!$H$4:$H$102,ROWS('Stammdaten Teams'!$C$4:C8)),'Stammdaten Teams'!$H$4:$H$102,0))</f>
        <v>Thomas Schmid</v>
      </c>
      <c r="K24" s="41" t="n">
        <f aca="false">INDEX('Stammdaten Teams'!$D$4:$D$102,MATCH(LARGE('Stammdaten Teams'!$H$4:$H$102,ROWS('Stammdaten Teams'!$D$4:D8)),'Stammdaten Teams'!$H$4:$H$102,0))</f>
        <v>11</v>
      </c>
      <c r="L24" s="43" t="n">
        <f aca="false">LARGE('Stammdaten Teams'!$H$4:$H$102,ROWS('Stammdaten Teams'!H$4:H8))</f>
        <v>40.7272727272727</v>
      </c>
      <c r="M24" s="42" t="n">
        <f aca="false">INDEX('Stammdaten Teams'!$G$4:$G$102,MATCH(LARGE('Stammdaten Teams'!$H$4:$H$102,ROWS('Stammdaten Teams'!$G$4:G8)),'Stammdaten Teams'!$H$4:$H$102,0))</f>
        <v>224</v>
      </c>
    </row>
    <row r="29" customFormat="false" ht="15" hidden="false" customHeight="false" outlineLevel="0" collapsed="false">
      <c r="T29" s="0" t="e">
        <f aca="false">#REF!</f>
        <v>#REF!</v>
      </c>
    </row>
    <row r="30" customFormat="false" ht="15" hidden="false" customHeight="false" outlineLevel="0" collapsed="false">
      <c r="T30" s="44" t="n">
        <f aca="false">'Spenden-Kalkulation-Schwimmer'!D8</f>
        <v>171</v>
      </c>
    </row>
    <row r="31" customFormat="false" ht="15" hidden="false" customHeight="false" outlineLevel="0" collapsed="false">
      <c r="A31" s="0" t="s">
        <v>192</v>
      </c>
      <c r="H31" s="0" t="s">
        <v>193</v>
      </c>
    </row>
    <row r="32" customFormat="false" ht="28.35" hidden="false" customHeight="false" outlineLevel="0" collapsed="false">
      <c r="A32" s="38" t="s">
        <v>186</v>
      </c>
      <c r="B32" s="39" t="s">
        <v>3</v>
      </c>
      <c r="C32" s="39" t="s">
        <v>4</v>
      </c>
      <c r="D32" s="40" t="s">
        <v>5</v>
      </c>
      <c r="E32" s="40" t="s">
        <v>187</v>
      </c>
      <c r="F32" s="40" t="s">
        <v>188</v>
      </c>
      <c r="H32" s="38" t="s">
        <v>2</v>
      </c>
      <c r="I32" s="39" t="s">
        <v>3</v>
      </c>
      <c r="J32" s="39" t="s">
        <v>4</v>
      </c>
      <c r="K32" s="40" t="s">
        <v>5</v>
      </c>
      <c r="L32" s="40" t="s">
        <v>187</v>
      </c>
      <c r="M32" s="40" t="s">
        <v>7</v>
      </c>
    </row>
    <row r="33" customFormat="false" ht="15" hidden="false" customHeight="false" outlineLevel="0" collapsed="false">
      <c r="A33" s="41" t="e">
        <f aca="false">INDEX('Stammdaten - Schwimmer'!$A$4:$A$99,MATCH(LARGE('Stammdaten - Schwimmer'!$D$4:$D$99,ROWS(#REF!)),'Stammdaten - Schwimmer'!$D$4:$D$99,0))</f>
        <v>#REF!</v>
      </c>
      <c r="B33" s="41" t="e">
        <f aca="false">INDEX('Stammdaten - Schwimmer'!$B$4:$B$99,MATCH(LARGE('Stammdaten - Schwimmer'!$D$4:$D$99,ROWS(#REF!)),'Stammdaten - Schwimmer'!$D$4:$D$99,0))</f>
        <v>#REF!</v>
      </c>
      <c r="C33" s="41" t="e">
        <f aca="false">INDEX('Stammdaten - Schwimmer'!$C$4:$C$99,MATCH(LARGE('Stammdaten - Schwimmer'!$D$4:$D$99,ROWS(#REF!)),'Stammdaten - Schwimmer'!$D$4:$D$99,0))</f>
        <v>#REF!</v>
      </c>
      <c r="D33" s="45" t="e">
        <f aca="false">LARGE('Stammdaten - Schwimmer'!$D$4:$D$99,ROWS(#REF!))</f>
        <v>#REF!</v>
      </c>
      <c r="E33" s="32" t="n">
        <f aca="false">INDEX('Spenden-Kalkulation-Schwimmer'!$D$4:$D$103,MATCH(LARGE('Stammdaten - Schwimmer'!$D$4:$D$99,ROWS('Spenden-Kalkulation-Schwimmer'!$D$4:D4)),'Stammdaten - Schwimmer'!$D$4:$D$99,0))</f>
        <v>38</v>
      </c>
      <c r="F33" s="41" t="e">
        <f aca="false">INDEX('Stammdaten - Schwimmer'!$F$4:$F$99,MATCH(LARGE('Stammdaten - Schwimmer'!$D$4:$D$99,ROWS(#REF!)),'Stammdaten - Schwimmer'!$D$4:$D$99,0))</f>
        <v>#REF!</v>
      </c>
      <c r="H33" s="41" t="e">
        <f aca="false">INDEX('Stammdaten - Schwimmer'!$A$4:$A$99,MATCH(SMALL('Stammdaten - Schwimmer'!$D$4:$D$99,ROWS(#REF!)),'Stammdaten - Schwimmer'!$D$4:$D$99,0))</f>
        <v>#REF!</v>
      </c>
      <c r="I33" s="41" t="e">
        <f aca="false">INDEX('Stammdaten - Schwimmer'!$B$4:$B$99,MATCH(SMALL('Stammdaten - Schwimmer'!$D$4:$D$99,ROWS(#REF!)),'Stammdaten - Schwimmer'!$D$4:$D$99,0))</f>
        <v>#REF!</v>
      </c>
      <c r="J33" s="41" t="e">
        <f aca="false">INDEX('Stammdaten - Schwimmer'!$C$4:$C$99,MATCH(SMALL('Stammdaten - Schwimmer'!$D$4:$D$99,ROWS(#REF!)),'Stammdaten - Schwimmer'!$D$4:$D$99,0))</f>
        <v>#REF!</v>
      </c>
      <c r="K33" s="45" t="e">
        <f aca="false">SMALL('Stammdaten - Schwimmer'!$D$4:$D$99,ROWS(#REF!))</f>
        <v>#REF!</v>
      </c>
      <c r="L33" s="42" t="n">
        <f aca="false">INDEX('Spenden-Kalkulation-Schwimmer'!$D$4:$D$103,MATCH(SMALL('Stammdaten - Schwimmer'!$D$4:$D$99,ROWS('Spenden-Kalkulation-Schwimmer'!$D$4:D4)),'Stammdaten - Schwimmer'!$D$4:$D$99,0))</f>
        <v>0</v>
      </c>
      <c r="M33" s="41" t="e">
        <f aca="false">INDEX('Stammdaten - Schwimmer'!$F$4:$F$99,MATCH(SMALL('Stammdaten - Schwimmer'!$D$4:$D$99,ROWS(#REF!)),'Stammdaten - Schwimmer'!$D$4:$D$99,0))</f>
        <v>#REF!</v>
      </c>
    </row>
    <row r="34" customFormat="false" ht="15" hidden="false" customHeight="false" outlineLevel="0" collapsed="false">
      <c r="A34" s="41" t="n">
        <f aca="false">INDEX('Stammdaten - Schwimmer'!$A$4:$A$99,MATCH(LARGE('Stammdaten - Schwimmer'!$D$4:$D$99,ROWS('Stammdaten - Schwimmer'!$A$4:A4)),'Stammdaten - Schwimmer'!$D$4:$D$99,0))</f>
        <v>80</v>
      </c>
      <c r="B34" s="41" t="str">
        <f aca="false">INDEX('Stammdaten - Schwimmer'!$B$4:$B$99,MATCH(LARGE('Stammdaten - Schwimmer'!$D$4:$D$99,ROWS('Stammdaten - Schwimmer'!$B$4:B4)),'Stammdaten - Schwimmer'!$D$4:$D$99,0))</f>
        <v>Schönefeld</v>
      </c>
      <c r="C34" s="41" t="str">
        <f aca="false">INDEX('Stammdaten - Schwimmer'!$C$4:$C$99,MATCH(LARGE('Stammdaten - Schwimmer'!$D$4:$D$99,ROWS('Stammdaten - Schwimmer'!$C$4:C4)),'Stammdaten - Schwimmer'!$D$4:$D$99,0))</f>
        <v>Frida Marie</v>
      </c>
      <c r="D34" s="45" t="n">
        <f aca="false">LARGE('Stammdaten - Schwimmer'!$D$4:$D$99,ROWS('Stammdaten - Schwimmer'!D$4:D4))</f>
        <v>43719</v>
      </c>
      <c r="E34" s="32" t="n">
        <f aca="false">INDEX('Spenden-Kalkulation-Schwimmer'!$D$4:$D$103,MATCH(LARGE('Stammdaten - Schwimmer'!$D$4:$D$99,ROWS('Spenden-Kalkulation-Schwimmer'!$D$4:D5)),'Stammdaten - Schwimmer'!$D$4:$D$99,0))</f>
        <v>29</v>
      </c>
      <c r="F34" s="41" t="n">
        <f aca="false">INDEX('Stammdaten - Schwimmer'!$F$4:$F$99,MATCH(LARGE('Stammdaten - Schwimmer'!$D$4:$D$99,ROWS('Stammdaten - Schwimmer'!$F$4:F4)),'Stammdaten - Schwimmer'!$D$4:$D$99,0))</f>
        <v>32</v>
      </c>
      <c r="H34" s="41" t="n">
        <f aca="false">INDEX('Stammdaten - Schwimmer'!$A$4:$A$99,MATCH(SMALL('Stammdaten - Schwimmer'!$D$4:$D$99,ROWS('Stammdaten - Schwimmer'!$A$4:A4)),'Stammdaten - Schwimmer'!$D$4:$D$99,0))</f>
        <v>71</v>
      </c>
      <c r="I34" s="41" t="str">
        <f aca="false">INDEX('Stammdaten - Schwimmer'!$B$4:$B$99,MATCH(SMALL('Stammdaten - Schwimmer'!$D$4:$D$99,ROWS('Stammdaten - Schwimmer'!$B$4:B4)),'Stammdaten - Schwimmer'!$D$4:$D$99,0))</f>
        <v>Zimmermann</v>
      </c>
      <c r="J34" s="41" t="str">
        <f aca="false">INDEX('Stammdaten - Schwimmer'!$C$4:$C$99,MATCH(SMALL('Stammdaten - Schwimmer'!$D$4:$D$99,ROWS('Stammdaten - Schwimmer'!$C$4:C4)),'Stammdaten - Schwimmer'!$D$4:$D$99,0))</f>
        <v>Inge</v>
      </c>
      <c r="K34" s="45" t="n">
        <f aca="false">SMALL('Stammdaten - Schwimmer'!$D$4:$D$99,ROWS('Stammdaten - Schwimmer'!D$4:D4))</f>
        <v>21516</v>
      </c>
      <c r="L34" s="42" t="n">
        <f aca="false">INDEX('Spenden-Kalkulation-Schwimmer'!$D$4:$D$103,MATCH(SMALL('Stammdaten - Schwimmer'!$D$4:$D$99,ROWS('Spenden-Kalkulation-Schwimmer'!$D$4:D5)),'Stammdaten - Schwimmer'!$D$4:$D$99,0))</f>
        <v>126</v>
      </c>
      <c r="M34" s="41" t="n">
        <f aca="false">INDEX('Stammdaten - Schwimmer'!$F$4:$F$99,MATCH(SMALL('Stammdaten - Schwimmer'!$D$4:$D$99,ROWS('Stammdaten - Schwimmer'!$F$4:F4)),'Stammdaten - Schwimmer'!$D$4:$D$99,0))</f>
        <v>22</v>
      </c>
    </row>
    <row r="35" customFormat="false" ht="15" hidden="false" customHeight="false" outlineLevel="0" collapsed="false">
      <c r="A35" s="41" t="n">
        <f aca="false">INDEX('Stammdaten - Schwimmer'!$A$4:$A$99,MATCH(LARGE('Stammdaten - Schwimmer'!$D$4:$D$99,ROWS('Stammdaten - Schwimmer'!$A$4:A5)),'Stammdaten - Schwimmer'!$D$4:$D$99,0))</f>
        <v>30</v>
      </c>
      <c r="B35" s="41" t="str">
        <f aca="false">INDEX('Stammdaten - Schwimmer'!$B$4:$B$99,MATCH(LARGE('Stammdaten - Schwimmer'!$D$4:$D$99,ROWS('Stammdaten - Schwimmer'!$B$4:B5)),'Stammdaten - Schwimmer'!$D$4:$D$99,0))</f>
        <v>Kombacher</v>
      </c>
      <c r="C35" s="41" t="str">
        <f aca="false">INDEX('Stammdaten - Schwimmer'!$C$4:$C$99,MATCH(LARGE('Stammdaten - Schwimmer'!$D$4:$D$99,ROWS('Stammdaten - Schwimmer'!$C$4:C5)),'Stammdaten - Schwimmer'!$D$4:$D$99,0))</f>
        <v>Mia</v>
      </c>
      <c r="D35" s="45" t="n">
        <f aca="false">LARGE('Stammdaten - Schwimmer'!$D$4:$D$99,ROWS('Stammdaten - Schwimmer'!D$4:D5))</f>
        <v>43635</v>
      </c>
      <c r="E35" s="32" t="n">
        <f aca="false">INDEX('Spenden-Kalkulation-Schwimmer'!$D$4:$D$103,MATCH(LARGE('Stammdaten - Schwimmer'!$D$4:$D$99,ROWS('Spenden-Kalkulation-Schwimmer'!$D$4:D6)),'Stammdaten - Schwimmer'!$D$4:$D$99,0))</f>
        <v>10</v>
      </c>
      <c r="F35" s="41" t="n">
        <f aca="false">INDEX('Stammdaten - Schwimmer'!$F$4:$F$99,MATCH(LARGE('Stammdaten - Schwimmer'!$D$4:$D$99,ROWS('Stammdaten - Schwimmer'!$F$4:F5)),'Stammdaten - Schwimmer'!$D$4:$D$99,0))</f>
        <v>40</v>
      </c>
      <c r="H35" s="41" t="n">
        <f aca="false">INDEX('Stammdaten - Schwimmer'!$A$4:$A$99,MATCH(SMALL('Stammdaten - Schwimmer'!$D$4:$D$99,ROWS('Stammdaten - Schwimmer'!$A$4:A5)),'Stammdaten - Schwimmer'!$D$4:$D$99,0))</f>
        <v>92</v>
      </c>
      <c r="I35" s="41" t="str">
        <f aca="false">INDEX('Stammdaten - Schwimmer'!$B$4:$B$99,MATCH(SMALL('Stammdaten - Schwimmer'!$D$4:$D$99,ROWS('Stammdaten - Schwimmer'!$B$4:B5)),'Stammdaten - Schwimmer'!$D$4:$D$99,0))</f>
        <v>Nanjack</v>
      </c>
      <c r="J35" s="41" t="str">
        <f aca="false">INDEX('Stammdaten - Schwimmer'!$C$4:$C$99,MATCH(SMALL('Stammdaten - Schwimmer'!$D$4:$D$99,ROWS('Stammdaten - Schwimmer'!$C$4:C5)),'Stammdaten - Schwimmer'!$D$4:$D$99,0))</f>
        <v>Mariims</v>
      </c>
      <c r="K35" s="45" t="n">
        <f aca="false">SMALL('Stammdaten - Schwimmer'!$D$4:$D$99,ROWS('Stammdaten - Schwimmer'!D$4:D5))</f>
        <v>21845</v>
      </c>
      <c r="L35" s="42" t="n">
        <f aca="false">INDEX('Spenden-Kalkulation-Schwimmer'!$D$4:$D$103,MATCH(SMALL('Stammdaten - Schwimmer'!$D$4:$D$99,ROWS('Spenden-Kalkulation-Schwimmer'!$D$4:D6)),'Stammdaten - Schwimmer'!$D$4:$D$99,0))</f>
        <v>0</v>
      </c>
      <c r="M35" s="41" t="n">
        <f aca="false">INDEX('Stammdaten - Schwimmer'!$F$4:$F$99,MATCH(SMALL('Stammdaten - Schwimmer'!$D$4:$D$99,ROWS('Stammdaten - Schwimmer'!$F$4:F5)),'Stammdaten - Schwimmer'!$D$4:$D$99,0))</f>
        <v>22</v>
      </c>
    </row>
    <row r="36" customFormat="false" ht="15" hidden="false" customHeight="false" outlineLevel="0" collapsed="false">
      <c r="A36" s="41" t="n">
        <f aca="false">INDEX('Stammdaten - Schwimmer'!$A$4:$A$99,MATCH(LARGE('Stammdaten - Schwimmer'!$D$4:$D$99,ROWS('Stammdaten - Schwimmer'!$A$4:A6)),'Stammdaten - Schwimmer'!$D$4:$D$99,0))</f>
        <v>77</v>
      </c>
      <c r="B36" s="41" t="str">
        <f aca="false">INDEX('Stammdaten - Schwimmer'!$B$4:$B$99,MATCH(LARGE('Stammdaten - Schwimmer'!$D$4:$D$99,ROWS('Stammdaten - Schwimmer'!$B$4:B6)),'Stammdaten - Schwimmer'!$D$4:$D$99,0))</f>
        <v>Rink</v>
      </c>
      <c r="C36" s="41" t="str">
        <f aca="false">INDEX('Stammdaten - Schwimmer'!$C$4:$C$99,MATCH(LARGE('Stammdaten - Schwimmer'!$D$4:$D$99,ROWS('Stammdaten - Schwimmer'!$C$4:C6)),'Stammdaten - Schwimmer'!$D$4:$D$99,0))</f>
        <v>Henrik</v>
      </c>
      <c r="D36" s="45" t="n">
        <f aca="false">LARGE('Stammdaten - Schwimmer'!$D$4:$D$99,ROWS('Stammdaten - Schwimmer'!D$4:D6))</f>
        <v>43484</v>
      </c>
      <c r="E36" s="32" t="n">
        <f aca="false">INDEX('Spenden-Kalkulation-Schwimmer'!$D$4:$D$103,MATCH(LARGE('Stammdaten - Schwimmer'!$D$4:$D$99,ROWS('Spenden-Kalkulation-Schwimmer'!$D$4:D7)),'Stammdaten - Schwimmer'!$D$4:$D$99,0))</f>
        <v>31</v>
      </c>
      <c r="F36" s="41" t="n">
        <f aca="false">INDEX('Stammdaten - Schwimmer'!$F$4:$F$99,MATCH(LARGE('Stammdaten - Schwimmer'!$D$4:$D$99,ROWS('Stammdaten - Schwimmer'!$F$4:F6)),'Stammdaten - Schwimmer'!$D$4:$D$99,0))</f>
        <v>48</v>
      </c>
      <c r="H36" s="41" t="n">
        <f aca="false">INDEX('Stammdaten - Schwimmer'!$A$4:$A$99,MATCH(SMALL('Stammdaten - Schwimmer'!$D$4:$D$99,ROWS('Stammdaten - Schwimmer'!$A$4:A6)),'Stammdaten - Schwimmer'!$D$4:$D$99,0))</f>
        <v>70</v>
      </c>
      <c r="I36" s="41" t="str">
        <f aca="false">INDEX('Stammdaten - Schwimmer'!$B$4:$B$99,MATCH(SMALL('Stammdaten - Schwimmer'!$D$4:$D$99,ROWS('Stammdaten - Schwimmer'!$B$4:B6)),'Stammdaten - Schwimmer'!$D$4:$D$99,0))</f>
        <v>Klick</v>
      </c>
      <c r="J36" s="41" t="str">
        <f aca="false">INDEX('Stammdaten - Schwimmer'!$C$4:$C$99,MATCH(SMALL('Stammdaten - Schwimmer'!$D$4:$D$99,ROWS('Stammdaten - Schwimmer'!$C$4:C6)),'Stammdaten - Schwimmer'!$D$4:$D$99,0))</f>
        <v>Karin</v>
      </c>
      <c r="K36" s="45" t="n">
        <f aca="false">SMALL('Stammdaten - Schwimmer'!$D$4:$D$99,ROWS('Stammdaten - Schwimmer'!D$4:D6))</f>
        <v>22319</v>
      </c>
      <c r="L36" s="42" t="n">
        <f aca="false">INDEX('Spenden-Kalkulation-Schwimmer'!$D$4:$D$103,MATCH(SMALL('Stammdaten - Schwimmer'!$D$4:$D$99,ROWS('Spenden-Kalkulation-Schwimmer'!$D$4:D7)),'Stammdaten - Schwimmer'!$D$4:$D$99,0))</f>
        <v>130</v>
      </c>
      <c r="M36" s="41" t="n">
        <f aca="false">INDEX('Stammdaten - Schwimmer'!$F$4:$F$99,MATCH(SMALL('Stammdaten - Schwimmer'!$D$4:$D$99,ROWS('Stammdaten - Schwimmer'!$F$4:F6)),'Stammdaten - Schwimmer'!$D$4:$D$99,0))</f>
        <v>36</v>
      </c>
    </row>
    <row r="37" customFormat="false" ht="15" hidden="false" customHeight="false" outlineLevel="0" collapsed="false">
      <c r="A37" s="41" t="n">
        <f aca="false">INDEX('Stammdaten - Schwimmer'!$A$4:$A$99,MATCH(LARGE('Stammdaten - Schwimmer'!$D$4:$D$99,ROWS('Stammdaten - Schwimmer'!$A$4:A7)),'Stammdaten - Schwimmer'!$D$4:$D$99,0))</f>
        <v>51</v>
      </c>
      <c r="B37" s="41" t="str">
        <f aca="false">INDEX('Stammdaten - Schwimmer'!$B$4:$B$99,MATCH(LARGE('Stammdaten - Schwimmer'!$D$4:$D$99,ROWS('Stammdaten - Schwimmer'!$B$4:B7)),'Stammdaten - Schwimmer'!$D$4:$D$99,0))</f>
        <v>Warga</v>
      </c>
      <c r="C37" s="41" t="str">
        <f aca="false">INDEX('Stammdaten - Schwimmer'!$C$4:$C$99,MATCH(LARGE('Stammdaten - Schwimmer'!$D$4:$D$99,ROWS('Stammdaten - Schwimmer'!$C$4:C7)),'Stammdaten - Schwimmer'!$D$4:$D$99,0))</f>
        <v>Eva</v>
      </c>
      <c r="D37" s="45" t="n">
        <f aca="false">LARGE('Stammdaten - Schwimmer'!$D$4:$D$99,ROWS('Stammdaten - Schwimmer'!D$4:D7))</f>
        <v>42629</v>
      </c>
      <c r="E37" s="32" t="n">
        <f aca="false">INDEX('Spenden-Kalkulation-Schwimmer'!$D$4:$D$103,MATCH(LARGE('Stammdaten - Schwimmer'!$D$4:$D$99,ROWS('Spenden-Kalkulation-Schwimmer'!$D$4:D8)),'Stammdaten - Schwimmer'!$D$4:$D$99,0))</f>
        <v>0</v>
      </c>
      <c r="F37" s="41" t="n">
        <f aca="false">INDEX('Stammdaten - Schwimmer'!$F$4:$F$99,MATCH(LARGE('Stammdaten - Schwimmer'!$D$4:$D$99,ROWS('Stammdaten - Schwimmer'!$F$4:F7)),'Stammdaten - Schwimmer'!$D$4:$D$99,0))</f>
        <v>102</v>
      </c>
      <c r="H37" s="41" t="n">
        <f aca="false">INDEX('Stammdaten - Schwimmer'!$A$4:$A$99,MATCH(SMALL('Stammdaten - Schwimmer'!$D$4:$D$99,ROWS('Stammdaten - Schwimmer'!$A$4:A7)),'Stammdaten - Schwimmer'!$D$4:$D$99,0))</f>
        <v>90</v>
      </c>
      <c r="I37" s="41" t="str">
        <f aca="false">INDEX('Stammdaten - Schwimmer'!$B$4:$B$99,MATCH(SMALL('Stammdaten - Schwimmer'!$D$4:$D$99,ROWS('Stammdaten - Schwimmer'!$B$4:B7)),'Stammdaten - Schwimmer'!$D$4:$D$99,0))</f>
        <v>Warlitz</v>
      </c>
      <c r="J37" s="41" t="str">
        <f aca="false">INDEX('Stammdaten - Schwimmer'!$C$4:$C$99,MATCH(SMALL('Stammdaten - Schwimmer'!$D$4:$D$99,ROWS('Stammdaten - Schwimmer'!$C$4:C7)),'Stammdaten - Schwimmer'!$D$4:$D$99,0))</f>
        <v>Eleanor</v>
      </c>
      <c r="K37" s="45" t="n">
        <f aca="false">SMALL('Stammdaten - Schwimmer'!$D$4:$D$99,ROWS('Stammdaten - Schwimmer'!D$4:D7))</f>
        <v>22647</v>
      </c>
      <c r="L37" s="42" t="n">
        <f aca="false">INDEX('Spenden-Kalkulation-Schwimmer'!$D$4:$D$103,MATCH(SMALL('Stammdaten - Schwimmer'!$D$4:$D$99,ROWS('Spenden-Kalkulation-Schwimmer'!$D$4:D8)),'Stammdaten - Schwimmer'!$D$4:$D$99,0))</f>
        <v>160</v>
      </c>
      <c r="M37" s="41" t="n">
        <f aca="false">INDEX('Stammdaten - Schwimmer'!$F$4:$F$99,MATCH(SMALL('Stammdaten - Schwimmer'!$D$4:$D$99,ROWS('Stammdaten - Schwimmer'!$F$4:F7)),'Stammdaten - Schwimmer'!$D$4:$D$99,0))</f>
        <v>44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0.6796875" defaultRowHeight="15" customHeight="false" zeroHeight="false" outlineLevelRow="0" outlineLevelCol="0"/>
  <cols>
    <col collapsed="false" customWidth="true" hidden="false" outlineLevel="0" max="2" min="2" style="0" width="23"/>
    <col collapsed="false" customWidth="true" hidden="false" outlineLevel="0" max="3" min="3" style="0" width="23.57"/>
    <col collapsed="false" customWidth="true" hidden="false" outlineLevel="0" max="5" min="4" style="2" width="11.43"/>
    <col collapsed="false" customWidth="true" hidden="false" outlineLevel="0" max="6" min="6" style="1" width="6"/>
    <col collapsed="false" customWidth="true" hidden="false" outlineLevel="0" max="7" min="7" style="0" width="6"/>
    <col collapsed="false" customWidth="true" hidden="false" outlineLevel="0" max="9" min="9" style="0" width="21.43"/>
    <col collapsed="false" customWidth="true" hidden="false" outlineLevel="0" max="10" min="10" style="0" width="19.57"/>
    <col collapsed="false" customWidth="true" hidden="false" outlineLevel="0" max="13" min="13" style="0" width="5.42"/>
    <col collapsed="false" customWidth="true" hidden="false" outlineLevel="0" max="14" min="14" style="0" width="6.29"/>
    <col collapsed="false" customWidth="true" hidden="false" outlineLevel="0" max="16" min="16" style="0" width="23.42"/>
    <col collapsed="false" customWidth="true" hidden="false" outlineLevel="0" max="17" min="17" style="0" width="22"/>
    <col collapsed="false" customWidth="true" hidden="false" outlineLevel="0" max="18" min="18" style="1" width="11.43"/>
    <col collapsed="false" customWidth="true" hidden="false" outlineLevel="0" max="20" min="20" style="0" width="5.42"/>
    <col collapsed="false" customWidth="true" hidden="false" outlineLevel="0" max="21" min="21" style="0" width="6.57"/>
    <col collapsed="false" customWidth="true" hidden="false" outlineLevel="0" max="23" min="23" style="0" width="19"/>
    <col collapsed="false" customWidth="true" hidden="false" outlineLevel="0" max="24" min="24" style="0" width="18.71"/>
    <col collapsed="false" customWidth="true" hidden="false" outlineLevel="0" max="27" min="27" style="0" width="7.29"/>
  </cols>
  <sheetData>
    <row r="1" customFormat="false" ht="15" hidden="false" customHeight="false" outlineLevel="0" collapsed="false">
      <c r="A1" s="0" t="s">
        <v>194</v>
      </c>
    </row>
    <row r="2" customFormat="false" ht="15" hidden="false" customHeight="false" outlineLevel="0" collapsed="false">
      <c r="H2" s="0" t="s">
        <v>195</v>
      </c>
      <c r="K2" s="2"/>
      <c r="L2" s="1"/>
      <c r="O2" s="0" t="s">
        <v>196</v>
      </c>
      <c r="R2" s="2"/>
      <c r="S2" s="1"/>
      <c r="V2" s="0" t="s">
        <v>197</v>
      </c>
      <c r="Y2" s="2"/>
      <c r="Z2" s="1"/>
    </row>
    <row r="3" customFormat="false" ht="28.35" hidden="false" customHeight="false" outlineLevel="0" collapsed="false">
      <c r="A3" s="38" t="s">
        <v>2</v>
      </c>
      <c r="B3" s="39" t="s">
        <v>3</v>
      </c>
      <c r="C3" s="39" t="s">
        <v>4</v>
      </c>
      <c r="D3" s="40" t="s">
        <v>187</v>
      </c>
      <c r="E3" s="40" t="s">
        <v>7</v>
      </c>
      <c r="H3" s="38" t="s">
        <v>2</v>
      </c>
      <c r="I3" s="39" t="s">
        <v>3</v>
      </c>
      <c r="J3" s="39" t="s">
        <v>4</v>
      </c>
      <c r="K3" s="40" t="s">
        <v>187</v>
      </c>
      <c r="L3" s="40" t="s">
        <v>7</v>
      </c>
      <c r="O3" s="38" t="s">
        <v>2</v>
      </c>
      <c r="P3" s="39" t="s">
        <v>3</v>
      </c>
      <c r="Q3" s="39" t="s">
        <v>4</v>
      </c>
      <c r="R3" s="40" t="s">
        <v>187</v>
      </c>
      <c r="S3" s="40" t="s">
        <v>7</v>
      </c>
      <c r="T3" s="0" t="s">
        <v>198</v>
      </c>
      <c r="V3" s="38" t="s">
        <v>2</v>
      </c>
      <c r="W3" s="39" t="s">
        <v>3</v>
      </c>
      <c r="X3" s="39" t="s">
        <v>4</v>
      </c>
      <c r="Y3" s="40" t="s">
        <v>187</v>
      </c>
      <c r="Z3" s="40" t="s">
        <v>7</v>
      </c>
    </row>
    <row r="4" customFormat="false" ht="15" hidden="false" customHeight="false" outlineLevel="0" collapsed="false">
      <c r="A4" s="46" t="e">
        <f aca="false">#REF!</f>
        <v>#REF!</v>
      </c>
      <c r="B4" s="47" t="e">
        <f aca="false">#REF!</f>
        <v>#REF!</v>
      </c>
      <c r="C4" s="47" t="e">
        <f aca="false">#REF!</f>
        <v>#REF!</v>
      </c>
      <c r="D4" s="32" t="e">
        <f aca="false">#REF!+#REF!+#REF!+#REF!+'Stammdaten - Schwimmer'!Z4</f>
        <v>#REF!</v>
      </c>
      <c r="E4" s="48" t="e">
        <f aca="false">#REF!</f>
        <v>#REF!</v>
      </c>
      <c r="H4" s="31" t="e">
        <f aca="false">IF(#REF!&gt;DATE(2011,7,20),A4,)</f>
        <v>#REF!</v>
      </c>
      <c r="I4" s="31" t="e">
        <f aca="false">IF(#REF!&gt;DATE(2011,7,20),B4,)</f>
        <v>#REF!</v>
      </c>
      <c r="J4" s="31" t="e">
        <f aca="false">IF(#REF!&gt;DATE(2011,7,20),C4,)</f>
        <v>#REF!</v>
      </c>
      <c r="K4" s="32" t="e">
        <f aca="false">IF(#REF!&gt;DATE(2011,7,20),D4,)</f>
        <v>#REF!</v>
      </c>
      <c r="L4" s="31" t="e">
        <f aca="false">IF(#REF!&gt;DATE(2011,7,20),#REF!,)</f>
        <v>#REF!</v>
      </c>
      <c r="M4" s="0" t="e">
        <f aca="false">_xlfn.RANK.EQ(L4,L$4:L$103,0)</f>
        <v>#REF!</v>
      </c>
      <c r="O4" s="31" t="e">
        <f aca="false">IF(AND(#REF!&lt;DATE(2011,7,20),#REF!&gt;DATE(2007,7,19)),A4,)</f>
        <v>#REF!</v>
      </c>
      <c r="P4" s="31" t="e">
        <f aca="false">IF(AND(#REF!&lt;DATE(2011,7,20),#REF!&gt;DATE(2007,7,19)),B4,)</f>
        <v>#REF!</v>
      </c>
      <c r="Q4" s="31" t="e">
        <f aca="false">IF(AND(#REF!&lt;DATE(2011,7,20),#REF!&gt;DATE(2007,7,19)),C4,)</f>
        <v>#REF!</v>
      </c>
      <c r="R4" s="32" t="e">
        <f aca="false">IF(AND(#REF!&lt;DATE(2011,7,20),#REF!&gt;DATE(2007,7,19)),D4,)</f>
        <v>#REF!</v>
      </c>
      <c r="S4" s="48" t="e">
        <f aca="false">IF(AND(#REF!&lt;DATE(2011,7,20),#REF!&gt;DATE(2007,7,19)),#REF!,)</f>
        <v>#REF!</v>
      </c>
      <c r="T4" s="0" t="e">
        <f aca="false">_xlfn.RANK.EQ(S4,S$4:S$103,0)</f>
        <v>#REF!</v>
      </c>
      <c r="V4" s="31" t="e">
        <f aca="false">IF(#REF!&lt;DATE(2007,7,20),A4,)</f>
        <v>#REF!</v>
      </c>
      <c r="W4" s="31" t="e">
        <f aca="false">IF(#REF!&lt;DATE(2007,7,20),B4,)</f>
        <v>#REF!</v>
      </c>
      <c r="X4" s="31" t="e">
        <f aca="false">IF(#REF!&lt;DATE(2007,7,20),C4,)</f>
        <v>#REF!</v>
      </c>
      <c r="Y4" s="32" t="e">
        <f aca="false">IF(#REF!&lt;DATE(2007,7,20),D4,)</f>
        <v>#REF!</v>
      </c>
      <c r="Z4" s="48" t="e">
        <f aca="false">IF(#REF!&lt;DATE(2007,7,20),#REF!,)</f>
        <v>#REF!</v>
      </c>
      <c r="AA4" s="0" t="e">
        <f aca="false">_xlfn.RANK.EQ(Z4,Z$4:Z$103,0)</f>
        <v>#REF!</v>
      </c>
    </row>
    <row r="5" customFormat="false" ht="15" hidden="false" customHeight="false" outlineLevel="0" collapsed="false">
      <c r="A5" s="46" t="n">
        <f aca="false">'Stammdaten - Schwimmer'!A4</f>
        <v>2</v>
      </c>
      <c r="B5" s="47" t="n">
        <f aca="false">'Stammdaten - Schwimmer'!B4</f>
        <v>0</v>
      </c>
      <c r="C5" s="47" t="n">
        <f aca="false">'Stammdaten - Schwimmer'!C4</f>
        <v>0</v>
      </c>
      <c r="D5" s="32" t="e">
        <f aca="false">'stammdaten - schwimmer'!#ref!+'stammdaten - schwimmer'!#ref!+'Stammdaten - Schwimmer'!R4+'Stammdaten - Schwimmer'!V4+'Stammdaten - Schwimmer'!Z5</f>
        <v>#VALUE!</v>
      </c>
      <c r="E5" s="48" t="e">
        <f aca="false">'stammdaten - schwimmer'!#ref!</f>
        <v>#VALUE!</v>
      </c>
      <c r="H5" s="31" t="e">
        <f aca="false">IF('stammdaten - schwimmer'!#ref!&gt;DATE(2011,7,20),A5,)</f>
        <v>#VALUE!</v>
      </c>
      <c r="I5" s="31" t="e">
        <f aca="false">IF('stammdaten - schwimmer'!#ref!&gt;DATE(2011,7,20),B5,)</f>
        <v>#VALUE!</v>
      </c>
      <c r="J5" s="31" t="e">
        <f aca="false">IF('stammdaten - schwimmer'!#ref!&gt;DATE(2011,7,20),C5,)</f>
        <v>#VALUE!</v>
      </c>
      <c r="K5" s="32" t="e">
        <f aca="false">IF('stammdaten - schwimmer'!#ref!&gt;DATE(2011,7,20),D5,)</f>
        <v>#VALUE!</v>
      </c>
      <c r="L5" s="31" t="e">
        <f aca="false">IF('stammdaten - schwimmer'!#ref!&gt;DATE(2011,7,20),'stammdaten - schwimmer'!#ref!,)</f>
        <v>#VALUE!</v>
      </c>
      <c r="M5" s="0" t="e">
        <f aca="false">_xlfn.RANK.EQ(L5,L$4:L$103,0)</f>
        <v>#REF!</v>
      </c>
      <c r="O5" s="31" t="e">
        <f aca="false">IF(AND('stammdaten - schwimmer'!#ref!&lt;DATE(2011,7,20),'stammdaten - schwimmer'!#ref!&gt;DATE(2007,7,19)),A5,)</f>
        <v>#VALUE!</v>
      </c>
      <c r="P5" s="31" t="e">
        <f aca="false">IF(AND('stammdaten - schwimmer'!#ref!&lt;DATE(2011,7,20),'stammdaten - schwimmer'!#ref!&gt;DATE(2007,7,19)),B5,)</f>
        <v>#VALUE!</v>
      </c>
      <c r="Q5" s="31" t="e">
        <f aca="false">IF(AND('stammdaten - schwimmer'!#ref!&lt;DATE(2011,7,20),'stammdaten - schwimmer'!#ref!&gt;DATE(2007,7,19)),C5,)</f>
        <v>#VALUE!</v>
      </c>
      <c r="R5" s="32" t="e">
        <f aca="false">IF(AND('stammdaten - schwimmer'!#ref!&lt;DATE(2011,7,20),'stammdaten - schwimmer'!#ref!&gt;DATE(2007,7,19)),D5,)</f>
        <v>#VALUE!</v>
      </c>
      <c r="S5" s="48" t="e">
        <f aca="false">IF(AND('stammdaten - schwimmer'!#ref!&lt;DATE(2011,7,20),'stammdaten - schwimmer'!#ref!&gt;DATE(2007,7,19)),'stammdaten - schwimmer'!#ref!,)</f>
        <v>#VALUE!</v>
      </c>
      <c r="T5" s="0" t="e">
        <f aca="false">_xlfn.RANK.EQ(S5,S$4:S$103,0)</f>
        <v>#REF!</v>
      </c>
      <c r="V5" s="31" t="e">
        <f aca="false">IF('stammdaten - schwimmer'!#ref!&lt;DATE(2007,7,20),A5,)</f>
        <v>#VALUE!</v>
      </c>
      <c r="W5" s="31" t="e">
        <f aca="false">IF('stammdaten - schwimmer'!#ref!&lt;DATE(2007,7,20),B5,)</f>
        <v>#VALUE!</v>
      </c>
      <c r="X5" s="31" t="e">
        <f aca="false">IF('stammdaten - schwimmer'!#ref!&lt;DATE(2007,7,20),C5,)</f>
        <v>#VALUE!</v>
      </c>
      <c r="Y5" s="32" t="e">
        <f aca="false">IF('stammdaten - schwimmer'!#ref!&lt;DATE(2007,7,20),D5,)</f>
        <v>#VALUE!</v>
      </c>
      <c r="Z5" s="48" t="e">
        <f aca="false">IF('stammdaten - schwimmer'!#ref!&lt;DATE(2007,7,20),'stammdaten - schwimmer'!#ref!,)</f>
        <v>#VALUE!</v>
      </c>
      <c r="AA5" s="0" t="e">
        <f aca="false">_xlfn.RANK.EQ(Z5,Z$4:Z$103,0)</f>
        <v>#REF!</v>
      </c>
    </row>
    <row r="6" customFormat="false" ht="15" hidden="false" customHeight="false" outlineLevel="0" collapsed="false">
      <c r="A6" s="46" t="n">
        <f aca="false">'Stammdaten - Schwimmer'!A5</f>
        <v>3</v>
      </c>
      <c r="B6" s="47" t="n">
        <f aca="false">'Stammdaten - Schwimmer'!B5</f>
        <v>0</v>
      </c>
      <c r="C6" s="47" t="n">
        <f aca="false">'Stammdaten - Schwimmer'!C5</f>
        <v>0</v>
      </c>
      <c r="D6" s="32" t="n">
        <f aca="false">'Stammdaten - Schwimmer'!J5+'Stammdaten - Schwimmer'!N5+'Stammdaten - Schwimmer'!R5+'Stammdaten - Schwimmer'!V5+'Stammdaten - Schwimmer'!Z6</f>
        <v>0</v>
      </c>
      <c r="E6" s="48" t="n">
        <f aca="false">'Stammdaten - Schwimmer'!F5</f>
        <v>0</v>
      </c>
      <c r="H6" s="31" t="n">
        <f aca="false">IF('Stammdaten - Schwimmer'!D5&gt;DATE(2011,7,20),A6,)</f>
        <v>0</v>
      </c>
      <c r="I6" s="31" t="n">
        <f aca="false">IF('Stammdaten - Schwimmer'!$D5&gt;DATE(2011,7,20),B6,)</f>
        <v>0</v>
      </c>
      <c r="J6" s="31" t="n">
        <f aca="false">IF('Stammdaten - Schwimmer'!$D5&gt;DATE(2011,7,20),C6,)</f>
        <v>0</v>
      </c>
      <c r="K6" s="32" t="n">
        <f aca="false">IF('Stammdaten - Schwimmer'!$D5&gt;DATE(2011,7,20),D6,)</f>
        <v>0</v>
      </c>
      <c r="L6" s="31" t="n">
        <f aca="false">IF('Stammdaten - Schwimmer'!$D5&gt;DATE(2011,7,20),'Stammdaten - Schwimmer'!F5,)</f>
        <v>0</v>
      </c>
      <c r="M6" s="0" t="e">
        <f aca="false">_xlfn.RANK.EQ(L6,L$4:L$103,0)</f>
        <v>#REF!</v>
      </c>
      <c r="O6" s="31" t="n">
        <f aca="false">IF(AND('Stammdaten - Schwimmer'!$D5&lt;DATE(2011,7,20),'Stammdaten - Schwimmer'!$D5&gt;DATE(2007,7,19)),A6,)</f>
        <v>0</v>
      </c>
      <c r="P6" s="31" t="n">
        <f aca="false">IF(AND('Stammdaten - Schwimmer'!$D5&lt;DATE(2011,7,20),'Stammdaten - Schwimmer'!$D5&gt;DATE(2007,7,19)),B6,)</f>
        <v>0</v>
      </c>
      <c r="Q6" s="31" t="n">
        <f aca="false">IF(AND('Stammdaten - Schwimmer'!$D5&lt;DATE(2011,7,20),'Stammdaten - Schwimmer'!$D5&gt;DATE(2007,7,19)),C6,)</f>
        <v>0</v>
      </c>
      <c r="R6" s="32" t="n">
        <f aca="false">IF(AND('Stammdaten - Schwimmer'!$D5&lt;DATE(2011,7,20),'Stammdaten - Schwimmer'!$D5&gt;DATE(2007,7,19)),D6,)</f>
        <v>0</v>
      </c>
      <c r="S6" s="48" t="n">
        <f aca="false">IF(AND('Stammdaten - Schwimmer'!$D5&lt;DATE(2011,7,20),'Stammdaten - Schwimmer'!$D5&gt;DATE(2007,7,19)),'Stammdaten - Schwimmer'!F5,)</f>
        <v>0</v>
      </c>
      <c r="T6" s="0" t="e">
        <f aca="false">_xlfn.RANK.EQ(S6,S$4:S$103,0)</f>
        <v>#REF!</v>
      </c>
      <c r="V6" s="31" t="n">
        <f aca="false">IF('Stammdaten - Schwimmer'!$D5&lt;DATE(2007,7,20),A6,)</f>
        <v>3</v>
      </c>
      <c r="W6" s="31" t="n">
        <f aca="false">IF('Stammdaten - Schwimmer'!$D5&lt;DATE(2007,7,20),B6,)</f>
        <v>0</v>
      </c>
      <c r="X6" s="31" t="n">
        <f aca="false">IF('Stammdaten - Schwimmer'!$D5&lt;DATE(2007,7,20),C6,)</f>
        <v>0</v>
      </c>
      <c r="Y6" s="32" t="n">
        <f aca="false">IF('Stammdaten - Schwimmer'!$D5&lt;DATE(2007,7,20),D6,)</f>
        <v>0</v>
      </c>
      <c r="Z6" s="48" t="n">
        <f aca="false">IF('Stammdaten - Schwimmer'!$D5&lt;DATE(2007,7,20),'Stammdaten - Schwimmer'!F5,)</f>
        <v>0</v>
      </c>
      <c r="AA6" s="0" t="e">
        <f aca="false">_xlfn.RANK.EQ(Z6,Z$4:Z$103,0)</f>
        <v>#REF!</v>
      </c>
    </row>
    <row r="7" customFormat="false" ht="15" hidden="false" customHeight="false" outlineLevel="0" collapsed="false">
      <c r="A7" s="46" t="n">
        <f aca="false">'Stammdaten - Schwimmer'!A6</f>
        <v>4</v>
      </c>
      <c r="B7" s="47" t="n">
        <f aca="false">'Stammdaten - Schwimmer'!B6</f>
        <v>0</v>
      </c>
      <c r="C7" s="47" t="n">
        <f aca="false">'Stammdaten - Schwimmer'!C6</f>
        <v>0</v>
      </c>
      <c r="D7" s="32" t="n">
        <f aca="false">'Stammdaten - Schwimmer'!J6+'Stammdaten - Schwimmer'!N6+'Stammdaten - Schwimmer'!R6+'Stammdaten - Schwimmer'!V6+'Stammdaten - Schwimmer'!Z7</f>
        <v>0</v>
      </c>
      <c r="E7" s="48" t="n">
        <f aca="false">'Stammdaten - Schwimmer'!F6</f>
        <v>0</v>
      </c>
      <c r="H7" s="31" t="n">
        <f aca="false">IF('Stammdaten - Schwimmer'!D6&gt;DATE(2011,7,20),A7,)</f>
        <v>0</v>
      </c>
      <c r="I7" s="31" t="n">
        <f aca="false">IF('Stammdaten - Schwimmer'!$D6&gt;DATE(2011,7,20),B7,)</f>
        <v>0</v>
      </c>
      <c r="J7" s="31" t="n">
        <f aca="false">IF('Stammdaten - Schwimmer'!$D6&gt;DATE(2011,7,20),C7,)</f>
        <v>0</v>
      </c>
      <c r="K7" s="32" t="n">
        <f aca="false">IF('Stammdaten - Schwimmer'!$D6&gt;DATE(2011,7,20),D7,)</f>
        <v>0</v>
      </c>
      <c r="L7" s="31" t="n">
        <f aca="false">IF('Stammdaten - Schwimmer'!$D6&gt;DATE(2011,7,20),'Stammdaten - Schwimmer'!F6,)</f>
        <v>0</v>
      </c>
      <c r="M7" s="0" t="e">
        <f aca="false">_xlfn.RANK.EQ(L7,L$4:L$103,0)</f>
        <v>#REF!</v>
      </c>
      <c r="O7" s="31" t="n">
        <f aca="false">IF(AND('Stammdaten - Schwimmer'!$D6&lt;DATE(2011,7,20),'Stammdaten - Schwimmer'!$D6&gt;DATE(2007,7,19)),A7,)</f>
        <v>0</v>
      </c>
      <c r="P7" s="31" t="n">
        <f aca="false">IF(AND('Stammdaten - Schwimmer'!$D6&lt;DATE(2011,7,20),'Stammdaten - Schwimmer'!$D6&gt;DATE(2007,7,19)),B7,)</f>
        <v>0</v>
      </c>
      <c r="Q7" s="31" t="n">
        <f aca="false">IF(AND('Stammdaten - Schwimmer'!$D6&lt;DATE(2011,7,20),'Stammdaten - Schwimmer'!$D6&gt;DATE(2007,7,19)),C7,)</f>
        <v>0</v>
      </c>
      <c r="R7" s="32" t="n">
        <f aca="false">IF(AND('Stammdaten - Schwimmer'!$D6&lt;DATE(2011,7,20),'Stammdaten - Schwimmer'!$D6&gt;DATE(2007,7,19)),D7,)</f>
        <v>0</v>
      </c>
      <c r="S7" s="48" t="n">
        <f aca="false">IF(AND('Stammdaten - Schwimmer'!$D6&lt;DATE(2011,7,20),'Stammdaten - Schwimmer'!$D6&gt;DATE(2007,7,19)),'Stammdaten - Schwimmer'!F6,)</f>
        <v>0</v>
      </c>
      <c r="T7" s="0" t="e">
        <f aca="false">_xlfn.RANK.EQ(S7,S$4:S$103,0)</f>
        <v>#REF!</v>
      </c>
      <c r="V7" s="31" t="n">
        <f aca="false">IF('Stammdaten - Schwimmer'!$D6&lt;DATE(2007,7,20),A7,)</f>
        <v>4</v>
      </c>
      <c r="W7" s="31" t="n">
        <f aca="false">IF('Stammdaten - Schwimmer'!$D6&lt;DATE(2007,7,20),B7,)</f>
        <v>0</v>
      </c>
      <c r="X7" s="31" t="n">
        <f aca="false">IF('Stammdaten - Schwimmer'!$D6&lt;DATE(2007,7,20),C7,)</f>
        <v>0</v>
      </c>
      <c r="Y7" s="32" t="n">
        <f aca="false">IF('Stammdaten - Schwimmer'!$D6&lt;DATE(2007,7,20),D7,)</f>
        <v>0</v>
      </c>
      <c r="Z7" s="48" t="n">
        <f aca="false">IF('Stammdaten - Schwimmer'!$D6&lt;DATE(2007,7,20),'Stammdaten - Schwimmer'!F6,)</f>
        <v>0</v>
      </c>
      <c r="AA7" s="0" t="e">
        <f aca="false">_xlfn.RANK.EQ(Z7,Z$4:Z$103,0)</f>
        <v>#REF!</v>
      </c>
    </row>
    <row r="8" customFormat="false" ht="15" hidden="false" customHeight="false" outlineLevel="0" collapsed="false">
      <c r="A8" s="46" t="n">
        <f aca="false">'Stammdaten - Schwimmer'!A7</f>
        <v>5</v>
      </c>
      <c r="B8" s="47" t="str">
        <f aca="false">'Stammdaten - Schwimmer'!B7</f>
        <v>Rink</v>
      </c>
      <c r="C8" s="47" t="str">
        <f aca="false">'Stammdaten - Schwimmer'!C7</f>
        <v>Wiebke</v>
      </c>
      <c r="D8" s="32" t="n">
        <f aca="false">'Stammdaten - Schwimmer'!J7+'Stammdaten - Schwimmer'!N7+'Stammdaten - Schwimmer'!R7+'Stammdaten - Schwimmer'!V7+'Stammdaten - Schwimmer'!Z8</f>
        <v>171</v>
      </c>
      <c r="E8" s="48" t="n">
        <f aca="false">'Stammdaten - Schwimmer'!F7</f>
        <v>76</v>
      </c>
      <c r="H8" s="31" t="n">
        <f aca="false">IF('Stammdaten - Schwimmer'!D7&gt;DATE(2011,7,20),A8,)</f>
        <v>5</v>
      </c>
      <c r="I8" s="31" t="str">
        <f aca="false">IF('Stammdaten - Schwimmer'!$D7&gt;DATE(2011,7,20),B8,)</f>
        <v>Rink</v>
      </c>
      <c r="J8" s="31" t="str">
        <f aca="false">IF('Stammdaten - Schwimmer'!$D7&gt;DATE(2011,7,20),C8,)</f>
        <v>Wiebke</v>
      </c>
      <c r="K8" s="32" t="n">
        <f aca="false">IF('Stammdaten - Schwimmer'!$D7&gt;DATE(2011,7,20),D8,)</f>
        <v>171</v>
      </c>
      <c r="L8" s="31" t="n">
        <f aca="false">IF('Stammdaten - Schwimmer'!$D7&gt;DATE(2011,7,20),'Stammdaten - Schwimmer'!F7,)</f>
        <v>76</v>
      </c>
      <c r="M8" s="0" t="e">
        <f aca="false">_xlfn.RANK.EQ(L8,L$4:L$103,0)</f>
        <v>#REF!</v>
      </c>
      <c r="O8" s="31" t="n">
        <f aca="false">IF(AND('Stammdaten - Schwimmer'!$D7&lt;DATE(2011,7,20),'Stammdaten - Schwimmer'!$D7&gt;DATE(2007,7,19)),A8,)</f>
        <v>0</v>
      </c>
      <c r="P8" s="31" t="n">
        <f aca="false">IF(AND('Stammdaten - Schwimmer'!$D7&lt;DATE(2011,7,20),'Stammdaten - Schwimmer'!$D7&gt;DATE(2007,7,19)),B8,)</f>
        <v>0</v>
      </c>
      <c r="Q8" s="31" t="n">
        <f aca="false">IF(AND('Stammdaten - Schwimmer'!$D7&lt;DATE(2011,7,20),'Stammdaten - Schwimmer'!$D7&gt;DATE(2007,7,19)),C8,)</f>
        <v>0</v>
      </c>
      <c r="R8" s="32" t="n">
        <f aca="false">IF(AND('Stammdaten - Schwimmer'!$D7&lt;DATE(2011,7,20),'Stammdaten - Schwimmer'!$D7&gt;DATE(2007,7,19)),D8,)</f>
        <v>0</v>
      </c>
      <c r="S8" s="48" t="n">
        <f aca="false">IF(AND('Stammdaten - Schwimmer'!$D7&lt;DATE(2011,7,20),'Stammdaten - Schwimmer'!$D7&gt;DATE(2007,7,19)),'Stammdaten - Schwimmer'!F7,)</f>
        <v>0</v>
      </c>
      <c r="T8" s="0" t="e">
        <f aca="false">_xlfn.RANK.EQ(S8,S$4:S$103,0)</f>
        <v>#REF!</v>
      </c>
      <c r="V8" s="31" t="n">
        <f aca="false">IF('Stammdaten - Schwimmer'!$D7&lt;DATE(2007,7,20),A8,)</f>
        <v>0</v>
      </c>
      <c r="W8" s="31" t="n">
        <f aca="false">IF('Stammdaten - Schwimmer'!$D7&lt;DATE(2007,7,20),B8,)</f>
        <v>0</v>
      </c>
      <c r="X8" s="31" t="n">
        <f aca="false">IF('Stammdaten - Schwimmer'!$D7&lt;DATE(2007,7,20),C8,)</f>
        <v>0</v>
      </c>
      <c r="Y8" s="32" t="n">
        <f aca="false">IF('Stammdaten - Schwimmer'!$D7&lt;DATE(2007,7,20),D8,)</f>
        <v>0</v>
      </c>
      <c r="Z8" s="48" t="n">
        <f aca="false">IF('Stammdaten - Schwimmer'!$D7&lt;DATE(2007,7,20),'Stammdaten - Schwimmer'!F7,)</f>
        <v>0</v>
      </c>
      <c r="AA8" s="0" t="e">
        <f aca="false">_xlfn.RANK.EQ(Z8,Z$4:Z$103,0)</f>
        <v>#REF!</v>
      </c>
    </row>
    <row r="9" customFormat="false" ht="15" hidden="false" customHeight="false" outlineLevel="0" collapsed="false">
      <c r="A9" s="46" t="n">
        <f aca="false">'Stammdaten - Schwimmer'!A8</f>
        <v>6</v>
      </c>
      <c r="B9" s="47" t="str">
        <f aca="false">'Stammdaten - Schwimmer'!B8</f>
        <v>Künsemüller</v>
      </c>
      <c r="C9" s="47" t="str">
        <f aca="false">'Stammdaten - Schwimmer'!C8</f>
        <v>Viktoria</v>
      </c>
      <c r="D9" s="32" t="n">
        <f aca="false">'Stammdaten - Schwimmer'!J8+'Stammdaten - Schwimmer'!N8+'Stammdaten - Schwimmer'!R8+'Stammdaten - Schwimmer'!V8+'Stammdaten - Schwimmer'!Z9</f>
        <v>29</v>
      </c>
      <c r="E9" s="48" t="n">
        <f aca="false">'Stammdaten - Schwimmer'!F8</f>
        <v>58</v>
      </c>
      <c r="H9" s="31" t="n">
        <f aca="false">IF('Stammdaten - Schwimmer'!D8&gt;DATE(2011,7,20),A9,)</f>
        <v>0</v>
      </c>
      <c r="I9" s="31" t="n">
        <f aca="false">IF('Stammdaten - Schwimmer'!$D8&gt;DATE(2011,7,20),B9,)</f>
        <v>0</v>
      </c>
      <c r="J9" s="31" t="n">
        <f aca="false">IF('Stammdaten - Schwimmer'!$D8&gt;DATE(2011,7,20),C9,)</f>
        <v>0</v>
      </c>
      <c r="K9" s="32" t="n">
        <f aca="false">IF('Stammdaten - Schwimmer'!$D8&gt;DATE(2011,7,20),D9,)</f>
        <v>0</v>
      </c>
      <c r="L9" s="31" t="n">
        <f aca="false">IF('Stammdaten - Schwimmer'!$D8&gt;DATE(2011,7,20),'Stammdaten - Schwimmer'!F8,)</f>
        <v>0</v>
      </c>
      <c r="M9" s="0" t="e">
        <f aca="false">_xlfn.RANK.EQ(L9,L$4:L$103,0)</f>
        <v>#REF!</v>
      </c>
      <c r="O9" s="31" t="n">
        <f aca="false">IF(AND('Stammdaten - Schwimmer'!$D8&lt;DATE(2011,7,20),'Stammdaten - Schwimmer'!$D8&gt;DATE(2007,7,19)),A9,)</f>
        <v>6</v>
      </c>
      <c r="P9" s="31" t="str">
        <f aca="false">IF(AND('Stammdaten - Schwimmer'!$D8&lt;DATE(2011,7,20),'Stammdaten - Schwimmer'!$D8&gt;DATE(2007,7,19)),B9,)</f>
        <v>Künsemüller</v>
      </c>
      <c r="Q9" s="31" t="str">
        <f aca="false">IF(AND('Stammdaten - Schwimmer'!$D8&lt;DATE(2011,7,20),'Stammdaten - Schwimmer'!$D8&gt;DATE(2007,7,19)),C9,)</f>
        <v>Viktoria</v>
      </c>
      <c r="R9" s="32" t="n">
        <f aca="false">IF(AND('Stammdaten - Schwimmer'!$D8&lt;DATE(2011,7,20),'Stammdaten - Schwimmer'!$D8&gt;DATE(2007,7,19)),D9,)</f>
        <v>29</v>
      </c>
      <c r="S9" s="48" t="n">
        <f aca="false">IF(AND('Stammdaten - Schwimmer'!$D8&lt;DATE(2011,7,20),'Stammdaten - Schwimmer'!$D8&gt;DATE(2007,7,19)),'Stammdaten - Schwimmer'!F8,)</f>
        <v>58</v>
      </c>
      <c r="T9" s="0" t="e">
        <f aca="false">_xlfn.RANK.EQ(S9,S$4:S$103,0)</f>
        <v>#REF!</v>
      </c>
      <c r="V9" s="31" t="n">
        <f aca="false">IF('Stammdaten - Schwimmer'!$D8&lt;DATE(2007,7,20),A9,)</f>
        <v>0</v>
      </c>
      <c r="W9" s="31" t="n">
        <f aca="false">IF('Stammdaten - Schwimmer'!$D8&lt;DATE(2007,7,20),B9,)</f>
        <v>0</v>
      </c>
      <c r="X9" s="31" t="n">
        <f aca="false">IF('Stammdaten - Schwimmer'!$D8&lt;DATE(2007,7,20),C9,)</f>
        <v>0</v>
      </c>
      <c r="Y9" s="32" t="n">
        <f aca="false">IF('Stammdaten - Schwimmer'!$D8&lt;DATE(2007,7,20),D9,)</f>
        <v>0</v>
      </c>
      <c r="Z9" s="48" t="n">
        <f aca="false">IF('Stammdaten - Schwimmer'!$D8&lt;DATE(2007,7,20),'Stammdaten - Schwimmer'!F8,)</f>
        <v>0</v>
      </c>
      <c r="AA9" s="0" t="e">
        <f aca="false">_xlfn.RANK.EQ(Z9,Z$4:Z$103,0)</f>
        <v>#REF!</v>
      </c>
    </row>
    <row r="10" customFormat="false" ht="15" hidden="false" customHeight="false" outlineLevel="0" collapsed="false">
      <c r="A10" s="46" t="n">
        <f aca="false">'Stammdaten - Schwimmer'!A9</f>
        <v>7</v>
      </c>
      <c r="B10" s="47" t="n">
        <f aca="false">'Stammdaten - Schwimmer'!B9</f>
        <v>0</v>
      </c>
      <c r="C10" s="47" t="n">
        <f aca="false">'Stammdaten - Schwimmer'!C9</f>
        <v>0</v>
      </c>
      <c r="D10" s="32" t="n">
        <f aca="false">'Stammdaten - Schwimmer'!J9+'Stammdaten - Schwimmer'!N9+'Stammdaten - Schwimmer'!R9+'Stammdaten - Schwimmer'!V9+'Stammdaten - Schwimmer'!Z10</f>
        <v>0</v>
      </c>
      <c r="E10" s="48" t="n">
        <f aca="false">'Stammdaten - Schwimmer'!F9</f>
        <v>0</v>
      </c>
      <c r="H10" s="31" t="n">
        <f aca="false">IF('Stammdaten - Schwimmer'!D9&gt;DATE(2011,7,20),A10,)</f>
        <v>0</v>
      </c>
      <c r="I10" s="31" t="n">
        <f aca="false">IF('Stammdaten - Schwimmer'!$D9&gt;DATE(2011,7,20),B10,)</f>
        <v>0</v>
      </c>
      <c r="J10" s="31" t="n">
        <f aca="false">IF('Stammdaten - Schwimmer'!$D9&gt;DATE(2011,7,20),C10,)</f>
        <v>0</v>
      </c>
      <c r="K10" s="32" t="n">
        <f aca="false">IF('Stammdaten - Schwimmer'!$D9&gt;DATE(2011,7,20),D10,)</f>
        <v>0</v>
      </c>
      <c r="L10" s="31" t="n">
        <f aca="false">IF('Stammdaten - Schwimmer'!$D9&gt;DATE(2011,7,20),'Stammdaten - Schwimmer'!F9,)</f>
        <v>0</v>
      </c>
      <c r="M10" s="0" t="e">
        <f aca="false">_xlfn.RANK.EQ(L10,L$4:L$103,0)</f>
        <v>#REF!</v>
      </c>
      <c r="O10" s="31" t="n">
        <f aca="false">IF(AND('Stammdaten - Schwimmer'!$D9&lt;DATE(2011,7,20),'Stammdaten - Schwimmer'!$D9&gt;DATE(2007,7,19)),A10,)</f>
        <v>0</v>
      </c>
      <c r="P10" s="31" t="n">
        <f aca="false">IF(AND('Stammdaten - Schwimmer'!$D9&lt;DATE(2011,7,20),'Stammdaten - Schwimmer'!$D9&gt;DATE(2007,7,19)),B10,)</f>
        <v>0</v>
      </c>
      <c r="Q10" s="31" t="n">
        <f aca="false">IF(AND('Stammdaten - Schwimmer'!$D9&lt;DATE(2011,7,20),'Stammdaten - Schwimmer'!$D9&gt;DATE(2007,7,19)),C10,)</f>
        <v>0</v>
      </c>
      <c r="R10" s="32" t="n">
        <f aca="false">IF(AND('Stammdaten - Schwimmer'!$D9&lt;DATE(2011,7,20),'Stammdaten - Schwimmer'!$D9&gt;DATE(2007,7,19)),D10,)</f>
        <v>0</v>
      </c>
      <c r="S10" s="48" t="n">
        <f aca="false">IF(AND('Stammdaten - Schwimmer'!$D9&lt;DATE(2011,7,20),'Stammdaten - Schwimmer'!$D9&gt;DATE(2007,7,19)),'Stammdaten - Schwimmer'!F9,)</f>
        <v>0</v>
      </c>
      <c r="T10" s="0" t="e">
        <f aca="false">_xlfn.RANK.EQ(S10,S$4:S$103,0)</f>
        <v>#REF!</v>
      </c>
      <c r="V10" s="31" t="n">
        <f aca="false">IF('Stammdaten - Schwimmer'!$D9&lt;DATE(2007,7,20),A10,)</f>
        <v>7</v>
      </c>
      <c r="W10" s="31" t="n">
        <f aca="false">IF('Stammdaten - Schwimmer'!$D9&lt;DATE(2007,7,20),B10,)</f>
        <v>0</v>
      </c>
      <c r="X10" s="31" t="n">
        <f aca="false">IF('Stammdaten - Schwimmer'!$D9&lt;DATE(2007,7,20),C10,)</f>
        <v>0</v>
      </c>
      <c r="Y10" s="32" t="n">
        <f aca="false">IF('Stammdaten - Schwimmer'!$D9&lt;DATE(2007,7,20),D10,)</f>
        <v>0</v>
      </c>
      <c r="Z10" s="48" t="n">
        <f aca="false">IF('Stammdaten - Schwimmer'!$D9&lt;DATE(2007,7,20),'Stammdaten - Schwimmer'!F9,)</f>
        <v>0</v>
      </c>
      <c r="AA10" s="0" t="e">
        <f aca="false">_xlfn.RANK.EQ(Z10,Z$4:Z$103,0)</f>
        <v>#REF!</v>
      </c>
    </row>
    <row r="11" customFormat="false" ht="15" hidden="false" customHeight="false" outlineLevel="0" collapsed="false">
      <c r="A11" s="46" t="n">
        <f aca="false">'Stammdaten - Schwimmer'!A10</f>
        <v>8</v>
      </c>
      <c r="B11" s="47" t="n">
        <f aca="false">'Stammdaten - Schwimmer'!B10</f>
        <v>0</v>
      </c>
      <c r="C11" s="47" t="n">
        <f aca="false">'Stammdaten - Schwimmer'!C10</f>
        <v>0</v>
      </c>
      <c r="D11" s="32" t="n">
        <f aca="false">'Stammdaten - Schwimmer'!J10+'Stammdaten - Schwimmer'!N10+'Stammdaten - Schwimmer'!R10+'Stammdaten - Schwimmer'!V10+'Stammdaten - Schwimmer'!Z11</f>
        <v>0</v>
      </c>
      <c r="E11" s="48" t="n">
        <f aca="false">'Stammdaten - Schwimmer'!F10</f>
        <v>0</v>
      </c>
      <c r="H11" s="31" t="n">
        <f aca="false">IF('Stammdaten - Schwimmer'!D10&gt;DATE(2011,7,20),A11,)</f>
        <v>0</v>
      </c>
      <c r="I11" s="31" t="n">
        <f aca="false">IF('Stammdaten - Schwimmer'!$D10&gt;DATE(2011,7,20),B11,)</f>
        <v>0</v>
      </c>
      <c r="J11" s="31" t="n">
        <f aca="false">IF('Stammdaten - Schwimmer'!$D10&gt;DATE(2011,7,20),C11,)</f>
        <v>0</v>
      </c>
      <c r="K11" s="32" t="n">
        <f aca="false">IF('Stammdaten - Schwimmer'!$D10&gt;DATE(2011,7,20),D11,)</f>
        <v>0</v>
      </c>
      <c r="L11" s="31" t="n">
        <f aca="false">IF('Stammdaten - Schwimmer'!$D10&gt;DATE(2011,7,20),'Stammdaten - Schwimmer'!F10,)</f>
        <v>0</v>
      </c>
      <c r="M11" s="0" t="e">
        <f aca="false">_xlfn.RANK.EQ(L11,L$4:L$103,0)</f>
        <v>#REF!</v>
      </c>
      <c r="O11" s="31" t="n">
        <f aca="false">IF(AND('Stammdaten - Schwimmer'!$D10&lt;DATE(2011,7,20),'Stammdaten - Schwimmer'!$D10&gt;DATE(2007,7,19)),A11,)</f>
        <v>0</v>
      </c>
      <c r="P11" s="31" t="n">
        <f aca="false">IF(AND('Stammdaten - Schwimmer'!$D10&lt;DATE(2011,7,20),'Stammdaten - Schwimmer'!$D10&gt;DATE(2007,7,19)),B11,)</f>
        <v>0</v>
      </c>
      <c r="Q11" s="31" t="n">
        <f aca="false">IF(AND('Stammdaten - Schwimmer'!$D10&lt;DATE(2011,7,20),'Stammdaten - Schwimmer'!$D10&gt;DATE(2007,7,19)),C11,)</f>
        <v>0</v>
      </c>
      <c r="R11" s="32" t="n">
        <f aca="false">IF(AND('Stammdaten - Schwimmer'!$D10&lt;DATE(2011,7,20),'Stammdaten - Schwimmer'!$D10&gt;DATE(2007,7,19)),D11,)</f>
        <v>0</v>
      </c>
      <c r="S11" s="48" t="n">
        <f aca="false">IF(AND('Stammdaten - Schwimmer'!$D10&lt;DATE(2011,7,20),'Stammdaten - Schwimmer'!$D10&gt;DATE(2007,7,19)),'Stammdaten - Schwimmer'!F10,)</f>
        <v>0</v>
      </c>
      <c r="T11" s="0" t="e">
        <f aca="false">_xlfn.RANK.EQ(S11,S$4:S$103,0)</f>
        <v>#REF!</v>
      </c>
      <c r="V11" s="31" t="n">
        <f aca="false">IF('Stammdaten - Schwimmer'!$D10&lt;DATE(2007,7,20),A11,)</f>
        <v>8</v>
      </c>
      <c r="W11" s="31" t="n">
        <f aca="false">IF('Stammdaten - Schwimmer'!$D10&lt;DATE(2007,7,20),B11,)</f>
        <v>0</v>
      </c>
      <c r="X11" s="31" t="n">
        <f aca="false">IF('Stammdaten - Schwimmer'!$D10&lt;DATE(2007,7,20),C11,)</f>
        <v>0</v>
      </c>
      <c r="Y11" s="32" t="n">
        <f aca="false">IF('Stammdaten - Schwimmer'!$D10&lt;DATE(2007,7,20),D11,)</f>
        <v>0</v>
      </c>
      <c r="Z11" s="48" t="n">
        <f aca="false">IF('Stammdaten - Schwimmer'!$D10&lt;DATE(2007,7,20),'Stammdaten - Schwimmer'!F10,)</f>
        <v>0</v>
      </c>
      <c r="AA11" s="0" t="e">
        <f aca="false">_xlfn.RANK.EQ(Z11,Z$4:Z$103,0)</f>
        <v>#REF!</v>
      </c>
    </row>
    <row r="12" customFormat="false" ht="15" hidden="false" customHeight="false" outlineLevel="0" collapsed="false">
      <c r="A12" s="46" t="n">
        <f aca="false">'Stammdaten - Schwimmer'!A11</f>
        <v>9</v>
      </c>
      <c r="B12" s="47" t="n">
        <f aca="false">'Stammdaten - Schwimmer'!B4</f>
        <v>0</v>
      </c>
      <c r="C12" s="47" t="n">
        <f aca="false">'Stammdaten - Schwimmer'!C4</f>
        <v>0</v>
      </c>
      <c r="D12" s="32" t="n">
        <f aca="false">'Stammdaten - Schwimmer'!J4+'Stammdaten - Schwimmer'!N4+'Stammdaten - Schwimmer'!R11+'Stammdaten - Schwimmer'!V11+'Stammdaten - Schwimmer'!Z12</f>
        <v>0</v>
      </c>
      <c r="E12" s="48" t="n">
        <f aca="false">'Stammdaten - Schwimmer'!F4</f>
        <v>0</v>
      </c>
      <c r="H12" s="31" t="n">
        <f aca="false">IF('Stammdaten - Schwimmer'!D4&gt;DATE(2011,7,20),A12,)</f>
        <v>0</v>
      </c>
      <c r="I12" s="31" t="n">
        <f aca="false">IF('Stammdaten - Schwimmer'!$D4&gt;DATE(2011,7,20),B12,)</f>
        <v>0</v>
      </c>
      <c r="J12" s="31" t="n">
        <f aca="false">IF('Stammdaten - Schwimmer'!$D4&gt;DATE(2011,7,20),C12,)</f>
        <v>0</v>
      </c>
      <c r="K12" s="32" t="n">
        <f aca="false">IF('Stammdaten - Schwimmer'!$D4&gt;DATE(2011,7,20),D12,)</f>
        <v>0</v>
      </c>
      <c r="L12" s="31" t="n">
        <f aca="false">IF('Stammdaten - Schwimmer'!$D4&gt;DATE(2011,7,20),'Stammdaten - Schwimmer'!F4,)</f>
        <v>0</v>
      </c>
      <c r="M12" s="0" t="e">
        <f aca="false">_xlfn.RANK.EQ(L12,L$4:L$103,0)</f>
        <v>#REF!</v>
      </c>
      <c r="O12" s="31" t="n">
        <f aca="false">IF(AND('Stammdaten - Schwimmer'!$D4&lt;DATE(2011,7,20),'Stammdaten - Schwimmer'!$D4&gt;DATE(2007,7,19)),A12,)</f>
        <v>0</v>
      </c>
      <c r="P12" s="31" t="n">
        <f aca="false">IF(AND('Stammdaten - Schwimmer'!$D4&lt;DATE(2011,7,20),'Stammdaten - Schwimmer'!$D4&gt;DATE(2007,7,19)),B12,)</f>
        <v>0</v>
      </c>
      <c r="Q12" s="31" t="n">
        <f aca="false">IF(AND('Stammdaten - Schwimmer'!$D4&lt;DATE(2011,7,20),'Stammdaten - Schwimmer'!$D4&gt;DATE(2007,7,19)),C12,)</f>
        <v>0</v>
      </c>
      <c r="R12" s="32" t="n">
        <f aca="false">IF(AND('Stammdaten - Schwimmer'!$D4&lt;DATE(2011,7,20),'Stammdaten - Schwimmer'!$D4&gt;DATE(2007,7,19)),D12,)</f>
        <v>0</v>
      </c>
      <c r="S12" s="48" t="n">
        <f aca="false">IF(AND('Stammdaten - Schwimmer'!$D4&lt;DATE(2011,7,20),'Stammdaten - Schwimmer'!$D4&gt;DATE(2007,7,19)),'Stammdaten - Schwimmer'!F4,)</f>
        <v>0</v>
      </c>
      <c r="T12" s="0" t="e">
        <f aca="false">_xlfn.RANK.EQ(S12,S$4:S$103,0)</f>
        <v>#REF!</v>
      </c>
      <c r="V12" s="31" t="n">
        <f aca="false">IF('Stammdaten - Schwimmer'!$D4&lt;DATE(2007,7,20),A12,)</f>
        <v>9</v>
      </c>
      <c r="W12" s="31" t="n">
        <f aca="false">IF('Stammdaten - Schwimmer'!$D4&lt;DATE(2007,7,20),B12,)</f>
        <v>0</v>
      </c>
      <c r="X12" s="31" t="n">
        <f aca="false">IF('Stammdaten - Schwimmer'!$D4&lt;DATE(2007,7,20),C12,)</f>
        <v>0</v>
      </c>
      <c r="Y12" s="32" t="n">
        <f aca="false">IF('Stammdaten - Schwimmer'!$D4&lt;DATE(2007,7,20),D12,)</f>
        <v>0</v>
      </c>
      <c r="Z12" s="48" t="n">
        <f aca="false">IF('Stammdaten - Schwimmer'!$D4&lt;DATE(2007,7,20),'Stammdaten - Schwimmer'!F4,)</f>
        <v>0</v>
      </c>
      <c r="AA12" s="0" t="e">
        <f aca="false">_xlfn.RANK.EQ(Z12,Z$4:Z$103,0)</f>
        <v>#REF!</v>
      </c>
    </row>
    <row r="13" customFormat="false" ht="15" hidden="false" customHeight="false" outlineLevel="0" collapsed="false">
      <c r="A13" s="46" t="n">
        <f aca="false">'Stammdaten - Schwimmer'!A12</f>
        <v>10</v>
      </c>
      <c r="B13" s="47" t="n">
        <f aca="false">'Stammdaten - Schwimmer'!B12</f>
        <v>0</v>
      </c>
      <c r="C13" s="47" t="n">
        <f aca="false">'Stammdaten - Schwimmer'!C12</f>
        <v>0</v>
      </c>
      <c r="D13" s="32" t="n">
        <f aca="false">'Stammdaten - Schwimmer'!J12+'Stammdaten - Schwimmer'!N12+'Stammdaten - Schwimmer'!R12+'Stammdaten - Schwimmer'!V12+'Stammdaten - Schwimmer'!Z13</f>
        <v>0</v>
      </c>
      <c r="E13" s="48" t="n">
        <f aca="false">'Stammdaten - Schwimmer'!F12</f>
        <v>0</v>
      </c>
      <c r="H13" s="31" t="n">
        <f aca="false">IF('Stammdaten - Schwimmer'!D12&gt;DATE(2011,7,20),A13,)</f>
        <v>0</v>
      </c>
      <c r="I13" s="31" t="n">
        <f aca="false">IF('Stammdaten - Schwimmer'!$D12&gt;DATE(2011,7,20),B13,)</f>
        <v>0</v>
      </c>
      <c r="J13" s="31" t="n">
        <f aca="false">IF('Stammdaten - Schwimmer'!$D12&gt;DATE(2011,7,20),C13,)</f>
        <v>0</v>
      </c>
      <c r="K13" s="32" t="n">
        <f aca="false">IF('Stammdaten - Schwimmer'!$D12&gt;DATE(2011,7,20),D13,)</f>
        <v>0</v>
      </c>
      <c r="L13" s="31" t="n">
        <f aca="false">IF('Stammdaten - Schwimmer'!$D12&gt;DATE(2011,7,20),'Stammdaten - Schwimmer'!F12,)</f>
        <v>0</v>
      </c>
      <c r="M13" s="0" t="e">
        <f aca="false">_xlfn.RANK.EQ(L13,L$4:L$103,0)</f>
        <v>#REF!</v>
      </c>
      <c r="O13" s="31" t="n">
        <f aca="false">IF(AND('Stammdaten - Schwimmer'!$D12&lt;DATE(2011,7,20),'Stammdaten - Schwimmer'!$D12&gt;DATE(2007,7,19)),A13,)</f>
        <v>0</v>
      </c>
      <c r="P13" s="31" t="n">
        <f aca="false">IF(AND('Stammdaten - Schwimmer'!$D12&lt;DATE(2011,7,20),'Stammdaten - Schwimmer'!$D12&gt;DATE(2007,7,19)),B13,)</f>
        <v>0</v>
      </c>
      <c r="Q13" s="31" t="n">
        <f aca="false">IF(AND('Stammdaten - Schwimmer'!$D12&lt;DATE(2011,7,20),'Stammdaten - Schwimmer'!$D12&gt;DATE(2007,7,19)),C13,)</f>
        <v>0</v>
      </c>
      <c r="R13" s="32" t="n">
        <f aca="false">IF(AND('Stammdaten - Schwimmer'!$D12&lt;DATE(2011,7,20),'Stammdaten - Schwimmer'!$D12&gt;DATE(2007,7,19)),D13,)</f>
        <v>0</v>
      </c>
      <c r="S13" s="48" t="n">
        <f aca="false">IF(AND('Stammdaten - Schwimmer'!$D12&lt;DATE(2011,7,20),'Stammdaten - Schwimmer'!$D12&gt;DATE(2007,7,19)),'Stammdaten - Schwimmer'!F12,)</f>
        <v>0</v>
      </c>
      <c r="T13" s="0" t="e">
        <f aca="false">_xlfn.RANK.EQ(S13,S$4:S$103,0)</f>
        <v>#REF!</v>
      </c>
      <c r="V13" s="31" t="n">
        <f aca="false">IF('Stammdaten - Schwimmer'!$D12&lt;DATE(2007,7,20),A13,)</f>
        <v>10</v>
      </c>
      <c r="W13" s="31" t="n">
        <f aca="false">IF('Stammdaten - Schwimmer'!$D12&lt;DATE(2007,7,20),B13,)</f>
        <v>0</v>
      </c>
      <c r="X13" s="31" t="n">
        <f aca="false">IF('Stammdaten - Schwimmer'!$D12&lt;DATE(2007,7,20),C13,)</f>
        <v>0</v>
      </c>
      <c r="Y13" s="32" t="n">
        <f aca="false">IF('Stammdaten - Schwimmer'!$D12&lt;DATE(2007,7,20),D13,)</f>
        <v>0</v>
      </c>
      <c r="Z13" s="48" t="n">
        <f aca="false">IF('Stammdaten - Schwimmer'!$D12&lt;DATE(2007,7,20),'Stammdaten - Schwimmer'!F12,)</f>
        <v>0</v>
      </c>
      <c r="AA13" s="0" t="e">
        <f aca="false">_xlfn.RANK.EQ(Z13,Z$4:Z$103,0)</f>
        <v>#REF!</v>
      </c>
    </row>
    <row r="14" customFormat="false" ht="15" hidden="false" customHeight="false" outlineLevel="0" collapsed="false">
      <c r="A14" s="46" t="n">
        <f aca="false">'Stammdaten - Schwimmer'!A13</f>
        <v>11</v>
      </c>
      <c r="B14" s="47" t="n">
        <f aca="false">'Stammdaten - Schwimmer'!B13</f>
        <v>0</v>
      </c>
      <c r="C14" s="47" t="n">
        <f aca="false">'Stammdaten - Schwimmer'!C13</f>
        <v>0</v>
      </c>
      <c r="D14" s="32" t="e">
        <f aca="false">'Stammdaten - Schwimmer'!J13+'Stammdaten - Schwimmer'!N13+'Stammdaten - Schwimmer'!R13+'Stammdaten - Schwimmer'!V13+'stammdaten - schwimmer'!#ref!</f>
        <v>#VALUE!</v>
      </c>
      <c r="E14" s="48" t="n">
        <f aca="false">'Stammdaten - Schwimmer'!F13</f>
        <v>0</v>
      </c>
      <c r="H14" s="31" t="n">
        <f aca="false">IF('Stammdaten - Schwimmer'!D13&gt;DATE(2011,7,20),A14,)</f>
        <v>0</v>
      </c>
      <c r="I14" s="31" t="n">
        <f aca="false">IF('Stammdaten - Schwimmer'!$D13&gt;DATE(2011,7,20),B14,)</f>
        <v>0</v>
      </c>
      <c r="J14" s="31" t="n">
        <f aca="false">IF('Stammdaten - Schwimmer'!$D13&gt;DATE(2011,7,20),C14,)</f>
        <v>0</v>
      </c>
      <c r="K14" s="32" t="n">
        <f aca="false">IF('Stammdaten - Schwimmer'!$D13&gt;DATE(2011,7,20),D14,)</f>
        <v>0</v>
      </c>
      <c r="L14" s="31" t="n">
        <f aca="false">IF('Stammdaten - Schwimmer'!$D13&gt;DATE(2011,7,20),'Stammdaten - Schwimmer'!F13,)</f>
        <v>0</v>
      </c>
      <c r="M14" s="0" t="e">
        <f aca="false">_xlfn.RANK.EQ(L14,L$4:L$103,0)</f>
        <v>#REF!</v>
      </c>
      <c r="O14" s="31" t="n">
        <f aca="false">IF(AND('Stammdaten - Schwimmer'!$D13&lt;DATE(2011,7,20),'Stammdaten - Schwimmer'!$D13&gt;DATE(2007,7,19)),A14,)</f>
        <v>0</v>
      </c>
      <c r="P14" s="31" t="n">
        <f aca="false">IF(AND('Stammdaten - Schwimmer'!$D13&lt;DATE(2011,7,20),'Stammdaten - Schwimmer'!$D13&gt;DATE(2007,7,19)),B14,)</f>
        <v>0</v>
      </c>
      <c r="Q14" s="31" t="n">
        <f aca="false">IF(AND('Stammdaten - Schwimmer'!$D13&lt;DATE(2011,7,20),'Stammdaten - Schwimmer'!$D13&gt;DATE(2007,7,19)),C14,)</f>
        <v>0</v>
      </c>
      <c r="R14" s="32" t="n">
        <f aca="false">IF(AND('Stammdaten - Schwimmer'!$D13&lt;DATE(2011,7,20),'Stammdaten - Schwimmer'!$D13&gt;DATE(2007,7,19)),D14,)</f>
        <v>0</v>
      </c>
      <c r="S14" s="48" t="n">
        <f aca="false">IF(AND('Stammdaten - Schwimmer'!$D13&lt;DATE(2011,7,20),'Stammdaten - Schwimmer'!$D13&gt;DATE(2007,7,19)),'Stammdaten - Schwimmer'!F13,)</f>
        <v>0</v>
      </c>
      <c r="T14" s="0" t="e">
        <f aca="false">_xlfn.RANK.EQ(S14,S$4:S$103,0)</f>
        <v>#REF!</v>
      </c>
      <c r="V14" s="31" t="n">
        <f aca="false">IF('Stammdaten - Schwimmer'!$D13&lt;DATE(2007,7,20),A14,)</f>
        <v>11</v>
      </c>
      <c r="W14" s="31" t="n">
        <f aca="false">IF('Stammdaten - Schwimmer'!$D13&lt;DATE(2007,7,20),B14,)</f>
        <v>0</v>
      </c>
      <c r="X14" s="31" t="n">
        <f aca="false">IF('Stammdaten - Schwimmer'!$D13&lt;DATE(2007,7,20),C14,)</f>
        <v>0</v>
      </c>
      <c r="Y14" s="32" t="e">
        <f aca="false">IF('Stammdaten - Schwimmer'!$D13&lt;DATE(2007,7,20),D14,)</f>
        <v>#VALUE!</v>
      </c>
      <c r="Z14" s="48" t="n">
        <f aca="false">IF('Stammdaten - Schwimmer'!$D13&lt;DATE(2007,7,20),'Stammdaten - Schwimmer'!F13,)</f>
        <v>0</v>
      </c>
      <c r="AA14" s="0" t="e">
        <f aca="false">_xlfn.RANK.EQ(Z14,Z$4:Z$103,0)</f>
        <v>#REF!</v>
      </c>
    </row>
    <row r="15" customFormat="false" ht="15" hidden="false" customHeight="false" outlineLevel="0" collapsed="false">
      <c r="A15" s="46" t="e">
        <f aca="false">'stammdaten - schwimmer'!#ref!</f>
        <v>#VALUE!</v>
      </c>
      <c r="B15" s="47" t="e">
        <f aca="false">'stammdaten - schwimmer'!#ref!</f>
        <v>#VALUE!</v>
      </c>
      <c r="C15" s="47" t="e">
        <f aca="false">'stammdaten - schwimmer'!#ref!</f>
        <v>#VALUE!</v>
      </c>
      <c r="D15" s="32" t="e">
        <f aca="false">'stammdaten - schwimmer'!#ref!+'stammdaten - schwimmer'!#ref!+'stammdaten - schwimmer'!#ref!+'stammdaten - schwimmer'!#ref!+'stammdaten - schwimmer'!#ref!</f>
        <v>#VALUE!</v>
      </c>
      <c r="E15" s="48" t="e">
        <f aca="false">'stammdaten - schwimmer'!#ref!</f>
        <v>#VALUE!</v>
      </c>
      <c r="H15" s="31" t="e">
        <f aca="false">IF('stammdaten - schwimmer'!#ref!&gt;DATE(2011,7,20),A15,)</f>
        <v>#VALUE!</v>
      </c>
      <c r="I15" s="31" t="e">
        <f aca="false">IF('stammdaten - schwimmer'!#ref!&gt;DATE(2011,7,20),B15,)</f>
        <v>#VALUE!</v>
      </c>
      <c r="J15" s="31" t="e">
        <f aca="false">IF('stammdaten - schwimmer'!#ref!&gt;DATE(2011,7,20),C15,)</f>
        <v>#VALUE!</v>
      </c>
      <c r="K15" s="32" t="e">
        <f aca="false">IF('stammdaten - schwimmer'!#ref!&gt;DATE(2011,7,20),D15,)</f>
        <v>#VALUE!</v>
      </c>
      <c r="L15" s="31" t="e">
        <f aca="false">IF('stammdaten - schwimmer'!#ref!&gt;DATE(2011,7,20),'stammdaten - schwimmer'!#ref!,)</f>
        <v>#VALUE!</v>
      </c>
      <c r="M15" s="0" t="e">
        <f aca="false">_xlfn.RANK.EQ(L15,L$4:L$103,0)</f>
        <v>#REF!</v>
      </c>
      <c r="O15" s="31" t="e">
        <f aca="false">IF(AND('stammdaten - schwimmer'!#ref!&lt;DATE(2011,7,20),'stammdaten - schwimmer'!#ref!&gt;DATE(2007,7,19)),A15,)</f>
        <v>#VALUE!</v>
      </c>
      <c r="P15" s="31" t="e">
        <f aca="false">IF(AND('stammdaten - schwimmer'!#ref!&lt;DATE(2011,7,20),'stammdaten - schwimmer'!#ref!&gt;DATE(2007,7,19)),B15,)</f>
        <v>#VALUE!</v>
      </c>
      <c r="Q15" s="31" t="e">
        <f aca="false">IF(AND('stammdaten - schwimmer'!#ref!&lt;DATE(2011,7,20),'stammdaten - schwimmer'!#ref!&gt;DATE(2007,7,19)),C15,)</f>
        <v>#VALUE!</v>
      </c>
      <c r="R15" s="32" t="e">
        <f aca="false">IF(AND('stammdaten - schwimmer'!#ref!&lt;DATE(2011,7,20),'stammdaten - schwimmer'!#ref!&gt;DATE(2007,7,19)),D15,)</f>
        <v>#VALUE!</v>
      </c>
      <c r="S15" s="48" t="e">
        <f aca="false">IF(AND('stammdaten - schwimmer'!#ref!&lt;DATE(2011,7,20),'stammdaten - schwimmer'!#ref!&gt;DATE(2007,7,19)),'stammdaten - schwimmer'!#ref!,)</f>
        <v>#VALUE!</v>
      </c>
      <c r="T15" s="0" t="e">
        <f aca="false">_xlfn.RANK.EQ(S15,S$4:S$103,0)</f>
        <v>#REF!</v>
      </c>
      <c r="V15" s="31" t="e">
        <f aca="false">IF('stammdaten - schwimmer'!#ref!&lt;DATE(2007,7,20),A15,)</f>
        <v>#VALUE!</v>
      </c>
      <c r="W15" s="31" t="e">
        <f aca="false">IF('stammdaten - schwimmer'!#ref!&lt;DATE(2007,7,20),B15,)</f>
        <v>#VALUE!</v>
      </c>
      <c r="X15" s="31" t="e">
        <f aca="false">IF('stammdaten - schwimmer'!#ref!&lt;DATE(2007,7,20),C15,)</f>
        <v>#VALUE!</v>
      </c>
      <c r="Y15" s="32" t="e">
        <f aca="false">IF('stammdaten - schwimmer'!#ref!&lt;DATE(2007,7,20),D15,)</f>
        <v>#VALUE!</v>
      </c>
      <c r="Z15" s="48" t="e">
        <f aca="false">IF('stammdaten - schwimmer'!#ref!&lt;DATE(2007,7,20),'stammdaten - schwimmer'!#ref!,)</f>
        <v>#VALUE!</v>
      </c>
      <c r="AA15" s="0" t="e">
        <f aca="false">_xlfn.RANK.EQ(Z15,Z$4:Z$103,0)</f>
        <v>#REF!</v>
      </c>
    </row>
    <row r="16" customFormat="false" ht="15" hidden="false" customHeight="false" outlineLevel="0" collapsed="false">
      <c r="A16" s="46" t="e">
        <f aca="false">'stammdaten - schwimmer'!#ref!</f>
        <v>#VALUE!</v>
      </c>
      <c r="B16" s="47" t="e">
        <f aca="false">'stammdaten - schwimmer'!#ref!</f>
        <v>#VALUE!</v>
      </c>
      <c r="C16" s="47" t="e">
        <f aca="false">'stammdaten - schwimmer'!#ref!</f>
        <v>#VALUE!</v>
      </c>
      <c r="D16" s="32" t="e">
        <f aca="false">'stammdaten - schwimmer'!#ref!+'stammdaten - schwimmer'!#ref!+'stammdaten - schwimmer'!#ref!+'stammdaten - schwimmer'!#ref!+'stammdaten - schwimmer'!#ref!</f>
        <v>#VALUE!</v>
      </c>
      <c r="E16" s="48" t="e">
        <f aca="false">'stammdaten - schwimmer'!#ref!</f>
        <v>#VALUE!</v>
      </c>
      <c r="H16" s="31" t="e">
        <f aca="false">IF('stammdaten - schwimmer'!#ref!&gt;DATE(2011,7,20),A16,)</f>
        <v>#VALUE!</v>
      </c>
      <c r="I16" s="31" t="e">
        <f aca="false">IF('stammdaten - schwimmer'!#ref!&gt;DATE(2011,7,20),B16,)</f>
        <v>#VALUE!</v>
      </c>
      <c r="J16" s="31" t="e">
        <f aca="false">IF('stammdaten - schwimmer'!#ref!&gt;DATE(2011,7,20),C16,)</f>
        <v>#VALUE!</v>
      </c>
      <c r="K16" s="32" t="e">
        <f aca="false">IF('stammdaten - schwimmer'!#ref!&gt;DATE(2011,7,20),D16,)</f>
        <v>#VALUE!</v>
      </c>
      <c r="L16" s="31" t="e">
        <f aca="false">IF('stammdaten - schwimmer'!#ref!&gt;DATE(2011,7,20),'stammdaten - schwimmer'!#ref!,)</f>
        <v>#VALUE!</v>
      </c>
      <c r="M16" s="0" t="e">
        <f aca="false">_xlfn.RANK.EQ(L16,L$4:L$103,0)</f>
        <v>#REF!</v>
      </c>
      <c r="O16" s="31" t="e">
        <f aca="false">IF(AND('stammdaten - schwimmer'!#ref!&lt;DATE(2011,7,20),'stammdaten - schwimmer'!#ref!&gt;DATE(2007,7,19)),A16,)</f>
        <v>#VALUE!</v>
      </c>
      <c r="P16" s="31" t="e">
        <f aca="false">IF(AND('stammdaten - schwimmer'!#ref!&lt;DATE(2011,7,20),'stammdaten - schwimmer'!#ref!&gt;DATE(2007,7,19)),B16,)</f>
        <v>#VALUE!</v>
      </c>
      <c r="Q16" s="31" t="e">
        <f aca="false">IF(AND('stammdaten - schwimmer'!#ref!&lt;DATE(2011,7,20),'stammdaten - schwimmer'!#ref!&gt;DATE(2007,7,19)),C16,)</f>
        <v>#VALUE!</v>
      </c>
      <c r="R16" s="32" t="e">
        <f aca="false">IF(AND('stammdaten - schwimmer'!#ref!&lt;DATE(2011,7,20),'stammdaten - schwimmer'!#ref!&gt;DATE(2007,7,19)),D16,)</f>
        <v>#VALUE!</v>
      </c>
      <c r="S16" s="48" t="e">
        <f aca="false">IF(AND('stammdaten - schwimmer'!#ref!&lt;DATE(2011,7,20),'stammdaten - schwimmer'!#ref!&gt;DATE(2007,7,19)),'stammdaten - schwimmer'!#ref!,)</f>
        <v>#VALUE!</v>
      </c>
      <c r="T16" s="0" t="e">
        <f aca="false">_xlfn.RANK.EQ(S16,S$4:S$103,0)</f>
        <v>#REF!</v>
      </c>
      <c r="V16" s="31" t="e">
        <f aca="false">IF('stammdaten - schwimmer'!#ref!&lt;DATE(2007,7,20),A16,)</f>
        <v>#VALUE!</v>
      </c>
      <c r="W16" s="31" t="e">
        <f aca="false">IF('stammdaten - schwimmer'!#ref!&lt;DATE(2007,7,20),B16,)</f>
        <v>#VALUE!</v>
      </c>
      <c r="X16" s="31" t="e">
        <f aca="false">IF('stammdaten - schwimmer'!#ref!&lt;DATE(2007,7,20),C16,)</f>
        <v>#VALUE!</v>
      </c>
      <c r="Y16" s="32" t="e">
        <f aca="false">IF('stammdaten - schwimmer'!#ref!&lt;DATE(2007,7,20),D16,)</f>
        <v>#VALUE!</v>
      </c>
      <c r="Z16" s="48" t="e">
        <f aca="false">IF('stammdaten - schwimmer'!#ref!&lt;DATE(2007,7,20),'stammdaten - schwimmer'!#ref!,)</f>
        <v>#VALUE!</v>
      </c>
      <c r="AA16" s="0" t="e">
        <f aca="false">_xlfn.RANK.EQ(Z16,Z$4:Z$103,0)</f>
        <v>#REF!</v>
      </c>
    </row>
    <row r="17" customFormat="false" ht="15" hidden="false" customHeight="false" outlineLevel="0" collapsed="false">
      <c r="A17" s="46" t="e">
        <f aca="false">'stammdaten - schwimmer'!#ref!</f>
        <v>#VALUE!</v>
      </c>
      <c r="B17" s="47" t="e">
        <f aca="false">'stammdaten - schwimmer'!#ref!</f>
        <v>#VALUE!</v>
      </c>
      <c r="C17" s="47" t="e">
        <f aca="false">'stammdaten - schwimmer'!#ref!</f>
        <v>#VALUE!</v>
      </c>
      <c r="D17" s="32" t="e">
        <f aca="false">'stammdaten - schwimmer'!#ref!+'stammdaten - schwimmer'!#ref!+'stammdaten - schwimmer'!#ref!+'stammdaten - schwimmer'!#ref!+'Stammdaten - Schwimmer'!Z14</f>
        <v>#VALUE!</v>
      </c>
      <c r="E17" s="48" t="e">
        <f aca="false">'stammdaten - schwimmer'!#ref!</f>
        <v>#VALUE!</v>
      </c>
      <c r="H17" s="31" t="e">
        <f aca="false">IF('stammdaten - schwimmer'!#ref!&gt;DATE(2011,7,20),A17,)</f>
        <v>#VALUE!</v>
      </c>
      <c r="I17" s="31" t="e">
        <f aca="false">IF('stammdaten - schwimmer'!#ref!&gt;DATE(2011,7,20),B17,)</f>
        <v>#VALUE!</v>
      </c>
      <c r="J17" s="31" t="e">
        <f aca="false">IF('stammdaten - schwimmer'!#ref!&gt;DATE(2011,7,20),C17,)</f>
        <v>#VALUE!</v>
      </c>
      <c r="K17" s="32" t="e">
        <f aca="false">IF('stammdaten - schwimmer'!#ref!&gt;DATE(2011,7,20),D17,)</f>
        <v>#VALUE!</v>
      </c>
      <c r="L17" s="31" t="e">
        <f aca="false">IF('stammdaten - schwimmer'!#ref!&gt;DATE(2011,7,20),'stammdaten - schwimmer'!#ref!,)</f>
        <v>#VALUE!</v>
      </c>
      <c r="M17" s="0" t="e">
        <f aca="false">_xlfn.RANK.EQ(L17,L$4:L$103,0)</f>
        <v>#REF!</v>
      </c>
      <c r="O17" s="31" t="e">
        <f aca="false">IF(AND('stammdaten - schwimmer'!#ref!&lt;DATE(2011,7,20),'stammdaten - schwimmer'!#ref!&gt;DATE(2007,7,19)),A17,)</f>
        <v>#VALUE!</v>
      </c>
      <c r="P17" s="31" t="e">
        <f aca="false">IF(AND('stammdaten - schwimmer'!#ref!&lt;DATE(2011,7,20),'stammdaten - schwimmer'!#ref!&gt;DATE(2007,7,19)),B17,)</f>
        <v>#VALUE!</v>
      </c>
      <c r="Q17" s="31" t="e">
        <f aca="false">IF(AND('stammdaten - schwimmer'!#ref!&lt;DATE(2011,7,20),'stammdaten - schwimmer'!#ref!&gt;DATE(2007,7,19)),C17,)</f>
        <v>#VALUE!</v>
      </c>
      <c r="R17" s="32" t="e">
        <f aca="false">IF(AND('stammdaten - schwimmer'!#ref!&lt;DATE(2011,7,20),'stammdaten - schwimmer'!#ref!&gt;DATE(2007,7,19)),D17,)</f>
        <v>#VALUE!</v>
      </c>
      <c r="S17" s="48" t="e">
        <f aca="false">IF(AND('stammdaten - schwimmer'!#ref!&lt;DATE(2011,7,20),'stammdaten - schwimmer'!#ref!&gt;DATE(2007,7,19)),'stammdaten - schwimmer'!#ref!,)</f>
        <v>#VALUE!</v>
      </c>
      <c r="T17" s="0" t="e">
        <f aca="false">_xlfn.RANK.EQ(S17,S$4:S$103,0)</f>
        <v>#REF!</v>
      </c>
      <c r="V17" s="31" t="e">
        <f aca="false">IF('stammdaten - schwimmer'!#ref!&lt;DATE(2007,7,20),A17,)</f>
        <v>#VALUE!</v>
      </c>
      <c r="W17" s="31" t="e">
        <f aca="false">IF('stammdaten - schwimmer'!#ref!&lt;DATE(2007,7,20),B17,)</f>
        <v>#VALUE!</v>
      </c>
      <c r="X17" s="31" t="e">
        <f aca="false">IF('stammdaten - schwimmer'!#ref!&lt;DATE(2007,7,20),C17,)</f>
        <v>#VALUE!</v>
      </c>
      <c r="Y17" s="32" t="e">
        <f aca="false">IF('stammdaten - schwimmer'!#ref!&lt;DATE(2007,7,20),D17,)</f>
        <v>#VALUE!</v>
      </c>
      <c r="Z17" s="48" t="e">
        <f aca="false">IF('stammdaten - schwimmer'!#ref!&lt;DATE(2007,7,20),'stammdaten - schwimmer'!#ref!,)</f>
        <v>#VALUE!</v>
      </c>
      <c r="AA17" s="0" t="e">
        <f aca="false">_xlfn.RANK.EQ(Z17,Z$4:Z$103,0)</f>
        <v>#REF!</v>
      </c>
    </row>
    <row r="18" customFormat="false" ht="15" hidden="false" customHeight="false" outlineLevel="0" collapsed="false">
      <c r="A18" s="46" t="n">
        <f aca="false">'Stammdaten - Schwimmer'!A14</f>
        <v>12</v>
      </c>
      <c r="B18" s="47" t="n">
        <f aca="false">'Stammdaten - Schwimmer'!B14</f>
        <v>0</v>
      </c>
      <c r="C18" s="47" t="n">
        <f aca="false">'Stammdaten - Schwimmer'!C14</f>
        <v>0</v>
      </c>
      <c r="D18" s="32" t="n">
        <f aca="false">'Stammdaten - Schwimmer'!J14+'Stammdaten - Schwimmer'!N14+'Stammdaten - Schwimmer'!R14+'Stammdaten - Schwimmer'!V14+'Stammdaten - Schwimmer'!Z15</f>
        <v>0</v>
      </c>
      <c r="E18" s="48" t="n">
        <f aca="false">'Stammdaten - Schwimmer'!F14</f>
        <v>0</v>
      </c>
      <c r="H18" s="31" t="n">
        <f aca="false">IF('Stammdaten - Schwimmer'!D14&gt;DATE(2011,7,20),A18,)</f>
        <v>0</v>
      </c>
      <c r="I18" s="31" t="n">
        <f aca="false">IF('Stammdaten - Schwimmer'!$D14&gt;DATE(2011,7,20),B18,)</f>
        <v>0</v>
      </c>
      <c r="J18" s="31" t="n">
        <f aca="false">IF('Stammdaten - Schwimmer'!$D14&gt;DATE(2011,7,20),C18,)</f>
        <v>0</v>
      </c>
      <c r="K18" s="32" t="n">
        <f aca="false">IF('Stammdaten - Schwimmer'!$D14&gt;DATE(2011,7,20),D18,)</f>
        <v>0</v>
      </c>
      <c r="L18" s="31" t="n">
        <f aca="false">IF('Stammdaten - Schwimmer'!$D14&gt;DATE(2011,7,20),'Stammdaten - Schwimmer'!F14,)</f>
        <v>0</v>
      </c>
      <c r="M18" s="0" t="e">
        <f aca="false">_xlfn.RANK.EQ(L18,L$4:L$103,0)</f>
        <v>#REF!</v>
      </c>
      <c r="O18" s="31" t="n">
        <f aca="false">IF(AND('Stammdaten - Schwimmer'!$D14&lt;DATE(2011,7,20),'Stammdaten - Schwimmer'!$D14&gt;DATE(2007,7,19)),A18,)</f>
        <v>0</v>
      </c>
      <c r="P18" s="31" t="n">
        <f aca="false">IF(AND('Stammdaten - Schwimmer'!$D14&lt;DATE(2011,7,20),'Stammdaten - Schwimmer'!$D14&gt;DATE(2007,7,19)),B18,)</f>
        <v>0</v>
      </c>
      <c r="Q18" s="31" t="n">
        <f aca="false">IF(AND('Stammdaten - Schwimmer'!$D14&lt;DATE(2011,7,20),'Stammdaten - Schwimmer'!$D14&gt;DATE(2007,7,19)),C18,)</f>
        <v>0</v>
      </c>
      <c r="R18" s="32" t="n">
        <f aca="false">IF(AND('Stammdaten - Schwimmer'!$D14&lt;DATE(2011,7,20),'Stammdaten - Schwimmer'!$D14&gt;DATE(2007,7,19)),D18,)</f>
        <v>0</v>
      </c>
      <c r="S18" s="48" t="n">
        <f aca="false">IF(AND('Stammdaten - Schwimmer'!$D14&lt;DATE(2011,7,20),'Stammdaten - Schwimmer'!$D14&gt;DATE(2007,7,19)),'Stammdaten - Schwimmer'!F14,)</f>
        <v>0</v>
      </c>
      <c r="T18" s="0" t="e">
        <f aca="false">_xlfn.RANK.EQ(S18,S$4:S$103,0)</f>
        <v>#REF!</v>
      </c>
      <c r="V18" s="31" t="n">
        <f aca="false">IF('Stammdaten - Schwimmer'!$D14&lt;DATE(2007,7,20),A18,)</f>
        <v>12</v>
      </c>
      <c r="W18" s="31" t="n">
        <f aca="false">IF('Stammdaten - Schwimmer'!$D14&lt;DATE(2007,7,20),B18,)</f>
        <v>0</v>
      </c>
      <c r="X18" s="31" t="n">
        <f aca="false">IF('Stammdaten - Schwimmer'!$D14&lt;DATE(2007,7,20),C18,)</f>
        <v>0</v>
      </c>
      <c r="Y18" s="32" t="n">
        <f aca="false">IF('Stammdaten - Schwimmer'!$D14&lt;DATE(2007,7,20),D18,)</f>
        <v>0</v>
      </c>
      <c r="Z18" s="48" t="n">
        <f aca="false">IF('Stammdaten - Schwimmer'!$D14&lt;DATE(2007,7,20),'Stammdaten - Schwimmer'!F14,)</f>
        <v>0</v>
      </c>
      <c r="AA18" s="0" t="e">
        <f aca="false">_xlfn.RANK.EQ(Z18,Z$4:Z$103,0)</f>
        <v>#REF!</v>
      </c>
    </row>
    <row r="19" customFormat="false" ht="15" hidden="false" customHeight="false" outlineLevel="0" collapsed="false">
      <c r="A19" s="46" t="n">
        <f aca="false">'Stammdaten - Schwimmer'!A15</f>
        <v>13</v>
      </c>
      <c r="B19" s="47" t="n">
        <f aca="false">'Stammdaten - Schwimmer'!B15</f>
        <v>0</v>
      </c>
      <c r="C19" s="47" t="n">
        <f aca="false">'Stammdaten - Schwimmer'!C15</f>
        <v>0</v>
      </c>
      <c r="D19" s="32" t="n">
        <f aca="false">'Stammdaten - Schwimmer'!J15+'Stammdaten - Schwimmer'!N15+'Stammdaten - Schwimmer'!R15+'Stammdaten - Schwimmer'!V15+'Stammdaten - Schwimmer'!Z16</f>
        <v>0</v>
      </c>
      <c r="E19" s="48" t="n">
        <f aca="false">'Stammdaten - Schwimmer'!F15</f>
        <v>0</v>
      </c>
      <c r="H19" s="31" t="n">
        <f aca="false">IF('Stammdaten - Schwimmer'!D15&gt;DATE(2011,7,20),A19,)</f>
        <v>0</v>
      </c>
      <c r="I19" s="31" t="n">
        <f aca="false">IF('Stammdaten - Schwimmer'!$D15&gt;DATE(2011,7,20),B19,)</f>
        <v>0</v>
      </c>
      <c r="J19" s="31" t="n">
        <f aca="false">IF('Stammdaten - Schwimmer'!$D15&gt;DATE(2011,7,20),C19,)</f>
        <v>0</v>
      </c>
      <c r="K19" s="32" t="n">
        <f aca="false">IF('Stammdaten - Schwimmer'!$D15&gt;DATE(2011,7,20),D19,)</f>
        <v>0</v>
      </c>
      <c r="L19" s="31" t="n">
        <f aca="false">IF('Stammdaten - Schwimmer'!$D15&gt;DATE(2011,7,20),'Stammdaten - Schwimmer'!F15,)</f>
        <v>0</v>
      </c>
      <c r="M19" s="0" t="e">
        <f aca="false">_xlfn.RANK.EQ(L19,L$4:L$103,0)</f>
        <v>#REF!</v>
      </c>
      <c r="O19" s="31" t="n">
        <f aca="false">IF(AND('Stammdaten - Schwimmer'!$D15&lt;DATE(2011,7,20),'Stammdaten - Schwimmer'!$D15&gt;DATE(2007,7,19)),A19,)</f>
        <v>0</v>
      </c>
      <c r="P19" s="31" t="n">
        <f aca="false">IF(AND('Stammdaten - Schwimmer'!$D15&lt;DATE(2011,7,20),'Stammdaten - Schwimmer'!$D15&gt;DATE(2007,7,19)),B19,)</f>
        <v>0</v>
      </c>
      <c r="Q19" s="31" t="n">
        <f aca="false">IF(AND('Stammdaten - Schwimmer'!$D15&lt;DATE(2011,7,20),'Stammdaten - Schwimmer'!$D15&gt;DATE(2007,7,19)),C19,)</f>
        <v>0</v>
      </c>
      <c r="R19" s="32" t="n">
        <f aca="false">IF(AND('Stammdaten - Schwimmer'!$D15&lt;DATE(2011,7,20),'Stammdaten - Schwimmer'!$D15&gt;DATE(2007,7,19)),D19,)</f>
        <v>0</v>
      </c>
      <c r="S19" s="48" t="n">
        <f aca="false">IF(AND('Stammdaten - Schwimmer'!$D15&lt;DATE(2011,7,20),'Stammdaten - Schwimmer'!$D15&gt;DATE(2007,7,19)),'Stammdaten - Schwimmer'!F15,)</f>
        <v>0</v>
      </c>
      <c r="T19" s="0" t="e">
        <f aca="false">_xlfn.RANK.EQ(S19,S$4:S$103,0)</f>
        <v>#REF!</v>
      </c>
      <c r="V19" s="31" t="n">
        <f aca="false">IF('Stammdaten - Schwimmer'!$D15&lt;DATE(2007,7,20),A19,)</f>
        <v>13</v>
      </c>
      <c r="W19" s="31" t="n">
        <f aca="false">IF('Stammdaten - Schwimmer'!$D15&lt;DATE(2007,7,20),B19,)</f>
        <v>0</v>
      </c>
      <c r="X19" s="31" t="n">
        <f aca="false">IF('Stammdaten - Schwimmer'!$D15&lt;DATE(2007,7,20),C19,)</f>
        <v>0</v>
      </c>
      <c r="Y19" s="32" t="n">
        <f aca="false">IF('Stammdaten - Schwimmer'!$D15&lt;DATE(2007,7,20),D19,)</f>
        <v>0</v>
      </c>
      <c r="Z19" s="48" t="n">
        <f aca="false">IF('Stammdaten - Schwimmer'!$D15&lt;DATE(2007,7,20),'Stammdaten - Schwimmer'!F15,)</f>
        <v>0</v>
      </c>
      <c r="AA19" s="0" t="e">
        <f aca="false">_xlfn.RANK.EQ(Z19,Z$4:Z$103,0)</f>
        <v>#REF!</v>
      </c>
    </row>
    <row r="20" customFormat="false" ht="15" hidden="false" customHeight="false" outlineLevel="0" collapsed="false">
      <c r="A20" s="46" t="n">
        <f aca="false">'Stammdaten - Schwimmer'!A16</f>
        <v>14</v>
      </c>
      <c r="B20" s="47" t="n">
        <f aca="false">'Stammdaten - Schwimmer'!B16</f>
        <v>0</v>
      </c>
      <c r="C20" s="47" t="n">
        <f aca="false">'Stammdaten - Schwimmer'!C16</f>
        <v>0</v>
      </c>
      <c r="D20" s="32" t="n">
        <f aca="false">'Stammdaten - Schwimmer'!J16+'Stammdaten - Schwimmer'!N16+'Stammdaten - Schwimmer'!R16+'Stammdaten - Schwimmer'!V16+'Stammdaten - Schwimmer'!Z17</f>
        <v>0</v>
      </c>
      <c r="E20" s="48" t="n">
        <f aca="false">'Stammdaten - Schwimmer'!F16</f>
        <v>0</v>
      </c>
      <c r="H20" s="31" t="n">
        <f aca="false">IF('Stammdaten - Schwimmer'!D16&gt;DATE(2011,7,20),A20,)</f>
        <v>0</v>
      </c>
      <c r="I20" s="31" t="n">
        <f aca="false">IF('Stammdaten - Schwimmer'!$D16&gt;DATE(2011,7,20),B20,)</f>
        <v>0</v>
      </c>
      <c r="J20" s="31" t="n">
        <f aca="false">IF('Stammdaten - Schwimmer'!$D16&gt;DATE(2011,7,20),C20,)</f>
        <v>0</v>
      </c>
      <c r="K20" s="32" t="n">
        <f aca="false">IF('Stammdaten - Schwimmer'!$D16&gt;DATE(2011,7,20),D20,)</f>
        <v>0</v>
      </c>
      <c r="L20" s="31" t="n">
        <f aca="false">IF('Stammdaten - Schwimmer'!$D16&gt;DATE(2011,7,20),'Stammdaten - Schwimmer'!F16,)</f>
        <v>0</v>
      </c>
      <c r="M20" s="0" t="e">
        <f aca="false">_xlfn.RANK.EQ(L20,L$4:L$103,0)</f>
        <v>#REF!</v>
      </c>
      <c r="O20" s="31" t="n">
        <f aca="false">IF(AND('Stammdaten - Schwimmer'!$D16&lt;DATE(2011,7,20),'Stammdaten - Schwimmer'!$D16&gt;DATE(2007,7,19)),A20,)</f>
        <v>0</v>
      </c>
      <c r="P20" s="31" t="n">
        <f aca="false">IF(AND('Stammdaten - Schwimmer'!$D16&lt;DATE(2011,7,20),'Stammdaten - Schwimmer'!$D16&gt;DATE(2007,7,19)),B20,)</f>
        <v>0</v>
      </c>
      <c r="Q20" s="31" t="n">
        <f aca="false">IF(AND('Stammdaten - Schwimmer'!$D16&lt;DATE(2011,7,20),'Stammdaten - Schwimmer'!$D16&gt;DATE(2007,7,19)),C20,)</f>
        <v>0</v>
      </c>
      <c r="R20" s="32" t="n">
        <f aca="false">IF(AND('Stammdaten - Schwimmer'!$D16&lt;DATE(2011,7,20),'Stammdaten - Schwimmer'!$D16&gt;DATE(2007,7,19)),D20,)</f>
        <v>0</v>
      </c>
      <c r="S20" s="48" t="n">
        <f aca="false">IF(AND('Stammdaten - Schwimmer'!$D16&lt;DATE(2011,7,20),'Stammdaten - Schwimmer'!$D16&gt;DATE(2007,7,19)),'Stammdaten - Schwimmer'!F16,)</f>
        <v>0</v>
      </c>
      <c r="T20" s="0" t="e">
        <f aca="false">_xlfn.RANK.EQ(S20,S$4:S$103,0)</f>
        <v>#REF!</v>
      </c>
      <c r="V20" s="31" t="n">
        <f aca="false">IF('Stammdaten - Schwimmer'!$D16&lt;DATE(2007,7,20),A20,)</f>
        <v>14</v>
      </c>
      <c r="W20" s="31" t="n">
        <f aca="false">IF('Stammdaten - Schwimmer'!$D16&lt;DATE(2007,7,20),B20,)</f>
        <v>0</v>
      </c>
      <c r="X20" s="31" t="n">
        <f aca="false">IF('Stammdaten - Schwimmer'!$D16&lt;DATE(2007,7,20),C20,)</f>
        <v>0</v>
      </c>
      <c r="Y20" s="32" t="n">
        <f aca="false">IF('Stammdaten - Schwimmer'!$D16&lt;DATE(2007,7,20),D20,)</f>
        <v>0</v>
      </c>
      <c r="Z20" s="48" t="n">
        <f aca="false">IF('Stammdaten - Schwimmer'!$D16&lt;DATE(2007,7,20),'Stammdaten - Schwimmer'!F16,)</f>
        <v>0</v>
      </c>
      <c r="AA20" s="0" t="e">
        <f aca="false">_xlfn.RANK.EQ(Z20,Z$4:Z$103,0)</f>
        <v>#REF!</v>
      </c>
    </row>
    <row r="21" customFormat="false" ht="15" hidden="false" customHeight="false" outlineLevel="0" collapsed="false">
      <c r="A21" s="46" t="n">
        <f aca="false">'Stammdaten - Schwimmer'!A17</f>
        <v>15</v>
      </c>
      <c r="B21" s="47" t="n">
        <f aca="false">'Stammdaten - Schwimmer'!B17</f>
        <v>0</v>
      </c>
      <c r="C21" s="47" t="n">
        <f aca="false">'Stammdaten - Schwimmer'!C17</f>
        <v>0</v>
      </c>
      <c r="D21" s="32" t="n">
        <f aca="false">'Stammdaten - Schwimmer'!J17+'Stammdaten - Schwimmer'!N17+'Stammdaten - Schwimmer'!R17+'Stammdaten - Schwimmer'!V17+'Stammdaten - Schwimmer'!Z18</f>
        <v>0</v>
      </c>
      <c r="E21" s="48" t="n">
        <f aca="false">'Stammdaten - Schwimmer'!F17</f>
        <v>0</v>
      </c>
      <c r="H21" s="31" t="n">
        <f aca="false">IF('Stammdaten - Schwimmer'!D17&gt;DATE(2011,7,20),A21,)</f>
        <v>0</v>
      </c>
      <c r="I21" s="31" t="n">
        <f aca="false">IF('Stammdaten - Schwimmer'!$D17&gt;DATE(2011,7,20),B21,)</f>
        <v>0</v>
      </c>
      <c r="J21" s="31" t="n">
        <f aca="false">IF('Stammdaten - Schwimmer'!$D17&gt;DATE(2011,7,20),C21,)</f>
        <v>0</v>
      </c>
      <c r="K21" s="32" t="n">
        <f aca="false">IF('Stammdaten - Schwimmer'!$D17&gt;DATE(2011,7,20),D21,)</f>
        <v>0</v>
      </c>
      <c r="L21" s="31" t="n">
        <f aca="false">IF('Stammdaten - Schwimmer'!$D17&gt;DATE(2011,7,20),'Stammdaten - Schwimmer'!F17,)</f>
        <v>0</v>
      </c>
      <c r="M21" s="0" t="e">
        <f aca="false">_xlfn.RANK.EQ(L21,L$4:L$103,0)</f>
        <v>#REF!</v>
      </c>
      <c r="O21" s="31" t="n">
        <f aca="false">IF(AND('Stammdaten - Schwimmer'!$D17&lt;DATE(2011,7,20),'Stammdaten - Schwimmer'!$D17&gt;DATE(2007,7,19)),A21,)</f>
        <v>0</v>
      </c>
      <c r="P21" s="31" t="n">
        <f aca="false">IF(AND('Stammdaten - Schwimmer'!$D17&lt;DATE(2011,7,20),'Stammdaten - Schwimmer'!$D17&gt;DATE(2007,7,19)),B21,)</f>
        <v>0</v>
      </c>
      <c r="Q21" s="31" t="n">
        <f aca="false">IF(AND('Stammdaten - Schwimmer'!$D17&lt;DATE(2011,7,20),'Stammdaten - Schwimmer'!$D17&gt;DATE(2007,7,19)),C21,)</f>
        <v>0</v>
      </c>
      <c r="R21" s="32" t="n">
        <f aca="false">IF(AND('Stammdaten - Schwimmer'!$D17&lt;DATE(2011,7,20),'Stammdaten - Schwimmer'!$D17&gt;DATE(2007,7,19)),D21,)</f>
        <v>0</v>
      </c>
      <c r="S21" s="48" t="n">
        <f aca="false">IF(AND('Stammdaten - Schwimmer'!$D17&lt;DATE(2011,7,20),'Stammdaten - Schwimmer'!$D17&gt;DATE(2007,7,19)),'Stammdaten - Schwimmer'!F17,)</f>
        <v>0</v>
      </c>
      <c r="T21" s="0" t="e">
        <f aca="false">_xlfn.RANK.EQ(S21,S$4:S$103,0)</f>
        <v>#REF!</v>
      </c>
      <c r="V21" s="31" t="n">
        <f aca="false">IF('Stammdaten - Schwimmer'!$D17&lt;DATE(2007,7,20),A21,)</f>
        <v>15</v>
      </c>
      <c r="W21" s="31" t="n">
        <f aca="false">IF('Stammdaten - Schwimmer'!$D17&lt;DATE(2007,7,20),B21,)</f>
        <v>0</v>
      </c>
      <c r="X21" s="31" t="n">
        <f aca="false">IF('Stammdaten - Schwimmer'!$D17&lt;DATE(2007,7,20),C21,)</f>
        <v>0</v>
      </c>
      <c r="Y21" s="32" t="n">
        <f aca="false">IF('Stammdaten - Schwimmer'!$D17&lt;DATE(2007,7,20),D21,)</f>
        <v>0</v>
      </c>
      <c r="Z21" s="48" t="n">
        <f aca="false">IF('Stammdaten - Schwimmer'!$D17&lt;DATE(2007,7,20),'Stammdaten - Schwimmer'!F17,)</f>
        <v>0</v>
      </c>
      <c r="AA21" s="0" t="e">
        <f aca="false">_xlfn.RANK.EQ(Z21,Z$4:Z$103,0)</f>
        <v>#REF!</v>
      </c>
    </row>
    <row r="22" customFormat="false" ht="15" hidden="false" customHeight="false" outlineLevel="0" collapsed="false">
      <c r="A22" s="46" t="n">
        <f aca="false">'Stammdaten - Schwimmer'!A18</f>
        <v>16</v>
      </c>
      <c r="B22" s="47" t="n">
        <f aca="false">'Stammdaten - Schwimmer'!B18</f>
        <v>0</v>
      </c>
      <c r="C22" s="47" t="n">
        <f aca="false">'Stammdaten - Schwimmer'!C18</f>
        <v>0</v>
      </c>
      <c r="D22" s="32" t="n">
        <f aca="false">'Stammdaten - Schwimmer'!J18+'Stammdaten - Schwimmer'!N18+'Stammdaten - Schwimmer'!R18+'Stammdaten - Schwimmer'!V18+'Stammdaten - Schwimmer'!Z19</f>
        <v>0</v>
      </c>
      <c r="E22" s="48" t="n">
        <f aca="false">'Stammdaten - Schwimmer'!F18</f>
        <v>0</v>
      </c>
      <c r="H22" s="31" t="n">
        <f aca="false">IF('Stammdaten - Schwimmer'!D18&gt;DATE(2011,7,20),A22,)</f>
        <v>0</v>
      </c>
      <c r="I22" s="31" t="n">
        <f aca="false">IF('Stammdaten - Schwimmer'!$D18&gt;DATE(2011,7,20),B22,)</f>
        <v>0</v>
      </c>
      <c r="J22" s="31" t="n">
        <f aca="false">IF('Stammdaten - Schwimmer'!$D18&gt;DATE(2011,7,20),C22,)</f>
        <v>0</v>
      </c>
      <c r="K22" s="32" t="n">
        <f aca="false">IF('Stammdaten - Schwimmer'!$D18&gt;DATE(2011,7,20),D22,)</f>
        <v>0</v>
      </c>
      <c r="L22" s="31" t="n">
        <f aca="false">IF('Stammdaten - Schwimmer'!$D18&gt;DATE(2011,7,20),'Stammdaten - Schwimmer'!F18,)</f>
        <v>0</v>
      </c>
      <c r="M22" s="0" t="e">
        <f aca="false">_xlfn.RANK.EQ(L22,L$4:L$103,0)</f>
        <v>#REF!</v>
      </c>
      <c r="O22" s="31" t="n">
        <f aca="false">IF(AND('Stammdaten - Schwimmer'!$D18&lt;DATE(2011,7,20),'Stammdaten - Schwimmer'!$D18&gt;DATE(2007,7,19)),A22,)</f>
        <v>0</v>
      </c>
      <c r="P22" s="31" t="n">
        <f aca="false">IF(AND('Stammdaten - Schwimmer'!$D18&lt;DATE(2011,7,20),'Stammdaten - Schwimmer'!$D18&gt;DATE(2007,7,19)),B22,)</f>
        <v>0</v>
      </c>
      <c r="Q22" s="31" t="n">
        <f aca="false">IF(AND('Stammdaten - Schwimmer'!$D18&lt;DATE(2011,7,20),'Stammdaten - Schwimmer'!$D18&gt;DATE(2007,7,19)),C22,)</f>
        <v>0</v>
      </c>
      <c r="R22" s="32" t="n">
        <f aca="false">IF(AND('Stammdaten - Schwimmer'!$D18&lt;DATE(2011,7,20),'Stammdaten - Schwimmer'!$D18&gt;DATE(2007,7,19)),D22,)</f>
        <v>0</v>
      </c>
      <c r="S22" s="48" t="n">
        <f aca="false">IF(AND('Stammdaten - Schwimmer'!$D18&lt;DATE(2011,7,20),'Stammdaten - Schwimmer'!$D18&gt;DATE(2007,7,19)),'Stammdaten - Schwimmer'!F18,)</f>
        <v>0</v>
      </c>
      <c r="T22" s="0" t="e">
        <f aca="false">_xlfn.RANK.EQ(S22,S$4:S$103,0)</f>
        <v>#REF!</v>
      </c>
      <c r="V22" s="31" t="n">
        <f aca="false">IF('Stammdaten - Schwimmer'!$D18&lt;DATE(2007,7,20),A22,)</f>
        <v>16</v>
      </c>
      <c r="W22" s="31" t="n">
        <f aca="false">IF('Stammdaten - Schwimmer'!$D18&lt;DATE(2007,7,20),B22,)</f>
        <v>0</v>
      </c>
      <c r="X22" s="31" t="n">
        <f aca="false">IF('Stammdaten - Schwimmer'!$D18&lt;DATE(2007,7,20),C22,)</f>
        <v>0</v>
      </c>
      <c r="Y22" s="32" t="n">
        <f aca="false">IF('Stammdaten - Schwimmer'!$D18&lt;DATE(2007,7,20),D22,)</f>
        <v>0</v>
      </c>
      <c r="Z22" s="48" t="n">
        <f aca="false">IF('Stammdaten - Schwimmer'!$D18&lt;DATE(2007,7,20),'Stammdaten - Schwimmer'!F18,)</f>
        <v>0</v>
      </c>
      <c r="AA22" s="0" t="e">
        <f aca="false">_xlfn.RANK.EQ(Z22,Z$4:Z$103,0)</f>
        <v>#REF!</v>
      </c>
    </row>
    <row r="23" customFormat="false" ht="15" hidden="false" customHeight="false" outlineLevel="0" collapsed="false">
      <c r="A23" s="46" t="n">
        <f aca="false">'Stammdaten - Schwimmer'!A19</f>
        <v>17</v>
      </c>
      <c r="B23" s="47" t="n">
        <f aca="false">'Stammdaten - Schwimmer'!B19</f>
        <v>0</v>
      </c>
      <c r="C23" s="47" t="n">
        <f aca="false">'Stammdaten - Schwimmer'!C19</f>
        <v>0</v>
      </c>
      <c r="D23" s="32" t="n">
        <f aca="false">'Stammdaten - Schwimmer'!J19+'Stammdaten - Schwimmer'!N19+'Stammdaten - Schwimmer'!R19+'Stammdaten - Schwimmer'!V19+'Stammdaten - Schwimmer'!Z20</f>
        <v>0</v>
      </c>
      <c r="E23" s="48" t="n">
        <f aca="false">'Stammdaten - Schwimmer'!F19</f>
        <v>0</v>
      </c>
      <c r="H23" s="31" t="n">
        <f aca="false">IF('Stammdaten - Schwimmer'!D19&gt;DATE(2011,7,20),A23,)</f>
        <v>0</v>
      </c>
      <c r="I23" s="31" t="n">
        <f aca="false">IF('Stammdaten - Schwimmer'!$D19&gt;DATE(2011,7,20),B23,)</f>
        <v>0</v>
      </c>
      <c r="J23" s="31" t="n">
        <f aca="false">IF('Stammdaten - Schwimmer'!$D19&gt;DATE(2011,7,20),C23,)</f>
        <v>0</v>
      </c>
      <c r="K23" s="32" t="n">
        <f aca="false">IF('Stammdaten - Schwimmer'!$D19&gt;DATE(2011,7,20),D23,)</f>
        <v>0</v>
      </c>
      <c r="L23" s="31" t="n">
        <f aca="false">IF('Stammdaten - Schwimmer'!$D19&gt;DATE(2011,7,20),'Stammdaten - Schwimmer'!F19,)</f>
        <v>0</v>
      </c>
      <c r="M23" s="0" t="e">
        <f aca="false">_xlfn.RANK.EQ(L23,L$4:L$103,0)</f>
        <v>#REF!</v>
      </c>
      <c r="O23" s="31" t="n">
        <f aca="false">IF(AND('Stammdaten - Schwimmer'!$D19&lt;DATE(2011,7,20),'Stammdaten - Schwimmer'!$D19&gt;DATE(2007,7,19)),A23,)</f>
        <v>0</v>
      </c>
      <c r="P23" s="31" t="n">
        <f aca="false">IF(AND('Stammdaten - Schwimmer'!$D19&lt;DATE(2011,7,20),'Stammdaten - Schwimmer'!$D19&gt;DATE(2007,7,19)),B23,)</f>
        <v>0</v>
      </c>
      <c r="Q23" s="31" t="n">
        <f aca="false">IF(AND('Stammdaten - Schwimmer'!$D19&lt;DATE(2011,7,20),'Stammdaten - Schwimmer'!$D19&gt;DATE(2007,7,19)),C23,)</f>
        <v>0</v>
      </c>
      <c r="R23" s="32" t="n">
        <f aca="false">IF(AND('Stammdaten - Schwimmer'!$D19&lt;DATE(2011,7,20),'Stammdaten - Schwimmer'!$D19&gt;DATE(2007,7,19)),D23,)</f>
        <v>0</v>
      </c>
      <c r="S23" s="48" t="n">
        <f aca="false">IF(AND('Stammdaten - Schwimmer'!$D19&lt;DATE(2011,7,20),'Stammdaten - Schwimmer'!$D19&gt;DATE(2007,7,19)),'Stammdaten - Schwimmer'!F19,)</f>
        <v>0</v>
      </c>
      <c r="T23" s="0" t="e">
        <f aca="false">_xlfn.RANK.EQ(S23,S$4:S$103,0)</f>
        <v>#REF!</v>
      </c>
      <c r="V23" s="31" t="n">
        <f aca="false">IF('Stammdaten - Schwimmer'!$D19&lt;DATE(2007,7,20),A23,)</f>
        <v>17</v>
      </c>
      <c r="W23" s="31" t="n">
        <f aca="false">IF('Stammdaten - Schwimmer'!$D19&lt;DATE(2007,7,20),B23,)</f>
        <v>0</v>
      </c>
      <c r="X23" s="31" t="n">
        <f aca="false">IF('Stammdaten - Schwimmer'!$D19&lt;DATE(2007,7,20),C23,)</f>
        <v>0</v>
      </c>
      <c r="Y23" s="32" t="n">
        <f aca="false">IF('Stammdaten - Schwimmer'!$D19&lt;DATE(2007,7,20),D23,)</f>
        <v>0</v>
      </c>
      <c r="Z23" s="48" t="n">
        <f aca="false">IF('Stammdaten - Schwimmer'!$D19&lt;DATE(2007,7,20),'Stammdaten - Schwimmer'!F19,)</f>
        <v>0</v>
      </c>
      <c r="AA23" s="0" t="e">
        <f aca="false">_xlfn.RANK.EQ(Z23,Z$4:Z$103,0)</f>
        <v>#REF!</v>
      </c>
    </row>
    <row r="24" customFormat="false" ht="15" hidden="false" customHeight="false" outlineLevel="0" collapsed="false">
      <c r="A24" s="46" t="n">
        <f aca="false">'Stammdaten - Schwimmer'!A20</f>
        <v>18</v>
      </c>
      <c r="B24" s="47" t="n">
        <f aca="false">'Stammdaten - Schwimmer'!B20</f>
        <v>0</v>
      </c>
      <c r="C24" s="47" t="n">
        <f aca="false">'Stammdaten - Schwimmer'!C20</f>
        <v>0</v>
      </c>
      <c r="D24" s="32" t="n">
        <f aca="false">'Stammdaten - Schwimmer'!J20+'Stammdaten - Schwimmer'!N20+'Stammdaten - Schwimmer'!R20+'Stammdaten - Schwimmer'!V20+'Stammdaten - Schwimmer'!Z21</f>
        <v>0</v>
      </c>
      <c r="E24" s="48" t="n">
        <f aca="false">'Stammdaten - Schwimmer'!F20</f>
        <v>0</v>
      </c>
      <c r="H24" s="31" t="n">
        <f aca="false">IF('Stammdaten - Schwimmer'!D20&gt;DATE(2011,7,20),A24,)</f>
        <v>0</v>
      </c>
      <c r="I24" s="31" t="n">
        <f aca="false">IF('Stammdaten - Schwimmer'!$D20&gt;DATE(2011,7,20),B24,)</f>
        <v>0</v>
      </c>
      <c r="J24" s="31" t="n">
        <f aca="false">IF('Stammdaten - Schwimmer'!$D20&gt;DATE(2011,7,20),C24,)</f>
        <v>0</v>
      </c>
      <c r="K24" s="32" t="n">
        <f aca="false">IF('Stammdaten - Schwimmer'!$D20&gt;DATE(2011,7,20),D24,)</f>
        <v>0</v>
      </c>
      <c r="L24" s="31" t="n">
        <f aca="false">IF('Stammdaten - Schwimmer'!$D20&gt;DATE(2011,7,20),'Stammdaten - Schwimmer'!F20,)</f>
        <v>0</v>
      </c>
      <c r="M24" s="0" t="e">
        <f aca="false">_xlfn.RANK.EQ(L24,L$4:L$103,0)</f>
        <v>#REF!</v>
      </c>
      <c r="O24" s="31" t="n">
        <f aca="false">IF(AND('Stammdaten - Schwimmer'!$D20&lt;DATE(2011,7,20),'Stammdaten - Schwimmer'!$D20&gt;DATE(2007,7,19)),A24,)</f>
        <v>0</v>
      </c>
      <c r="P24" s="31" t="n">
        <f aca="false">IF(AND('Stammdaten - Schwimmer'!$D20&lt;DATE(2011,7,20),'Stammdaten - Schwimmer'!$D20&gt;DATE(2007,7,19)),B24,)</f>
        <v>0</v>
      </c>
      <c r="Q24" s="31" t="n">
        <f aca="false">IF(AND('Stammdaten - Schwimmer'!$D20&lt;DATE(2011,7,20),'Stammdaten - Schwimmer'!$D20&gt;DATE(2007,7,19)),C24,)</f>
        <v>0</v>
      </c>
      <c r="R24" s="32" t="n">
        <f aca="false">IF(AND('Stammdaten - Schwimmer'!$D20&lt;DATE(2011,7,20),'Stammdaten - Schwimmer'!$D20&gt;DATE(2007,7,19)),D24,)</f>
        <v>0</v>
      </c>
      <c r="S24" s="48" t="n">
        <f aca="false">IF(AND('Stammdaten - Schwimmer'!$D20&lt;DATE(2011,7,20),'Stammdaten - Schwimmer'!$D20&gt;DATE(2007,7,19)),'Stammdaten - Schwimmer'!F20,)</f>
        <v>0</v>
      </c>
      <c r="T24" s="0" t="e">
        <f aca="false">_xlfn.RANK.EQ(S24,S$4:S$103,0)</f>
        <v>#REF!</v>
      </c>
      <c r="V24" s="31" t="n">
        <f aca="false">IF('Stammdaten - Schwimmer'!$D20&lt;DATE(2007,7,20),A24,)</f>
        <v>18</v>
      </c>
      <c r="W24" s="31" t="n">
        <f aca="false">IF('Stammdaten - Schwimmer'!$D20&lt;DATE(2007,7,20),B24,)</f>
        <v>0</v>
      </c>
      <c r="X24" s="31" t="n">
        <f aca="false">IF('Stammdaten - Schwimmer'!$D20&lt;DATE(2007,7,20),C24,)</f>
        <v>0</v>
      </c>
      <c r="Y24" s="32" t="n">
        <f aca="false">IF('Stammdaten - Schwimmer'!$D20&lt;DATE(2007,7,20),D24,)</f>
        <v>0</v>
      </c>
      <c r="Z24" s="48" t="n">
        <f aca="false">IF('Stammdaten - Schwimmer'!$D20&lt;DATE(2007,7,20),'Stammdaten - Schwimmer'!F20,)</f>
        <v>0</v>
      </c>
      <c r="AA24" s="0" t="e">
        <f aca="false">_xlfn.RANK.EQ(Z24,Z$4:Z$103,0)</f>
        <v>#REF!</v>
      </c>
    </row>
    <row r="25" customFormat="false" ht="15" hidden="false" customHeight="false" outlineLevel="0" collapsed="false">
      <c r="A25" s="46" t="n">
        <f aca="false">'Stammdaten - Schwimmer'!A21</f>
        <v>19</v>
      </c>
      <c r="B25" s="47" t="n">
        <f aca="false">'Stammdaten - Schwimmer'!B21</f>
        <v>0</v>
      </c>
      <c r="C25" s="47" t="n">
        <f aca="false">'Stammdaten - Schwimmer'!C21</f>
        <v>0</v>
      </c>
      <c r="D25" s="32" t="n">
        <f aca="false">'Stammdaten - Schwimmer'!J21+'Stammdaten - Schwimmer'!N21+'Stammdaten - Schwimmer'!R21+'Stammdaten - Schwimmer'!V21+'Stammdaten - Schwimmer'!Z22</f>
        <v>0</v>
      </c>
      <c r="E25" s="48" t="n">
        <f aca="false">'Stammdaten - Schwimmer'!F21</f>
        <v>0</v>
      </c>
      <c r="H25" s="31" t="n">
        <f aca="false">IF('Stammdaten - Schwimmer'!D21&gt;DATE(2011,7,20),A25,)</f>
        <v>0</v>
      </c>
      <c r="I25" s="31" t="n">
        <f aca="false">IF('Stammdaten - Schwimmer'!$D21&gt;DATE(2011,7,20),B25,)</f>
        <v>0</v>
      </c>
      <c r="J25" s="31" t="n">
        <f aca="false">IF('Stammdaten - Schwimmer'!$D21&gt;DATE(2011,7,20),C25,)</f>
        <v>0</v>
      </c>
      <c r="K25" s="32" t="n">
        <f aca="false">IF('Stammdaten - Schwimmer'!$D21&gt;DATE(2011,7,20),D25,)</f>
        <v>0</v>
      </c>
      <c r="L25" s="31" t="n">
        <f aca="false">IF('Stammdaten - Schwimmer'!$D21&gt;DATE(2011,7,20),'Stammdaten - Schwimmer'!F21,)</f>
        <v>0</v>
      </c>
      <c r="M25" s="0" t="e">
        <f aca="false">_xlfn.RANK.EQ(L25,L$4:L$103,0)</f>
        <v>#REF!</v>
      </c>
      <c r="O25" s="31" t="n">
        <f aca="false">IF(AND('Stammdaten - Schwimmer'!$D21&lt;DATE(2011,7,20),'Stammdaten - Schwimmer'!$D21&gt;DATE(2007,7,19)),A25,)</f>
        <v>0</v>
      </c>
      <c r="P25" s="31" t="n">
        <f aca="false">IF(AND('Stammdaten - Schwimmer'!$D21&lt;DATE(2011,7,20),'Stammdaten - Schwimmer'!$D21&gt;DATE(2007,7,19)),B25,)</f>
        <v>0</v>
      </c>
      <c r="Q25" s="31" t="n">
        <f aca="false">IF(AND('Stammdaten - Schwimmer'!$D21&lt;DATE(2011,7,20),'Stammdaten - Schwimmer'!$D21&gt;DATE(2007,7,19)),C25,)</f>
        <v>0</v>
      </c>
      <c r="R25" s="32" t="n">
        <f aca="false">IF(AND('Stammdaten - Schwimmer'!$D21&lt;DATE(2011,7,20),'Stammdaten - Schwimmer'!$D21&gt;DATE(2007,7,19)),D25,)</f>
        <v>0</v>
      </c>
      <c r="S25" s="48" t="n">
        <f aca="false">IF(AND('Stammdaten - Schwimmer'!$D21&lt;DATE(2011,7,20),'Stammdaten - Schwimmer'!$D21&gt;DATE(2007,7,19)),'Stammdaten - Schwimmer'!F21,)</f>
        <v>0</v>
      </c>
      <c r="T25" s="0" t="e">
        <f aca="false">_xlfn.RANK.EQ(S25,S$4:S$103,0)</f>
        <v>#REF!</v>
      </c>
      <c r="V25" s="31" t="n">
        <f aca="false">IF('Stammdaten - Schwimmer'!$D21&lt;DATE(2007,7,20),A25,)</f>
        <v>19</v>
      </c>
      <c r="W25" s="31" t="n">
        <f aca="false">IF('Stammdaten - Schwimmer'!$D21&lt;DATE(2007,7,20),B25,)</f>
        <v>0</v>
      </c>
      <c r="X25" s="31" t="n">
        <f aca="false">IF('Stammdaten - Schwimmer'!$D21&lt;DATE(2007,7,20),C25,)</f>
        <v>0</v>
      </c>
      <c r="Y25" s="32" t="n">
        <f aca="false">IF('Stammdaten - Schwimmer'!$D21&lt;DATE(2007,7,20),D25,)</f>
        <v>0</v>
      </c>
      <c r="Z25" s="48" t="n">
        <f aca="false">IF('Stammdaten - Schwimmer'!$D21&lt;DATE(2007,7,20),'Stammdaten - Schwimmer'!F21,)</f>
        <v>0</v>
      </c>
      <c r="AA25" s="0" t="e">
        <f aca="false">_xlfn.RANK.EQ(Z25,Z$4:Z$103,0)</f>
        <v>#REF!</v>
      </c>
    </row>
    <row r="26" customFormat="false" ht="15" hidden="false" customHeight="false" outlineLevel="0" collapsed="false">
      <c r="A26" s="46" t="n">
        <f aca="false">'Stammdaten - Schwimmer'!A22</f>
        <v>20</v>
      </c>
      <c r="B26" s="47" t="n">
        <f aca="false">'Stammdaten - Schwimmer'!B22</f>
        <v>0</v>
      </c>
      <c r="C26" s="47" t="n">
        <f aca="false">'Stammdaten - Schwimmer'!C22</f>
        <v>0</v>
      </c>
      <c r="D26" s="32" t="n">
        <f aca="false">'Stammdaten - Schwimmer'!J22+'Stammdaten - Schwimmer'!N22+'Stammdaten - Schwimmer'!R22+'Stammdaten - Schwimmer'!V22+'Stammdaten - Schwimmer'!Z23</f>
        <v>0</v>
      </c>
      <c r="E26" s="48" t="n">
        <f aca="false">'Stammdaten - Schwimmer'!F22</f>
        <v>0</v>
      </c>
      <c r="H26" s="31" t="n">
        <f aca="false">IF('Stammdaten - Schwimmer'!D22&gt;DATE(2011,7,20),A26,)</f>
        <v>0</v>
      </c>
      <c r="I26" s="31" t="n">
        <f aca="false">IF('Stammdaten - Schwimmer'!$D22&gt;DATE(2011,7,20),B26,)</f>
        <v>0</v>
      </c>
      <c r="J26" s="31" t="n">
        <f aca="false">IF('Stammdaten - Schwimmer'!$D22&gt;DATE(2011,7,20),C26,)</f>
        <v>0</v>
      </c>
      <c r="K26" s="32" t="n">
        <f aca="false">IF('Stammdaten - Schwimmer'!$D22&gt;DATE(2011,7,20),D26,)</f>
        <v>0</v>
      </c>
      <c r="L26" s="31" t="n">
        <f aca="false">IF('Stammdaten - Schwimmer'!$D22&gt;DATE(2011,7,20),'Stammdaten - Schwimmer'!F22,)</f>
        <v>0</v>
      </c>
      <c r="M26" s="0" t="e">
        <f aca="false">_xlfn.RANK.EQ(L26,L$4:L$103,0)</f>
        <v>#REF!</v>
      </c>
      <c r="O26" s="31" t="n">
        <f aca="false">IF(AND('Stammdaten - Schwimmer'!$D22&lt;DATE(2011,7,20),'Stammdaten - Schwimmer'!$D22&gt;DATE(2007,7,19)),A26,)</f>
        <v>0</v>
      </c>
      <c r="P26" s="31" t="n">
        <f aca="false">IF(AND('Stammdaten - Schwimmer'!$D22&lt;DATE(2011,7,20),'Stammdaten - Schwimmer'!$D22&gt;DATE(2007,7,19)),B26,)</f>
        <v>0</v>
      </c>
      <c r="Q26" s="31" t="n">
        <f aca="false">IF(AND('Stammdaten - Schwimmer'!$D22&lt;DATE(2011,7,20),'Stammdaten - Schwimmer'!$D22&gt;DATE(2007,7,19)),C26,)</f>
        <v>0</v>
      </c>
      <c r="R26" s="32" t="n">
        <f aca="false">IF(AND('Stammdaten - Schwimmer'!$D22&lt;DATE(2011,7,20),'Stammdaten - Schwimmer'!$D22&gt;DATE(2007,7,19)),D26,)</f>
        <v>0</v>
      </c>
      <c r="S26" s="48" t="n">
        <f aca="false">IF(AND('Stammdaten - Schwimmer'!$D22&lt;DATE(2011,7,20),'Stammdaten - Schwimmer'!$D22&gt;DATE(2007,7,19)),'Stammdaten - Schwimmer'!F22,)</f>
        <v>0</v>
      </c>
      <c r="T26" s="0" t="e">
        <f aca="false">_xlfn.RANK.EQ(S26,S$4:S$103,0)</f>
        <v>#REF!</v>
      </c>
      <c r="V26" s="31" t="n">
        <f aca="false">IF('Stammdaten - Schwimmer'!$D22&lt;DATE(2007,7,20),A26,)</f>
        <v>20</v>
      </c>
      <c r="W26" s="31" t="n">
        <f aca="false">IF('Stammdaten - Schwimmer'!$D22&lt;DATE(2007,7,20),B26,)</f>
        <v>0</v>
      </c>
      <c r="X26" s="31" t="n">
        <f aca="false">IF('Stammdaten - Schwimmer'!$D22&lt;DATE(2007,7,20),C26,)</f>
        <v>0</v>
      </c>
      <c r="Y26" s="32" t="n">
        <f aca="false">IF('Stammdaten - Schwimmer'!$D22&lt;DATE(2007,7,20),D26,)</f>
        <v>0</v>
      </c>
      <c r="Z26" s="48" t="n">
        <f aca="false">IF('Stammdaten - Schwimmer'!$D22&lt;DATE(2007,7,20),'Stammdaten - Schwimmer'!F22,)</f>
        <v>0</v>
      </c>
      <c r="AA26" s="0" t="e">
        <f aca="false">_xlfn.RANK.EQ(Z26,Z$4:Z$103,0)</f>
        <v>#REF!</v>
      </c>
    </row>
    <row r="27" customFormat="false" ht="15" hidden="false" customHeight="false" outlineLevel="0" collapsed="false">
      <c r="A27" s="46" t="n">
        <f aca="false">'Stammdaten - Schwimmer'!A23</f>
        <v>21</v>
      </c>
      <c r="B27" s="47" t="n">
        <f aca="false">'Stammdaten - Schwimmer'!B23</f>
        <v>0</v>
      </c>
      <c r="C27" s="47" t="n">
        <f aca="false">'Stammdaten - Schwimmer'!C23</f>
        <v>0</v>
      </c>
      <c r="D27" s="32" t="n">
        <f aca="false">'Stammdaten - Schwimmer'!J23+'Stammdaten - Schwimmer'!N23+'Stammdaten - Schwimmer'!R23+'Stammdaten - Schwimmer'!V23+'Stammdaten - Schwimmer'!Z24</f>
        <v>0</v>
      </c>
      <c r="E27" s="48" t="n">
        <f aca="false">'Stammdaten - Schwimmer'!F23</f>
        <v>0</v>
      </c>
      <c r="H27" s="31" t="n">
        <f aca="false">IF('Stammdaten - Schwimmer'!D23&gt;DATE(2011,7,20),A27,)</f>
        <v>0</v>
      </c>
      <c r="I27" s="31" t="n">
        <f aca="false">IF('Stammdaten - Schwimmer'!$D23&gt;DATE(2011,7,20),B27,)</f>
        <v>0</v>
      </c>
      <c r="J27" s="31" t="n">
        <f aca="false">IF('Stammdaten - Schwimmer'!$D23&gt;DATE(2011,7,20),C27,)</f>
        <v>0</v>
      </c>
      <c r="K27" s="32" t="n">
        <f aca="false">IF('Stammdaten - Schwimmer'!$D23&gt;DATE(2011,7,20),D27,)</f>
        <v>0</v>
      </c>
      <c r="L27" s="31" t="n">
        <f aca="false">IF('Stammdaten - Schwimmer'!$D23&gt;DATE(2011,7,20),'Stammdaten - Schwimmer'!F23,)</f>
        <v>0</v>
      </c>
      <c r="M27" s="0" t="e">
        <f aca="false">_xlfn.RANK.EQ(L27,L$4:L$103,0)</f>
        <v>#REF!</v>
      </c>
      <c r="O27" s="31" t="n">
        <f aca="false">IF(AND('Stammdaten - Schwimmer'!$D23&lt;DATE(2011,7,20),'Stammdaten - Schwimmer'!$D23&gt;DATE(2007,7,19)),A27,)</f>
        <v>0</v>
      </c>
      <c r="P27" s="31" t="n">
        <f aca="false">IF(AND('Stammdaten - Schwimmer'!$D23&lt;DATE(2011,7,20),'Stammdaten - Schwimmer'!$D23&gt;DATE(2007,7,19)),B27,)</f>
        <v>0</v>
      </c>
      <c r="Q27" s="31" t="n">
        <f aca="false">IF(AND('Stammdaten - Schwimmer'!$D23&lt;DATE(2011,7,20),'Stammdaten - Schwimmer'!$D23&gt;DATE(2007,7,19)),C27,)</f>
        <v>0</v>
      </c>
      <c r="R27" s="32" t="n">
        <f aca="false">IF(AND('Stammdaten - Schwimmer'!$D23&lt;DATE(2011,7,20),'Stammdaten - Schwimmer'!$D23&gt;DATE(2007,7,19)),D27,)</f>
        <v>0</v>
      </c>
      <c r="S27" s="48" t="n">
        <f aca="false">IF(AND('Stammdaten - Schwimmer'!$D23&lt;DATE(2011,7,20),'Stammdaten - Schwimmer'!$D23&gt;DATE(2007,7,19)),'Stammdaten - Schwimmer'!F23,)</f>
        <v>0</v>
      </c>
      <c r="T27" s="0" t="e">
        <f aca="false">_xlfn.RANK.EQ(S27,S$4:S$103,0)</f>
        <v>#REF!</v>
      </c>
      <c r="V27" s="31" t="n">
        <f aca="false">IF('Stammdaten - Schwimmer'!$D23&lt;DATE(2007,7,20),A27,)</f>
        <v>21</v>
      </c>
      <c r="W27" s="31" t="n">
        <f aca="false">IF('Stammdaten - Schwimmer'!$D23&lt;DATE(2007,7,20),B27,)</f>
        <v>0</v>
      </c>
      <c r="X27" s="31" t="n">
        <f aca="false">IF('Stammdaten - Schwimmer'!$D23&lt;DATE(2007,7,20),C27,)</f>
        <v>0</v>
      </c>
      <c r="Y27" s="32" t="n">
        <f aca="false">IF('Stammdaten - Schwimmer'!$D23&lt;DATE(2007,7,20),D27,)</f>
        <v>0</v>
      </c>
      <c r="Z27" s="48" t="n">
        <f aca="false">IF('Stammdaten - Schwimmer'!$D23&lt;DATE(2007,7,20),'Stammdaten - Schwimmer'!F23,)</f>
        <v>0</v>
      </c>
      <c r="AA27" s="0" t="e">
        <f aca="false">_xlfn.RANK.EQ(Z27,Z$4:Z$103,0)</f>
        <v>#REF!</v>
      </c>
    </row>
    <row r="28" customFormat="false" ht="15" hidden="false" customHeight="false" outlineLevel="0" collapsed="false">
      <c r="A28" s="46" t="n">
        <f aca="false">'Stammdaten - Schwimmer'!A24</f>
        <v>22</v>
      </c>
      <c r="B28" s="47" t="n">
        <f aca="false">'Stammdaten - Schwimmer'!B24</f>
        <v>0</v>
      </c>
      <c r="C28" s="47" t="n">
        <f aca="false">'Stammdaten - Schwimmer'!C24</f>
        <v>0</v>
      </c>
      <c r="D28" s="32" t="n">
        <f aca="false">'Stammdaten - Schwimmer'!J24+'Stammdaten - Schwimmer'!N24+'Stammdaten - Schwimmer'!R24+'Stammdaten - Schwimmer'!V24+'Stammdaten - Schwimmer'!Z25</f>
        <v>0</v>
      </c>
      <c r="E28" s="48" t="n">
        <f aca="false">'Stammdaten - Schwimmer'!F24</f>
        <v>0</v>
      </c>
      <c r="H28" s="31" t="n">
        <f aca="false">IF('Stammdaten - Schwimmer'!D24&gt;DATE(2011,7,20),A28,)</f>
        <v>0</v>
      </c>
      <c r="I28" s="31" t="n">
        <f aca="false">IF('Stammdaten - Schwimmer'!$D24&gt;DATE(2011,7,20),B28,)</f>
        <v>0</v>
      </c>
      <c r="J28" s="31" t="n">
        <f aca="false">IF('Stammdaten - Schwimmer'!$D24&gt;DATE(2011,7,20),C28,)</f>
        <v>0</v>
      </c>
      <c r="K28" s="32" t="n">
        <f aca="false">IF('Stammdaten - Schwimmer'!$D24&gt;DATE(2011,7,20),D28,)</f>
        <v>0</v>
      </c>
      <c r="L28" s="31" t="n">
        <f aca="false">IF('Stammdaten - Schwimmer'!$D24&gt;DATE(2011,7,20),'Stammdaten - Schwimmer'!F24,)</f>
        <v>0</v>
      </c>
      <c r="M28" s="0" t="e">
        <f aca="false">_xlfn.RANK.EQ(L28,L$4:L$103,0)</f>
        <v>#REF!</v>
      </c>
      <c r="O28" s="31" t="n">
        <f aca="false">IF(AND('Stammdaten - Schwimmer'!$D24&lt;DATE(2011,7,20),'Stammdaten - Schwimmer'!$D24&gt;DATE(2007,7,19)),A28,)</f>
        <v>0</v>
      </c>
      <c r="P28" s="31" t="n">
        <f aca="false">IF(AND('Stammdaten - Schwimmer'!$D24&lt;DATE(2011,7,20),'Stammdaten - Schwimmer'!$D24&gt;DATE(2007,7,19)),B28,)</f>
        <v>0</v>
      </c>
      <c r="Q28" s="31" t="n">
        <f aca="false">IF(AND('Stammdaten - Schwimmer'!$D24&lt;DATE(2011,7,20),'Stammdaten - Schwimmer'!$D24&gt;DATE(2007,7,19)),C28,)</f>
        <v>0</v>
      </c>
      <c r="R28" s="32" t="n">
        <f aca="false">IF(AND('Stammdaten - Schwimmer'!$D24&lt;DATE(2011,7,20),'Stammdaten - Schwimmer'!$D24&gt;DATE(2007,7,19)),D28,)</f>
        <v>0</v>
      </c>
      <c r="S28" s="48" t="n">
        <f aca="false">IF(AND('Stammdaten - Schwimmer'!$D24&lt;DATE(2011,7,20),'Stammdaten - Schwimmer'!$D24&gt;DATE(2007,7,19)),'Stammdaten - Schwimmer'!F24,)</f>
        <v>0</v>
      </c>
      <c r="T28" s="0" t="e">
        <f aca="false">_xlfn.RANK.EQ(S28,S$4:S$103,0)</f>
        <v>#REF!</v>
      </c>
      <c r="V28" s="31" t="n">
        <f aca="false">IF('Stammdaten - Schwimmer'!$D24&lt;DATE(2007,7,20),A28,)</f>
        <v>22</v>
      </c>
      <c r="W28" s="31" t="n">
        <f aca="false">IF('Stammdaten - Schwimmer'!$D24&lt;DATE(2007,7,20),B28,)</f>
        <v>0</v>
      </c>
      <c r="X28" s="31" t="n">
        <f aca="false">IF('Stammdaten - Schwimmer'!$D24&lt;DATE(2007,7,20),C28,)</f>
        <v>0</v>
      </c>
      <c r="Y28" s="32" t="n">
        <f aca="false">IF('Stammdaten - Schwimmer'!$D24&lt;DATE(2007,7,20),D28,)</f>
        <v>0</v>
      </c>
      <c r="Z28" s="48" t="n">
        <f aca="false">IF('Stammdaten - Schwimmer'!$D24&lt;DATE(2007,7,20),'Stammdaten - Schwimmer'!F24,)</f>
        <v>0</v>
      </c>
      <c r="AA28" s="0" t="e">
        <f aca="false">_xlfn.RANK.EQ(Z28,Z$4:Z$103,0)</f>
        <v>#REF!</v>
      </c>
    </row>
    <row r="29" customFormat="false" ht="15" hidden="false" customHeight="false" outlineLevel="0" collapsed="false">
      <c r="A29" s="46" t="n">
        <f aca="false">'Stammdaten - Schwimmer'!A25</f>
        <v>23</v>
      </c>
      <c r="B29" s="47" t="n">
        <f aca="false">'Stammdaten - Schwimmer'!B25</f>
        <v>0</v>
      </c>
      <c r="C29" s="47" t="n">
        <f aca="false">'Stammdaten - Schwimmer'!C25</f>
        <v>0</v>
      </c>
      <c r="D29" s="32" t="n">
        <f aca="false">'Stammdaten - Schwimmer'!J25+'Stammdaten - Schwimmer'!N25+'Stammdaten - Schwimmer'!R25+'Stammdaten - Schwimmer'!V25+'Stammdaten - Schwimmer'!Z26</f>
        <v>0</v>
      </c>
      <c r="E29" s="48" t="n">
        <f aca="false">'Stammdaten - Schwimmer'!F25</f>
        <v>0</v>
      </c>
      <c r="H29" s="31" t="n">
        <f aca="false">IF('Stammdaten - Schwimmer'!D25&gt;DATE(2011,7,20),A29,)</f>
        <v>0</v>
      </c>
      <c r="I29" s="31" t="n">
        <f aca="false">IF('Stammdaten - Schwimmer'!$D25&gt;DATE(2011,7,20),B29,)</f>
        <v>0</v>
      </c>
      <c r="J29" s="31" t="n">
        <f aca="false">IF('Stammdaten - Schwimmer'!$D25&gt;DATE(2011,7,20),C29,)</f>
        <v>0</v>
      </c>
      <c r="K29" s="32" t="n">
        <f aca="false">IF('Stammdaten - Schwimmer'!$D25&gt;DATE(2011,7,20),D29,)</f>
        <v>0</v>
      </c>
      <c r="L29" s="31" t="n">
        <f aca="false">IF('Stammdaten - Schwimmer'!$D25&gt;DATE(2011,7,20),'Stammdaten - Schwimmer'!F25,)</f>
        <v>0</v>
      </c>
      <c r="M29" s="0" t="e">
        <f aca="false">_xlfn.RANK.EQ(L29,L$4:L$103,0)</f>
        <v>#REF!</v>
      </c>
      <c r="O29" s="31" t="n">
        <f aca="false">IF(AND('Stammdaten - Schwimmer'!$D25&lt;DATE(2011,7,20),'Stammdaten - Schwimmer'!$D25&gt;DATE(2007,7,19)),A29,)</f>
        <v>0</v>
      </c>
      <c r="P29" s="31" t="n">
        <f aca="false">IF(AND('Stammdaten - Schwimmer'!$D25&lt;DATE(2011,7,20),'Stammdaten - Schwimmer'!$D25&gt;DATE(2007,7,19)),B29,)</f>
        <v>0</v>
      </c>
      <c r="Q29" s="31" t="n">
        <f aca="false">IF(AND('Stammdaten - Schwimmer'!$D25&lt;DATE(2011,7,20),'Stammdaten - Schwimmer'!$D25&gt;DATE(2007,7,19)),C29,)</f>
        <v>0</v>
      </c>
      <c r="R29" s="32" t="n">
        <f aca="false">IF(AND('Stammdaten - Schwimmer'!$D25&lt;DATE(2011,7,20),'Stammdaten - Schwimmer'!$D25&gt;DATE(2007,7,19)),D29,)</f>
        <v>0</v>
      </c>
      <c r="S29" s="48" t="n">
        <f aca="false">IF(AND('Stammdaten - Schwimmer'!$D25&lt;DATE(2011,7,20),'Stammdaten - Schwimmer'!$D25&gt;DATE(2007,7,19)),'Stammdaten - Schwimmer'!F25,)</f>
        <v>0</v>
      </c>
      <c r="T29" s="0" t="e">
        <f aca="false">_xlfn.RANK.EQ(S29,S$4:S$103,0)</f>
        <v>#REF!</v>
      </c>
      <c r="V29" s="31" t="n">
        <f aca="false">IF('Stammdaten - Schwimmer'!$D25&lt;DATE(2007,7,20),A29,)</f>
        <v>23</v>
      </c>
      <c r="W29" s="31" t="n">
        <f aca="false">IF('Stammdaten - Schwimmer'!$D25&lt;DATE(2007,7,20),B29,)</f>
        <v>0</v>
      </c>
      <c r="X29" s="31" t="n">
        <f aca="false">IF('Stammdaten - Schwimmer'!$D25&lt;DATE(2007,7,20),C29,)</f>
        <v>0</v>
      </c>
      <c r="Y29" s="32" t="n">
        <f aca="false">IF('Stammdaten - Schwimmer'!$D25&lt;DATE(2007,7,20),D29,)</f>
        <v>0</v>
      </c>
      <c r="Z29" s="48" t="n">
        <f aca="false">IF('Stammdaten - Schwimmer'!$D25&lt;DATE(2007,7,20),'Stammdaten - Schwimmer'!F25,)</f>
        <v>0</v>
      </c>
      <c r="AA29" s="0" t="e">
        <f aca="false">_xlfn.RANK.EQ(Z29,Z$4:Z$103,0)</f>
        <v>#REF!</v>
      </c>
    </row>
    <row r="30" customFormat="false" ht="15" hidden="false" customHeight="false" outlineLevel="0" collapsed="false">
      <c r="A30" s="46" t="n">
        <f aca="false">'Stammdaten - Schwimmer'!A26</f>
        <v>24</v>
      </c>
      <c r="B30" s="47" t="n">
        <f aca="false">'Stammdaten - Schwimmer'!B26</f>
        <v>0</v>
      </c>
      <c r="C30" s="47" t="n">
        <f aca="false">'Stammdaten - Schwimmer'!C26</f>
        <v>0</v>
      </c>
      <c r="D30" s="32" t="n">
        <f aca="false">'Stammdaten - Schwimmer'!J26+'Stammdaten - Schwimmer'!N26+'Stammdaten - Schwimmer'!R26+'Stammdaten - Schwimmer'!V26+'Stammdaten - Schwimmer'!Z27</f>
        <v>0</v>
      </c>
      <c r="E30" s="48" t="n">
        <f aca="false">'Stammdaten - Schwimmer'!F26</f>
        <v>0</v>
      </c>
      <c r="H30" s="31" t="n">
        <f aca="false">IF('Stammdaten - Schwimmer'!D26&gt;DATE(2011,7,20),A30,)</f>
        <v>0</v>
      </c>
      <c r="I30" s="31" t="n">
        <f aca="false">IF('Stammdaten - Schwimmer'!$D26&gt;DATE(2011,7,20),B30,)</f>
        <v>0</v>
      </c>
      <c r="J30" s="31" t="n">
        <f aca="false">IF('Stammdaten - Schwimmer'!$D26&gt;DATE(2011,7,20),C30,)</f>
        <v>0</v>
      </c>
      <c r="K30" s="32" t="n">
        <f aca="false">IF('Stammdaten - Schwimmer'!$D26&gt;DATE(2011,7,20),D30,)</f>
        <v>0</v>
      </c>
      <c r="L30" s="31" t="n">
        <f aca="false">IF('Stammdaten - Schwimmer'!$D26&gt;DATE(2011,7,20),'Stammdaten - Schwimmer'!F26,)</f>
        <v>0</v>
      </c>
      <c r="M30" s="0" t="e">
        <f aca="false">_xlfn.RANK.EQ(L30,L$4:L$103,0)</f>
        <v>#REF!</v>
      </c>
      <c r="O30" s="31" t="n">
        <f aca="false">IF(AND('Stammdaten - Schwimmer'!$D26&lt;DATE(2011,7,20),'Stammdaten - Schwimmer'!$D26&gt;DATE(2007,7,19)),A30,)</f>
        <v>0</v>
      </c>
      <c r="P30" s="31" t="n">
        <f aca="false">IF(AND('Stammdaten - Schwimmer'!$D26&lt;DATE(2011,7,20),'Stammdaten - Schwimmer'!$D26&gt;DATE(2007,7,19)),B30,)</f>
        <v>0</v>
      </c>
      <c r="Q30" s="31" t="n">
        <f aca="false">IF(AND('Stammdaten - Schwimmer'!$D26&lt;DATE(2011,7,20),'Stammdaten - Schwimmer'!$D26&gt;DATE(2007,7,19)),C30,)</f>
        <v>0</v>
      </c>
      <c r="R30" s="32" t="n">
        <f aca="false">IF(AND('Stammdaten - Schwimmer'!$D26&lt;DATE(2011,7,20),'Stammdaten - Schwimmer'!$D26&gt;DATE(2007,7,19)),D30,)</f>
        <v>0</v>
      </c>
      <c r="S30" s="48" t="n">
        <f aca="false">IF(AND('Stammdaten - Schwimmer'!$D26&lt;DATE(2011,7,20),'Stammdaten - Schwimmer'!$D26&gt;DATE(2007,7,19)),'Stammdaten - Schwimmer'!F26,)</f>
        <v>0</v>
      </c>
      <c r="T30" s="0" t="e">
        <f aca="false">_xlfn.RANK.EQ(S30,S$4:S$103,0)</f>
        <v>#REF!</v>
      </c>
      <c r="V30" s="31" t="n">
        <f aca="false">IF('Stammdaten - Schwimmer'!$D26&lt;DATE(2007,7,20),A30,)</f>
        <v>24</v>
      </c>
      <c r="W30" s="31" t="n">
        <f aca="false">IF('Stammdaten - Schwimmer'!$D26&lt;DATE(2007,7,20),B30,)</f>
        <v>0</v>
      </c>
      <c r="X30" s="31" t="n">
        <f aca="false">IF('Stammdaten - Schwimmer'!$D26&lt;DATE(2007,7,20),C30,)</f>
        <v>0</v>
      </c>
      <c r="Y30" s="32" t="n">
        <f aca="false">IF('Stammdaten - Schwimmer'!$D26&lt;DATE(2007,7,20),D30,)</f>
        <v>0</v>
      </c>
      <c r="Z30" s="48" t="n">
        <f aca="false">IF('Stammdaten - Schwimmer'!$D26&lt;DATE(2007,7,20),'Stammdaten - Schwimmer'!F26,)</f>
        <v>0</v>
      </c>
      <c r="AA30" s="0" t="e">
        <f aca="false">_xlfn.RANK.EQ(Z30,Z$4:Z$103,0)</f>
        <v>#REF!</v>
      </c>
    </row>
    <row r="31" customFormat="false" ht="15" hidden="false" customHeight="false" outlineLevel="0" collapsed="false">
      <c r="A31" s="46" t="n">
        <f aca="false">'Stammdaten - Schwimmer'!A27</f>
        <v>25</v>
      </c>
      <c r="B31" s="47" t="n">
        <f aca="false">'Stammdaten - Schwimmer'!B27</f>
        <v>0</v>
      </c>
      <c r="C31" s="47" t="n">
        <f aca="false">'Stammdaten - Schwimmer'!C27</f>
        <v>0</v>
      </c>
      <c r="D31" s="32" t="n">
        <f aca="false">'Stammdaten - Schwimmer'!J27+'Stammdaten - Schwimmer'!N27+'Stammdaten - Schwimmer'!R27+'Stammdaten - Schwimmer'!V27+'Stammdaten - Schwimmer'!Z28</f>
        <v>0</v>
      </c>
      <c r="E31" s="48" t="n">
        <f aca="false">'Stammdaten - Schwimmer'!F27</f>
        <v>0</v>
      </c>
      <c r="H31" s="31" t="n">
        <f aca="false">IF('Stammdaten - Schwimmer'!D27&gt;DATE(2011,7,20),A31,)</f>
        <v>0</v>
      </c>
      <c r="I31" s="31" t="n">
        <f aca="false">IF('Stammdaten - Schwimmer'!$D27&gt;DATE(2011,7,20),B31,)</f>
        <v>0</v>
      </c>
      <c r="J31" s="31" t="n">
        <f aca="false">IF('Stammdaten - Schwimmer'!$D27&gt;DATE(2011,7,20),C31,)</f>
        <v>0</v>
      </c>
      <c r="K31" s="32" t="n">
        <f aca="false">IF('Stammdaten - Schwimmer'!$D27&gt;DATE(2011,7,20),D31,)</f>
        <v>0</v>
      </c>
      <c r="L31" s="31" t="n">
        <f aca="false">IF('Stammdaten - Schwimmer'!$D27&gt;DATE(2011,7,20),'Stammdaten - Schwimmer'!F27,)</f>
        <v>0</v>
      </c>
      <c r="M31" s="0" t="e">
        <f aca="false">_xlfn.RANK.EQ(L31,L$4:L$103,0)</f>
        <v>#REF!</v>
      </c>
      <c r="O31" s="31" t="n">
        <f aca="false">IF(AND('Stammdaten - Schwimmer'!$D27&lt;DATE(2011,7,20),'Stammdaten - Schwimmer'!$D27&gt;DATE(2007,7,19)),A31,)</f>
        <v>0</v>
      </c>
      <c r="P31" s="31" t="n">
        <f aca="false">IF(AND('Stammdaten - Schwimmer'!$D27&lt;DATE(2011,7,20),'Stammdaten - Schwimmer'!$D27&gt;DATE(2007,7,19)),B31,)</f>
        <v>0</v>
      </c>
      <c r="Q31" s="31" t="n">
        <f aca="false">IF(AND('Stammdaten - Schwimmer'!$D27&lt;DATE(2011,7,20),'Stammdaten - Schwimmer'!$D27&gt;DATE(2007,7,19)),C31,)</f>
        <v>0</v>
      </c>
      <c r="R31" s="32" t="n">
        <f aca="false">IF(AND('Stammdaten - Schwimmer'!$D27&lt;DATE(2011,7,20),'Stammdaten - Schwimmer'!$D27&gt;DATE(2007,7,19)),D31,)</f>
        <v>0</v>
      </c>
      <c r="S31" s="48" t="n">
        <f aca="false">IF(AND('Stammdaten - Schwimmer'!$D27&lt;DATE(2011,7,20),'Stammdaten - Schwimmer'!$D27&gt;DATE(2007,7,19)),'Stammdaten - Schwimmer'!F27,)</f>
        <v>0</v>
      </c>
      <c r="T31" s="0" t="e">
        <f aca="false">_xlfn.RANK.EQ(S31,S$4:S$103,0)</f>
        <v>#REF!</v>
      </c>
      <c r="V31" s="31" t="n">
        <f aca="false">IF('Stammdaten - Schwimmer'!$D27&lt;DATE(2007,7,20),A31,)</f>
        <v>25</v>
      </c>
      <c r="W31" s="31" t="n">
        <f aca="false">IF('Stammdaten - Schwimmer'!$D27&lt;DATE(2007,7,20),B31,)</f>
        <v>0</v>
      </c>
      <c r="X31" s="31" t="n">
        <f aca="false">IF('Stammdaten - Schwimmer'!$D27&lt;DATE(2007,7,20),C31,)</f>
        <v>0</v>
      </c>
      <c r="Y31" s="32" t="n">
        <f aca="false">IF('Stammdaten - Schwimmer'!$D27&lt;DATE(2007,7,20),D31,)</f>
        <v>0</v>
      </c>
      <c r="Z31" s="48" t="n">
        <f aca="false">IF('Stammdaten - Schwimmer'!$D27&lt;DATE(2007,7,20),'Stammdaten - Schwimmer'!F27,)</f>
        <v>0</v>
      </c>
      <c r="AA31" s="0" t="e">
        <f aca="false">_xlfn.RANK.EQ(Z31,Z$4:Z$103,0)</f>
        <v>#REF!</v>
      </c>
    </row>
    <row r="32" customFormat="false" ht="15" hidden="false" customHeight="false" outlineLevel="0" collapsed="false">
      <c r="A32" s="46" t="n">
        <f aca="false">'Stammdaten - Schwimmer'!A28</f>
        <v>26</v>
      </c>
      <c r="B32" s="47" t="str">
        <f aca="false">'Stammdaten - Schwimmer'!B28</f>
        <v>Bauer</v>
      </c>
      <c r="C32" s="47" t="str">
        <f aca="false">'Stammdaten - Schwimmer'!C28</f>
        <v>Tim</v>
      </c>
      <c r="D32" s="32" t="n">
        <f aca="false">'Stammdaten - Schwimmer'!J28+'Stammdaten - Schwimmer'!N28+'Stammdaten - Schwimmer'!R28+'Stammdaten - Schwimmer'!V28+'Stammdaten - Schwimmer'!Z29</f>
        <v>29</v>
      </c>
      <c r="E32" s="48" t="n">
        <f aca="false">'Stammdaten - Schwimmer'!F28</f>
        <v>58</v>
      </c>
      <c r="H32" s="31" t="n">
        <f aca="false">IF('Stammdaten - Schwimmer'!D28&gt;DATE(2011,7,20),A32,)</f>
        <v>0</v>
      </c>
      <c r="I32" s="31" t="n">
        <f aca="false">IF('Stammdaten - Schwimmer'!$D28&gt;DATE(2011,7,20),B32,)</f>
        <v>0</v>
      </c>
      <c r="J32" s="31" t="n">
        <f aca="false">IF('Stammdaten - Schwimmer'!$D28&gt;DATE(2011,7,20),C32,)</f>
        <v>0</v>
      </c>
      <c r="K32" s="32" t="n">
        <f aca="false">IF('Stammdaten - Schwimmer'!$D28&gt;DATE(2011,7,20),D32,)</f>
        <v>0</v>
      </c>
      <c r="L32" s="31" t="n">
        <f aca="false">IF('Stammdaten - Schwimmer'!$D28&gt;DATE(2011,7,20),'Stammdaten - Schwimmer'!F28,)</f>
        <v>0</v>
      </c>
      <c r="M32" s="0" t="e">
        <f aca="false">_xlfn.RANK.EQ(L32,L$4:L$103,0)</f>
        <v>#REF!</v>
      </c>
      <c r="O32" s="31" t="n">
        <f aca="false">IF(AND('Stammdaten - Schwimmer'!$D28&lt;DATE(2011,7,20),'Stammdaten - Schwimmer'!$D28&gt;DATE(2007,7,19)),A32,)</f>
        <v>0</v>
      </c>
      <c r="P32" s="31" t="n">
        <f aca="false">IF(AND('Stammdaten - Schwimmer'!$D28&lt;DATE(2011,7,20),'Stammdaten - Schwimmer'!$D28&gt;DATE(2007,7,19)),B32,)</f>
        <v>0</v>
      </c>
      <c r="Q32" s="31" t="n">
        <f aca="false">IF(AND('Stammdaten - Schwimmer'!$D28&lt;DATE(2011,7,20),'Stammdaten - Schwimmer'!$D28&gt;DATE(2007,7,19)),C32,)</f>
        <v>0</v>
      </c>
      <c r="R32" s="32" t="n">
        <f aca="false">IF(AND('Stammdaten - Schwimmer'!$D28&lt;DATE(2011,7,20),'Stammdaten - Schwimmer'!$D28&gt;DATE(2007,7,19)),D32,)</f>
        <v>0</v>
      </c>
      <c r="S32" s="48" t="n">
        <f aca="false">IF(AND('Stammdaten - Schwimmer'!$D28&lt;DATE(2011,7,20),'Stammdaten - Schwimmer'!$D28&gt;DATE(2007,7,19)),'Stammdaten - Schwimmer'!F28,)</f>
        <v>0</v>
      </c>
      <c r="T32" s="0" t="e">
        <f aca="false">_xlfn.RANK.EQ(S32,S$4:S$103,0)</f>
        <v>#REF!</v>
      </c>
      <c r="V32" s="31" t="n">
        <f aca="false">IF('Stammdaten - Schwimmer'!$D28&lt;DATE(2007,7,20),A32,)</f>
        <v>26</v>
      </c>
      <c r="W32" s="31" t="str">
        <f aca="false">IF('Stammdaten - Schwimmer'!$D28&lt;DATE(2007,7,20),B32,)</f>
        <v>Bauer</v>
      </c>
      <c r="X32" s="31" t="str">
        <f aca="false">IF('Stammdaten - Schwimmer'!$D28&lt;DATE(2007,7,20),C32,)</f>
        <v>Tim</v>
      </c>
      <c r="Y32" s="32" t="n">
        <f aca="false">IF('Stammdaten - Schwimmer'!$D28&lt;DATE(2007,7,20),D32,)</f>
        <v>29</v>
      </c>
      <c r="Z32" s="48" t="n">
        <f aca="false">IF('Stammdaten - Schwimmer'!$D28&lt;DATE(2007,7,20),'Stammdaten - Schwimmer'!F28,)</f>
        <v>58</v>
      </c>
      <c r="AA32" s="0" t="e">
        <f aca="false">_xlfn.RANK.EQ(Z32,Z$4:Z$103,0)</f>
        <v>#REF!</v>
      </c>
    </row>
    <row r="33" customFormat="false" ht="15" hidden="false" customHeight="false" outlineLevel="0" collapsed="false">
      <c r="A33" s="46" t="n">
        <f aca="false">'Stammdaten - Schwimmer'!A29</f>
        <v>27</v>
      </c>
      <c r="B33" s="47" t="n">
        <f aca="false">'Stammdaten - Schwimmer'!B29</f>
        <v>0</v>
      </c>
      <c r="C33" s="47" t="n">
        <f aca="false">'Stammdaten - Schwimmer'!C29</f>
        <v>0</v>
      </c>
      <c r="D33" s="32" t="n">
        <f aca="false">'Stammdaten - Schwimmer'!J29+'Stammdaten - Schwimmer'!N29+'Stammdaten - Schwimmer'!R29+'Stammdaten - Schwimmer'!V29+'Stammdaten - Schwimmer'!Z30</f>
        <v>0</v>
      </c>
      <c r="E33" s="48" t="n">
        <f aca="false">'Stammdaten - Schwimmer'!F29</f>
        <v>0</v>
      </c>
      <c r="H33" s="31" t="n">
        <f aca="false">IF('Stammdaten - Schwimmer'!D29&gt;DATE(2011,7,20),A33,)</f>
        <v>0</v>
      </c>
      <c r="I33" s="31" t="n">
        <f aca="false">IF('Stammdaten - Schwimmer'!$D29&gt;DATE(2011,7,20),B33,)</f>
        <v>0</v>
      </c>
      <c r="J33" s="31" t="n">
        <f aca="false">IF('Stammdaten - Schwimmer'!$D29&gt;DATE(2011,7,20),C33,)</f>
        <v>0</v>
      </c>
      <c r="K33" s="32" t="n">
        <f aca="false">IF('Stammdaten - Schwimmer'!$D29&gt;DATE(2011,7,20),D33,)</f>
        <v>0</v>
      </c>
      <c r="L33" s="31" t="n">
        <f aca="false">IF('Stammdaten - Schwimmer'!$D29&gt;DATE(2011,7,20),'Stammdaten - Schwimmer'!F29,)</f>
        <v>0</v>
      </c>
      <c r="M33" s="0" t="e">
        <f aca="false">_xlfn.RANK.EQ(L33,L$4:L$103,0)</f>
        <v>#REF!</v>
      </c>
      <c r="O33" s="31" t="n">
        <f aca="false">IF(AND('Stammdaten - Schwimmer'!$D29&lt;DATE(2011,7,20),'Stammdaten - Schwimmer'!$D29&gt;DATE(2007,7,19)),A33,)</f>
        <v>0</v>
      </c>
      <c r="P33" s="31" t="n">
        <f aca="false">IF(AND('Stammdaten - Schwimmer'!$D29&lt;DATE(2011,7,20),'Stammdaten - Schwimmer'!$D29&gt;DATE(2007,7,19)),B33,)</f>
        <v>0</v>
      </c>
      <c r="Q33" s="31" t="n">
        <f aca="false">IF(AND('Stammdaten - Schwimmer'!$D29&lt;DATE(2011,7,20),'Stammdaten - Schwimmer'!$D29&gt;DATE(2007,7,19)),C33,)</f>
        <v>0</v>
      </c>
      <c r="R33" s="32" t="n">
        <f aca="false">IF(AND('Stammdaten - Schwimmer'!$D29&lt;DATE(2011,7,20),'Stammdaten - Schwimmer'!$D29&gt;DATE(2007,7,19)),D33,)</f>
        <v>0</v>
      </c>
      <c r="S33" s="48" t="n">
        <f aca="false">IF(AND('Stammdaten - Schwimmer'!$D29&lt;DATE(2011,7,20),'Stammdaten - Schwimmer'!$D29&gt;DATE(2007,7,19)),'Stammdaten - Schwimmer'!F29,)</f>
        <v>0</v>
      </c>
      <c r="T33" s="0" t="e">
        <f aca="false">_xlfn.RANK.EQ(S33,S$4:S$103,0)</f>
        <v>#REF!</v>
      </c>
      <c r="V33" s="31" t="n">
        <f aca="false">IF('Stammdaten - Schwimmer'!$D29&lt;DATE(2007,7,20),A33,)</f>
        <v>27</v>
      </c>
      <c r="W33" s="31" t="n">
        <f aca="false">IF('Stammdaten - Schwimmer'!$D29&lt;DATE(2007,7,20),B33,)</f>
        <v>0</v>
      </c>
      <c r="X33" s="31" t="n">
        <f aca="false">IF('Stammdaten - Schwimmer'!$D29&lt;DATE(2007,7,20),C33,)</f>
        <v>0</v>
      </c>
      <c r="Y33" s="32" t="n">
        <f aca="false">IF('Stammdaten - Schwimmer'!$D29&lt;DATE(2007,7,20),D33,)</f>
        <v>0</v>
      </c>
      <c r="Z33" s="48" t="n">
        <f aca="false">IF('Stammdaten - Schwimmer'!$D29&lt;DATE(2007,7,20),'Stammdaten - Schwimmer'!F29,)</f>
        <v>0</v>
      </c>
      <c r="AA33" s="0" t="e">
        <f aca="false">_xlfn.RANK.EQ(Z33,Z$4:Z$103,0)</f>
        <v>#REF!</v>
      </c>
    </row>
    <row r="34" customFormat="false" ht="15" hidden="false" customHeight="false" outlineLevel="0" collapsed="false">
      <c r="A34" s="46" t="n">
        <f aca="false">'Stammdaten - Schwimmer'!A30</f>
        <v>28</v>
      </c>
      <c r="B34" s="47" t="n">
        <f aca="false">'Stammdaten - Schwimmer'!B30</f>
        <v>0</v>
      </c>
      <c r="C34" s="47" t="n">
        <f aca="false">'Stammdaten - Schwimmer'!C30</f>
        <v>0</v>
      </c>
      <c r="D34" s="32" t="n">
        <f aca="false">'Stammdaten - Schwimmer'!J30+'Stammdaten - Schwimmer'!N30+'Stammdaten - Schwimmer'!R30+'Stammdaten - Schwimmer'!V30+'Stammdaten - Schwimmer'!Z31</f>
        <v>0</v>
      </c>
      <c r="E34" s="48" t="n">
        <f aca="false">'Stammdaten - Schwimmer'!F30</f>
        <v>0</v>
      </c>
      <c r="H34" s="31" t="n">
        <f aca="false">IF('Stammdaten - Schwimmer'!D30&gt;DATE(2011,7,20),A34,)</f>
        <v>0</v>
      </c>
      <c r="I34" s="31" t="n">
        <f aca="false">IF('Stammdaten - Schwimmer'!$D30&gt;DATE(2011,7,20),B34,)</f>
        <v>0</v>
      </c>
      <c r="J34" s="31" t="n">
        <f aca="false">IF('Stammdaten - Schwimmer'!$D30&gt;DATE(2011,7,20),C34,)</f>
        <v>0</v>
      </c>
      <c r="K34" s="32" t="n">
        <f aca="false">IF('Stammdaten - Schwimmer'!$D30&gt;DATE(2011,7,20),D34,)</f>
        <v>0</v>
      </c>
      <c r="L34" s="31" t="n">
        <f aca="false">IF('Stammdaten - Schwimmer'!$D30&gt;DATE(2011,7,20),'Stammdaten - Schwimmer'!F30,)</f>
        <v>0</v>
      </c>
      <c r="M34" s="0" t="e">
        <f aca="false">_xlfn.RANK.EQ(L34,L$4:L$103,0)</f>
        <v>#REF!</v>
      </c>
      <c r="O34" s="31" t="n">
        <f aca="false">IF(AND('Stammdaten - Schwimmer'!$D30&lt;DATE(2011,7,20),'Stammdaten - Schwimmer'!$D30&gt;DATE(2007,7,19)),A34,)</f>
        <v>0</v>
      </c>
      <c r="P34" s="31" t="n">
        <f aca="false">IF(AND('Stammdaten - Schwimmer'!$D30&lt;DATE(2011,7,20),'Stammdaten - Schwimmer'!$D30&gt;DATE(2007,7,19)),B34,)</f>
        <v>0</v>
      </c>
      <c r="Q34" s="31" t="n">
        <f aca="false">IF(AND('Stammdaten - Schwimmer'!$D30&lt;DATE(2011,7,20),'Stammdaten - Schwimmer'!$D30&gt;DATE(2007,7,19)),C34,)</f>
        <v>0</v>
      </c>
      <c r="R34" s="32" t="n">
        <f aca="false">IF(AND('Stammdaten - Schwimmer'!$D30&lt;DATE(2011,7,20),'Stammdaten - Schwimmer'!$D30&gt;DATE(2007,7,19)),D34,)</f>
        <v>0</v>
      </c>
      <c r="S34" s="48" t="n">
        <f aca="false">IF(AND('Stammdaten - Schwimmer'!$D30&lt;DATE(2011,7,20),'Stammdaten - Schwimmer'!$D30&gt;DATE(2007,7,19)),'Stammdaten - Schwimmer'!F30,)</f>
        <v>0</v>
      </c>
      <c r="T34" s="0" t="e">
        <f aca="false">_xlfn.RANK.EQ(S34,S$4:S$103,0)</f>
        <v>#REF!</v>
      </c>
      <c r="V34" s="31" t="n">
        <f aca="false">IF('Stammdaten - Schwimmer'!$D30&lt;DATE(2007,7,20),A34,)</f>
        <v>28</v>
      </c>
      <c r="W34" s="31" t="n">
        <f aca="false">IF('Stammdaten - Schwimmer'!$D30&lt;DATE(2007,7,20),B34,)</f>
        <v>0</v>
      </c>
      <c r="X34" s="31" t="n">
        <f aca="false">IF('Stammdaten - Schwimmer'!$D30&lt;DATE(2007,7,20),C34,)</f>
        <v>0</v>
      </c>
      <c r="Y34" s="32" t="n">
        <f aca="false">IF('Stammdaten - Schwimmer'!$D30&lt;DATE(2007,7,20),D34,)</f>
        <v>0</v>
      </c>
      <c r="Z34" s="48" t="n">
        <f aca="false">IF('Stammdaten - Schwimmer'!$D30&lt;DATE(2007,7,20),'Stammdaten - Schwimmer'!F30,)</f>
        <v>0</v>
      </c>
      <c r="AA34" s="0" t="e">
        <f aca="false">_xlfn.RANK.EQ(Z34,Z$4:Z$103,0)</f>
        <v>#REF!</v>
      </c>
    </row>
    <row r="35" customFormat="false" ht="15" hidden="false" customHeight="false" outlineLevel="0" collapsed="false">
      <c r="A35" s="46" t="n">
        <f aca="false">'Stammdaten - Schwimmer'!A31</f>
        <v>29</v>
      </c>
      <c r="B35" s="47" t="n">
        <f aca="false">'Stammdaten - Schwimmer'!B31</f>
        <v>0</v>
      </c>
      <c r="C35" s="47" t="n">
        <f aca="false">'Stammdaten - Schwimmer'!C31</f>
        <v>0</v>
      </c>
      <c r="D35" s="32" t="n">
        <f aca="false">'Stammdaten - Schwimmer'!J31+'Stammdaten - Schwimmer'!N31+'Stammdaten - Schwimmer'!R31+'Stammdaten - Schwimmer'!V31+'Stammdaten - Schwimmer'!Z32</f>
        <v>0</v>
      </c>
      <c r="E35" s="48" t="n">
        <f aca="false">'Stammdaten - Schwimmer'!F31</f>
        <v>0</v>
      </c>
      <c r="H35" s="31" t="n">
        <f aca="false">IF('Stammdaten - Schwimmer'!D31&gt;DATE(2011,7,20),A35,)</f>
        <v>0</v>
      </c>
      <c r="I35" s="31" t="n">
        <f aca="false">IF('Stammdaten - Schwimmer'!$D31&gt;DATE(2011,7,20),B35,)</f>
        <v>0</v>
      </c>
      <c r="J35" s="31" t="n">
        <f aca="false">IF('Stammdaten - Schwimmer'!$D31&gt;DATE(2011,7,20),C35,)</f>
        <v>0</v>
      </c>
      <c r="K35" s="32" t="n">
        <f aca="false">IF('Stammdaten - Schwimmer'!$D31&gt;DATE(2011,7,20),D35,)</f>
        <v>0</v>
      </c>
      <c r="L35" s="31" t="n">
        <f aca="false">IF('Stammdaten - Schwimmer'!$D31&gt;DATE(2011,7,20),'Stammdaten - Schwimmer'!F31,)</f>
        <v>0</v>
      </c>
      <c r="M35" s="0" t="e">
        <f aca="false">_xlfn.RANK.EQ(L35,L$4:L$103,0)</f>
        <v>#REF!</v>
      </c>
      <c r="O35" s="31" t="n">
        <f aca="false">IF(AND('Stammdaten - Schwimmer'!$D31&lt;DATE(2011,7,20),'Stammdaten - Schwimmer'!$D31&gt;DATE(2007,7,19)),A35,)</f>
        <v>0</v>
      </c>
      <c r="P35" s="31" t="n">
        <f aca="false">IF(AND('Stammdaten - Schwimmer'!$D31&lt;DATE(2011,7,20),'Stammdaten - Schwimmer'!$D31&gt;DATE(2007,7,19)),B35,)</f>
        <v>0</v>
      </c>
      <c r="Q35" s="31" t="n">
        <f aca="false">IF(AND('Stammdaten - Schwimmer'!$D31&lt;DATE(2011,7,20),'Stammdaten - Schwimmer'!$D31&gt;DATE(2007,7,19)),C35,)</f>
        <v>0</v>
      </c>
      <c r="R35" s="32" t="n">
        <f aca="false">IF(AND('Stammdaten - Schwimmer'!$D31&lt;DATE(2011,7,20),'Stammdaten - Schwimmer'!$D31&gt;DATE(2007,7,19)),D35,)</f>
        <v>0</v>
      </c>
      <c r="S35" s="48" t="n">
        <f aca="false">IF(AND('Stammdaten - Schwimmer'!$D31&lt;DATE(2011,7,20),'Stammdaten - Schwimmer'!$D31&gt;DATE(2007,7,19)),'Stammdaten - Schwimmer'!F31,)</f>
        <v>0</v>
      </c>
      <c r="T35" s="0" t="e">
        <f aca="false">_xlfn.RANK.EQ(S35,S$4:S$103,0)</f>
        <v>#REF!</v>
      </c>
      <c r="V35" s="31" t="n">
        <f aca="false">IF('Stammdaten - Schwimmer'!$D31&lt;DATE(2007,7,20),A35,)</f>
        <v>29</v>
      </c>
      <c r="W35" s="31" t="n">
        <f aca="false">IF('Stammdaten - Schwimmer'!$D31&lt;DATE(2007,7,20),B35,)</f>
        <v>0</v>
      </c>
      <c r="X35" s="31" t="n">
        <f aca="false">IF('Stammdaten - Schwimmer'!$D31&lt;DATE(2007,7,20),C35,)</f>
        <v>0</v>
      </c>
      <c r="Y35" s="32" t="n">
        <f aca="false">IF('Stammdaten - Schwimmer'!$D31&lt;DATE(2007,7,20),D35,)</f>
        <v>0</v>
      </c>
      <c r="Z35" s="48" t="n">
        <f aca="false">IF('Stammdaten - Schwimmer'!$D31&lt;DATE(2007,7,20),'Stammdaten - Schwimmer'!F31,)</f>
        <v>0</v>
      </c>
      <c r="AA35" s="0" t="e">
        <f aca="false">_xlfn.RANK.EQ(Z35,Z$4:Z$103,0)</f>
        <v>#REF!</v>
      </c>
    </row>
    <row r="36" customFormat="false" ht="15" hidden="false" customHeight="false" outlineLevel="0" collapsed="false">
      <c r="A36" s="46" t="n">
        <f aca="false">'Stammdaten - Schwimmer'!A32</f>
        <v>30</v>
      </c>
      <c r="B36" s="47" t="str">
        <f aca="false">'Stammdaten - Schwimmer'!B32</f>
        <v>Kombacher</v>
      </c>
      <c r="C36" s="47" t="str">
        <f aca="false">'Stammdaten - Schwimmer'!C32</f>
        <v>Mia</v>
      </c>
      <c r="D36" s="32" t="n">
        <f aca="false">'Stammdaten - Schwimmer'!J32+'Stammdaten - Schwimmer'!N32+'Stammdaten - Schwimmer'!R32+'Stammdaten - Schwimmer'!V32+'Stammdaten - Schwimmer'!Z33</f>
        <v>80</v>
      </c>
      <c r="E36" s="48" t="n">
        <f aca="false">'Stammdaten - Schwimmer'!F32</f>
        <v>40</v>
      </c>
      <c r="H36" s="31" t="n">
        <f aca="false">IF('Stammdaten - Schwimmer'!D32&gt;DATE(2011,7,20),A36,)</f>
        <v>30</v>
      </c>
      <c r="I36" s="31" t="str">
        <f aca="false">IF('Stammdaten - Schwimmer'!$D32&gt;DATE(2011,7,20),B36,)</f>
        <v>Kombacher</v>
      </c>
      <c r="J36" s="31" t="str">
        <f aca="false">IF('Stammdaten - Schwimmer'!$D32&gt;DATE(2011,7,20),C36,)</f>
        <v>Mia</v>
      </c>
      <c r="K36" s="32" t="n">
        <f aca="false">IF('Stammdaten - Schwimmer'!$D32&gt;DATE(2011,7,20),D36,)</f>
        <v>80</v>
      </c>
      <c r="L36" s="31" t="n">
        <f aca="false">IF('Stammdaten - Schwimmer'!$D32&gt;DATE(2011,7,20),'Stammdaten - Schwimmer'!F32,)</f>
        <v>40</v>
      </c>
      <c r="M36" s="0" t="e">
        <f aca="false">_xlfn.RANK.EQ(L36,L$4:L$103,0)</f>
        <v>#REF!</v>
      </c>
      <c r="O36" s="31" t="n">
        <f aca="false">IF(AND('Stammdaten - Schwimmer'!$D32&lt;DATE(2011,7,20),'Stammdaten - Schwimmer'!$D32&gt;DATE(2007,7,19)),A36,)</f>
        <v>0</v>
      </c>
      <c r="P36" s="31" t="n">
        <f aca="false">IF(AND('Stammdaten - Schwimmer'!$D32&lt;DATE(2011,7,20),'Stammdaten - Schwimmer'!$D32&gt;DATE(2007,7,19)),B36,)</f>
        <v>0</v>
      </c>
      <c r="Q36" s="31" t="n">
        <f aca="false">IF(AND('Stammdaten - Schwimmer'!$D32&lt;DATE(2011,7,20),'Stammdaten - Schwimmer'!$D32&gt;DATE(2007,7,19)),C36,)</f>
        <v>0</v>
      </c>
      <c r="R36" s="32" t="n">
        <f aca="false">IF(AND('Stammdaten - Schwimmer'!$D32&lt;DATE(2011,7,20),'Stammdaten - Schwimmer'!$D32&gt;DATE(2007,7,19)),D36,)</f>
        <v>0</v>
      </c>
      <c r="S36" s="48" t="n">
        <f aca="false">IF(AND('Stammdaten - Schwimmer'!$D32&lt;DATE(2011,7,20),'Stammdaten - Schwimmer'!$D32&gt;DATE(2007,7,19)),'Stammdaten - Schwimmer'!F32,)</f>
        <v>0</v>
      </c>
      <c r="T36" s="0" t="e">
        <f aca="false">_xlfn.RANK.EQ(S36,S$4:S$103,0)</f>
        <v>#REF!</v>
      </c>
      <c r="V36" s="31" t="n">
        <f aca="false">IF('Stammdaten - Schwimmer'!$D32&lt;DATE(2007,7,20),A36,)</f>
        <v>0</v>
      </c>
      <c r="W36" s="31" t="n">
        <f aca="false">IF('Stammdaten - Schwimmer'!$D32&lt;DATE(2007,7,20),B36,)</f>
        <v>0</v>
      </c>
      <c r="X36" s="31" t="n">
        <f aca="false">IF('Stammdaten - Schwimmer'!$D32&lt;DATE(2007,7,20),C36,)</f>
        <v>0</v>
      </c>
      <c r="Y36" s="32" t="n">
        <f aca="false">IF('Stammdaten - Schwimmer'!$D32&lt;DATE(2007,7,20),D36,)</f>
        <v>0</v>
      </c>
      <c r="Z36" s="48" t="n">
        <f aca="false">IF('Stammdaten - Schwimmer'!$D32&lt;DATE(2007,7,20),'Stammdaten - Schwimmer'!F32,)</f>
        <v>0</v>
      </c>
      <c r="AA36" s="0" t="e">
        <f aca="false">_xlfn.RANK.EQ(Z36,Z$4:Z$103,0)</f>
        <v>#REF!</v>
      </c>
    </row>
    <row r="37" customFormat="false" ht="15" hidden="false" customHeight="false" outlineLevel="0" collapsed="false">
      <c r="A37" s="46" t="n">
        <f aca="false">'Stammdaten - Schwimmer'!A33</f>
        <v>31</v>
      </c>
      <c r="B37" s="47" t="str">
        <f aca="false">'Stammdaten - Schwimmer'!B33</f>
        <v>Kombacher</v>
      </c>
      <c r="C37" s="47" t="str">
        <f aca="false">'Stammdaten - Schwimmer'!C33</f>
        <v>Anja</v>
      </c>
      <c r="D37" s="32" t="n">
        <f aca="false">'Stammdaten - Schwimmer'!J33+'Stammdaten - Schwimmer'!N33+'Stammdaten - Schwimmer'!R33+'Stammdaten - Schwimmer'!V33+'Stammdaten - Schwimmer'!Z34</f>
        <v>92</v>
      </c>
      <c r="E37" s="48" t="n">
        <f aca="false">'Stammdaten - Schwimmer'!F33</f>
        <v>46</v>
      </c>
      <c r="H37" s="31" t="n">
        <f aca="false">IF('Stammdaten - Schwimmer'!D33&gt;DATE(2011,7,20),A37,)</f>
        <v>0</v>
      </c>
      <c r="I37" s="31" t="n">
        <f aca="false">IF('Stammdaten - Schwimmer'!$D33&gt;DATE(2011,7,20),B37,)</f>
        <v>0</v>
      </c>
      <c r="J37" s="31" t="n">
        <f aca="false">IF('Stammdaten - Schwimmer'!$D33&gt;DATE(2011,7,20),C37,)</f>
        <v>0</v>
      </c>
      <c r="K37" s="32" t="n">
        <f aca="false">IF('Stammdaten - Schwimmer'!$D33&gt;DATE(2011,7,20),D37,)</f>
        <v>0</v>
      </c>
      <c r="L37" s="31" t="n">
        <f aca="false">IF('Stammdaten - Schwimmer'!$D33&gt;DATE(2011,7,20),'Stammdaten - Schwimmer'!F33,)</f>
        <v>0</v>
      </c>
      <c r="M37" s="0" t="e">
        <f aca="false">_xlfn.RANK.EQ(L37,L$4:L$103,0)</f>
        <v>#REF!</v>
      </c>
      <c r="O37" s="31" t="n">
        <f aca="false">IF(AND('Stammdaten - Schwimmer'!$D33&lt;DATE(2011,7,20),'Stammdaten - Schwimmer'!$D33&gt;DATE(2007,7,19)),A37,)</f>
        <v>0</v>
      </c>
      <c r="P37" s="31" t="n">
        <f aca="false">IF(AND('Stammdaten - Schwimmer'!$D33&lt;DATE(2011,7,20),'Stammdaten - Schwimmer'!$D33&gt;DATE(2007,7,19)),B37,)</f>
        <v>0</v>
      </c>
      <c r="Q37" s="31" t="n">
        <f aca="false">IF(AND('Stammdaten - Schwimmer'!$D33&lt;DATE(2011,7,20),'Stammdaten - Schwimmer'!$D33&gt;DATE(2007,7,19)),C37,)</f>
        <v>0</v>
      </c>
      <c r="R37" s="32" t="n">
        <f aca="false">IF(AND('Stammdaten - Schwimmer'!$D33&lt;DATE(2011,7,20),'Stammdaten - Schwimmer'!$D33&gt;DATE(2007,7,19)),D37,)</f>
        <v>0</v>
      </c>
      <c r="S37" s="48" t="n">
        <f aca="false">IF(AND('Stammdaten - Schwimmer'!$D33&lt;DATE(2011,7,20),'Stammdaten - Schwimmer'!$D33&gt;DATE(2007,7,19)),'Stammdaten - Schwimmer'!F33,)</f>
        <v>0</v>
      </c>
      <c r="T37" s="0" t="e">
        <f aca="false">_xlfn.RANK.EQ(S37,S$4:S$103,0)</f>
        <v>#REF!</v>
      </c>
      <c r="V37" s="31" t="n">
        <f aca="false">IF('Stammdaten - Schwimmer'!$D33&lt;DATE(2007,7,20),A37,)</f>
        <v>31</v>
      </c>
      <c r="W37" s="31" t="str">
        <f aca="false">IF('Stammdaten - Schwimmer'!$D33&lt;DATE(2007,7,20),B37,)</f>
        <v>Kombacher</v>
      </c>
      <c r="X37" s="31" t="str">
        <f aca="false">IF('Stammdaten - Schwimmer'!$D33&lt;DATE(2007,7,20),C37,)</f>
        <v>Anja</v>
      </c>
      <c r="Y37" s="32" t="n">
        <f aca="false">IF('Stammdaten - Schwimmer'!$D33&lt;DATE(2007,7,20),D37,)</f>
        <v>92</v>
      </c>
      <c r="Z37" s="48" t="n">
        <f aca="false">IF('Stammdaten - Schwimmer'!$D33&lt;DATE(2007,7,20),'Stammdaten - Schwimmer'!F33,)</f>
        <v>46</v>
      </c>
      <c r="AA37" s="0" t="e">
        <f aca="false">_xlfn.RANK.EQ(Z37,Z$4:Z$103,0)</f>
        <v>#REF!</v>
      </c>
    </row>
    <row r="38" customFormat="false" ht="15" hidden="false" customHeight="false" outlineLevel="0" collapsed="false">
      <c r="A38" s="46" t="n">
        <f aca="false">'Stammdaten - Schwimmer'!A34</f>
        <v>32</v>
      </c>
      <c r="B38" s="47" t="n">
        <f aca="false">'Stammdaten - Schwimmer'!B34</f>
        <v>0</v>
      </c>
      <c r="C38" s="47" t="n">
        <f aca="false">'Stammdaten - Schwimmer'!C34</f>
        <v>0</v>
      </c>
      <c r="D38" s="32" t="n">
        <f aca="false">'Stammdaten - Schwimmer'!J34+'Stammdaten - Schwimmer'!N34+'Stammdaten - Schwimmer'!R34+'Stammdaten - Schwimmer'!V34+'Stammdaten - Schwimmer'!Z35</f>
        <v>0</v>
      </c>
      <c r="E38" s="48" t="n">
        <f aca="false">'Stammdaten - Schwimmer'!F34</f>
        <v>0</v>
      </c>
      <c r="H38" s="31" t="n">
        <f aca="false">IF('Stammdaten - Schwimmer'!D34&gt;DATE(2011,7,20),A38,)</f>
        <v>0</v>
      </c>
      <c r="I38" s="31" t="n">
        <f aca="false">IF('Stammdaten - Schwimmer'!$D34&gt;DATE(2011,7,20),B38,)</f>
        <v>0</v>
      </c>
      <c r="J38" s="31" t="n">
        <f aca="false">IF('Stammdaten - Schwimmer'!$D34&gt;DATE(2011,7,20),C38,)</f>
        <v>0</v>
      </c>
      <c r="K38" s="32" t="n">
        <f aca="false">IF('Stammdaten - Schwimmer'!$D34&gt;DATE(2011,7,20),D38,)</f>
        <v>0</v>
      </c>
      <c r="L38" s="31" t="n">
        <f aca="false">IF('Stammdaten - Schwimmer'!$D34&gt;DATE(2011,7,20),'Stammdaten - Schwimmer'!F34,)</f>
        <v>0</v>
      </c>
      <c r="M38" s="0" t="e">
        <f aca="false">_xlfn.RANK.EQ(L38,L$4:L$103,0)</f>
        <v>#REF!</v>
      </c>
      <c r="O38" s="31" t="n">
        <f aca="false">IF(AND('Stammdaten - Schwimmer'!$D34&lt;DATE(2011,7,20),'Stammdaten - Schwimmer'!$D34&gt;DATE(2007,7,19)),A38,)</f>
        <v>0</v>
      </c>
      <c r="P38" s="31" t="n">
        <f aca="false">IF(AND('Stammdaten - Schwimmer'!$D34&lt;DATE(2011,7,20),'Stammdaten - Schwimmer'!$D34&gt;DATE(2007,7,19)),B38,)</f>
        <v>0</v>
      </c>
      <c r="Q38" s="31" t="n">
        <f aca="false">IF(AND('Stammdaten - Schwimmer'!$D34&lt;DATE(2011,7,20),'Stammdaten - Schwimmer'!$D34&gt;DATE(2007,7,19)),C38,)</f>
        <v>0</v>
      </c>
      <c r="R38" s="32" t="n">
        <f aca="false">IF(AND('Stammdaten - Schwimmer'!$D34&lt;DATE(2011,7,20),'Stammdaten - Schwimmer'!$D34&gt;DATE(2007,7,19)),D38,)</f>
        <v>0</v>
      </c>
      <c r="S38" s="48" t="n">
        <f aca="false">IF(AND('Stammdaten - Schwimmer'!$D34&lt;DATE(2011,7,20),'Stammdaten - Schwimmer'!$D34&gt;DATE(2007,7,19)),'Stammdaten - Schwimmer'!F34,)</f>
        <v>0</v>
      </c>
      <c r="T38" s="0" t="e">
        <f aca="false">_xlfn.RANK.EQ(S38,S$4:S$103,0)</f>
        <v>#REF!</v>
      </c>
      <c r="V38" s="31" t="n">
        <f aca="false">IF('Stammdaten - Schwimmer'!$D34&lt;DATE(2007,7,20),A38,)</f>
        <v>32</v>
      </c>
      <c r="W38" s="31" t="n">
        <f aca="false">IF('Stammdaten - Schwimmer'!$D34&lt;DATE(2007,7,20),B38,)</f>
        <v>0</v>
      </c>
      <c r="X38" s="31" t="n">
        <f aca="false">IF('Stammdaten - Schwimmer'!$D34&lt;DATE(2007,7,20),C38,)</f>
        <v>0</v>
      </c>
      <c r="Y38" s="32" t="n">
        <f aca="false">IF('Stammdaten - Schwimmer'!$D34&lt;DATE(2007,7,20),D38,)</f>
        <v>0</v>
      </c>
      <c r="Z38" s="48" t="n">
        <f aca="false">IF('Stammdaten - Schwimmer'!$D34&lt;DATE(2007,7,20),'Stammdaten - Schwimmer'!F34,)</f>
        <v>0</v>
      </c>
      <c r="AA38" s="0" t="e">
        <f aca="false">_xlfn.RANK.EQ(Z38,Z$4:Z$103,0)</f>
        <v>#REF!</v>
      </c>
    </row>
    <row r="39" customFormat="false" ht="15" hidden="false" customHeight="false" outlineLevel="0" collapsed="false">
      <c r="A39" s="46" t="n">
        <f aca="false">'Stammdaten - Schwimmer'!A35</f>
        <v>33</v>
      </c>
      <c r="B39" s="47" t="str">
        <f aca="false">'Stammdaten - Schwimmer'!B35</f>
        <v>Kombacher</v>
      </c>
      <c r="C39" s="47" t="str">
        <f aca="false">'Stammdaten - Schwimmer'!C35</f>
        <v>Lea</v>
      </c>
      <c r="D39" s="32" t="n">
        <f aca="false">'Stammdaten - Schwimmer'!J35+'Stammdaten - Schwimmer'!N35+'Stammdaten - Schwimmer'!R35+'Stammdaten - Schwimmer'!V35+'Stammdaten - Schwimmer'!Z36</f>
        <v>108</v>
      </c>
      <c r="E39" s="48" t="n">
        <f aca="false">'Stammdaten - Schwimmer'!F35</f>
        <v>54</v>
      </c>
      <c r="H39" s="31" t="n">
        <f aca="false">IF('Stammdaten - Schwimmer'!D35&gt;DATE(2011,7,20),A39,)</f>
        <v>33</v>
      </c>
      <c r="I39" s="31" t="str">
        <f aca="false">IF('Stammdaten - Schwimmer'!$D35&gt;DATE(2011,7,20),B39,)</f>
        <v>Kombacher</v>
      </c>
      <c r="J39" s="31" t="str">
        <f aca="false">IF('Stammdaten - Schwimmer'!$D35&gt;DATE(2011,7,20),C39,)</f>
        <v>Lea</v>
      </c>
      <c r="K39" s="32" t="n">
        <f aca="false">IF('Stammdaten - Schwimmer'!$D35&gt;DATE(2011,7,20),D39,)</f>
        <v>108</v>
      </c>
      <c r="L39" s="31" t="n">
        <f aca="false">IF('Stammdaten - Schwimmer'!$D35&gt;DATE(2011,7,20),'Stammdaten - Schwimmer'!F35,)</f>
        <v>54</v>
      </c>
      <c r="M39" s="0" t="e">
        <f aca="false">_xlfn.RANK.EQ(L39,L$4:L$103,0)</f>
        <v>#REF!</v>
      </c>
      <c r="O39" s="31" t="n">
        <f aca="false">IF(AND('Stammdaten - Schwimmer'!$D35&lt;DATE(2011,7,20),'Stammdaten - Schwimmer'!$D35&gt;DATE(2007,7,19)),A39,)</f>
        <v>0</v>
      </c>
      <c r="P39" s="31" t="n">
        <f aca="false">IF(AND('Stammdaten - Schwimmer'!$D35&lt;DATE(2011,7,20),'Stammdaten - Schwimmer'!$D35&gt;DATE(2007,7,19)),B39,)</f>
        <v>0</v>
      </c>
      <c r="Q39" s="31" t="n">
        <f aca="false">IF(AND('Stammdaten - Schwimmer'!$D35&lt;DATE(2011,7,20),'Stammdaten - Schwimmer'!$D35&gt;DATE(2007,7,19)),C39,)</f>
        <v>0</v>
      </c>
      <c r="R39" s="32" t="n">
        <f aca="false">IF(AND('Stammdaten - Schwimmer'!$D35&lt;DATE(2011,7,20),'Stammdaten - Schwimmer'!$D35&gt;DATE(2007,7,19)),D39,)</f>
        <v>0</v>
      </c>
      <c r="S39" s="48" t="n">
        <f aca="false">IF(AND('Stammdaten - Schwimmer'!$D35&lt;DATE(2011,7,20),'Stammdaten - Schwimmer'!$D35&gt;DATE(2007,7,19)),'Stammdaten - Schwimmer'!F35,)</f>
        <v>0</v>
      </c>
      <c r="T39" s="0" t="e">
        <f aca="false">_xlfn.RANK.EQ(S39,S$4:S$103,0)</f>
        <v>#REF!</v>
      </c>
      <c r="V39" s="31" t="n">
        <f aca="false">IF('Stammdaten - Schwimmer'!$D35&lt;DATE(2007,7,20),A39,)</f>
        <v>0</v>
      </c>
      <c r="W39" s="31" t="n">
        <f aca="false">IF('Stammdaten - Schwimmer'!$D35&lt;DATE(2007,7,20),B39,)</f>
        <v>0</v>
      </c>
      <c r="X39" s="31" t="n">
        <f aca="false">IF('Stammdaten - Schwimmer'!$D35&lt;DATE(2007,7,20),C39,)</f>
        <v>0</v>
      </c>
      <c r="Y39" s="32" t="n">
        <f aca="false">IF('Stammdaten - Schwimmer'!$D35&lt;DATE(2007,7,20),D39,)</f>
        <v>0</v>
      </c>
      <c r="Z39" s="48" t="n">
        <f aca="false">IF('Stammdaten - Schwimmer'!$D35&lt;DATE(2007,7,20),'Stammdaten - Schwimmer'!F35,)</f>
        <v>0</v>
      </c>
      <c r="AA39" s="0" t="e">
        <f aca="false">_xlfn.RANK.EQ(Z39,Z$4:Z$103,0)</f>
        <v>#REF!</v>
      </c>
    </row>
    <row r="40" customFormat="false" ht="15" hidden="false" customHeight="false" outlineLevel="0" collapsed="false">
      <c r="A40" s="46" t="n">
        <f aca="false">'Stammdaten - Schwimmer'!A36</f>
        <v>34</v>
      </c>
      <c r="B40" s="47" t="n">
        <f aca="false">'Stammdaten - Schwimmer'!B36</f>
        <v>0</v>
      </c>
      <c r="C40" s="47" t="n">
        <f aca="false">'Stammdaten - Schwimmer'!C36</f>
        <v>0</v>
      </c>
      <c r="D40" s="32" t="n">
        <f aca="false">'Stammdaten - Schwimmer'!J36+'Stammdaten - Schwimmer'!N36+'Stammdaten - Schwimmer'!R36+'Stammdaten - Schwimmer'!V36+'Stammdaten - Schwimmer'!Z37</f>
        <v>0</v>
      </c>
      <c r="E40" s="48" t="n">
        <f aca="false">'Stammdaten - Schwimmer'!F36</f>
        <v>0</v>
      </c>
      <c r="H40" s="31" t="n">
        <f aca="false">IF('Stammdaten - Schwimmer'!D36&gt;DATE(2011,7,20),A40,)</f>
        <v>0</v>
      </c>
      <c r="I40" s="31" t="n">
        <f aca="false">IF('Stammdaten - Schwimmer'!$D36&gt;DATE(2011,7,20),B40,)</f>
        <v>0</v>
      </c>
      <c r="J40" s="31" t="n">
        <f aca="false">IF('Stammdaten - Schwimmer'!$D36&gt;DATE(2011,7,20),C40,)</f>
        <v>0</v>
      </c>
      <c r="K40" s="32" t="n">
        <f aca="false">IF('Stammdaten - Schwimmer'!$D36&gt;DATE(2011,7,20),D40,)</f>
        <v>0</v>
      </c>
      <c r="L40" s="31" t="n">
        <f aca="false">IF('Stammdaten - Schwimmer'!$D36&gt;DATE(2011,7,20),'Stammdaten - Schwimmer'!F36,)</f>
        <v>0</v>
      </c>
      <c r="M40" s="0" t="e">
        <f aca="false">_xlfn.RANK.EQ(L40,L$4:L$103,0)</f>
        <v>#REF!</v>
      </c>
      <c r="O40" s="31" t="n">
        <f aca="false">IF(AND('Stammdaten - Schwimmer'!$D36&lt;DATE(2011,7,20),'Stammdaten - Schwimmer'!$D36&gt;DATE(2007,7,19)),A40,)</f>
        <v>0</v>
      </c>
      <c r="P40" s="31" t="n">
        <f aca="false">IF(AND('Stammdaten - Schwimmer'!$D36&lt;DATE(2011,7,20),'Stammdaten - Schwimmer'!$D36&gt;DATE(2007,7,19)),B40,)</f>
        <v>0</v>
      </c>
      <c r="Q40" s="31" t="n">
        <f aca="false">IF(AND('Stammdaten - Schwimmer'!$D36&lt;DATE(2011,7,20),'Stammdaten - Schwimmer'!$D36&gt;DATE(2007,7,19)),C40,)</f>
        <v>0</v>
      </c>
      <c r="R40" s="32" t="n">
        <f aca="false">IF(AND('Stammdaten - Schwimmer'!$D36&lt;DATE(2011,7,20),'Stammdaten - Schwimmer'!$D36&gt;DATE(2007,7,19)),D40,)</f>
        <v>0</v>
      </c>
      <c r="S40" s="48" t="n">
        <f aca="false">IF(AND('Stammdaten - Schwimmer'!$D36&lt;DATE(2011,7,20),'Stammdaten - Schwimmer'!$D36&gt;DATE(2007,7,19)),'Stammdaten - Schwimmer'!F36,)</f>
        <v>0</v>
      </c>
      <c r="T40" s="0" t="e">
        <f aca="false">_xlfn.RANK.EQ(S40,S$4:S$103,0)</f>
        <v>#REF!</v>
      </c>
      <c r="V40" s="31" t="n">
        <f aca="false">IF('Stammdaten - Schwimmer'!$D36&lt;DATE(2007,7,20),A40,)</f>
        <v>34</v>
      </c>
      <c r="W40" s="31" t="n">
        <f aca="false">IF('Stammdaten - Schwimmer'!$D36&lt;DATE(2007,7,20),B40,)</f>
        <v>0</v>
      </c>
      <c r="X40" s="31" t="n">
        <f aca="false">IF('Stammdaten - Schwimmer'!$D36&lt;DATE(2007,7,20),C40,)</f>
        <v>0</v>
      </c>
      <c r="Y40" s="32" t="n">
        <f aca="false">IF('Stammdaten - Schwimmer'!$D36&lt;DATE(2007,7,20),D40,)</f>
        <v>0</v>
      </c>
      <c r="Z40" s="48" t="n">
        <f aca="false">IF('Stammdaten - Schwimmer'!$D36&lt;DATE(2007,7,20),'Stammdaten - Schwimmer'!F36,)</f>
        <v>0</v>
      </c>
      <c r="AA40" s="0" t="e">
        <f aca="false">_xlfn.RANK.EQ(Z40,Z$4:Z$103,0)</f>
        <v>#REF!</v>
      </c>
    </row>
    <row r="41" customFormat="false" ht="15" hidden="false" customHeight="false" outlineLevel="0" collapsed="false">
      <c r="A41" s="46" t="n">
        <f aca="false">'Stammdaten - Schwimmer'!A37</f>
        <v>35</v>
      </c>
      <c r="B41" s="47" t="str">
        <f aca="false">'Stammdaten - Schwimmer'!B37</f>
        <v>Kombacher</v>
      </c>
      <c r="C41" s="47" t="str">
        <f aca="false">'Stammdaten - Schwimmer'!C37</f>
        <v>Sara</v>
      </c>
      <c r="D41" s="32" t="n">
        <f aca="false">'Stammdaten - Schwimmer'!J37+'Stammdaten - Schwimmer'!N37+'Stammdaten - Schwimmer'!R37+'Stammdaten - Schwimmer'!V37+'Stammdaten - Schwimmer'!Z38</f>
        <v>168</v>
      </c>
      <c r="E41" s="48" t="n">
        <f aca="false">'Stammdaten - Schwimmer'!F37</f>
        <v>84</v>
      </c>
      <c r="H41" s="31" t="n">
        <f aca="false">IF('Stammdaten - Schwimmer'!D37&gt;DATE(2011,7,20),A41,)</f>
        <v>35</v>
      </c>
      <c r="I41" s="31" t="str">
        <f aca="false">IF('Stammdaten - Schwimmer'!$D37&gt;DATE(2011,7,20),B41,)</f>
        <v>Kombacher</v>
      </c>
      <c r="J41" s="31" t="str">
        <f aca="false">IF('Stammdaten - Schwimmer'!$D37&gt;DATE(2011,7,20),C41,)</f>
        <v>Sara</v>
      </c>
      <c r="K41" s="32" t="n">
        <f aca="false">IF('Stammdaten - Schwimmer'!$D37&gt;DATE(2011,7,20),D41,)</f>
        <v>168</v>
      </c>
      <c r="L41" s="31" t="n">
        <f aca="false">IF('Stammdaten - Schwimmer'!$D37&gt;DATE(2011,7,20),'Stammdaten - Schwimmer'!F37,)</f>
        <v>84</v>
      </c>
      <c r="M41" s="0" t="e">
        <f aca="false">_xlfn.RANK.EQ(L41,L$4:L$103,0)</f>
        <v>#REF!</v>
      </c>
      <c r="O41" s="31" t="n">
        <f aca="false">IF(AND('Stammdaten - Schwimmer'!$D37&lt;DATE(2011,7,20),'Stammdaten - Schwimmer'!$D37&gt;DATE(2007,7,19)),A41,)</f>
        <v>0</v>
      </c>
      <c r="P41" s="31" t="n">
        <f aca="false">IF(AND('Stammdaten - Schwimmer'!$D37&lt;DATE(2011,7,20),'Stammdaten - Schwimmer'!$D37&gt;DATE(2007,7,19)),B41,)</f>
        <v>0</v>
      </c>
      <c r="Q41" s="31" t="n">
        <f aca="false">IF(AND('Stammdaten - Schwimmer'!$D37&lt;DATE(2011,7,20),'Stammdaten - Schwimmer'!$D37&gt;DATE(2007,7,19)),C41,)</f>
        <v>0</v>
      </c>
      <c r="R41" s="32" t="n">
        <f aca="false">IF(AND('Stammdaten - Schwimmer'!$D37&lt;DATE(2011,7,20),'Stammdaten - Schwimmer'!$D37&gt;DATE(2007,7,19)),D41,)</f>
        <v>0</v>
      </c>
      <c r="S41" s="48" t="n">
        <f aca="false">IF(AND('Stammdaten - Schwimmer'!$D37&lt;DATE(2011,7,20),'Stammdaten - Schwimmer'!$D37&gt;DATE(2007,7,19)),'Stammdaten - Schwimmer'!F37,)</f>
        <v>0</v>
      </c>
      <c r="T41" s="0" t="e">
        <f aca="false">_xlfn.RANK.EQ(S41,S$4:S$103,0)</f>
        <v>#REF!</v>
      </c>
      <c r="V41" s="31" t="n">
        <f aca="false">IF('Stammdaten - Schwimmer'!$D37&lt;DATE(2007,7,20),A41,)</f>
        <v>0</v>
      </c>
      <c r="W41" s="31" t="n">
        <f aca="false">IF('Stammdaten - Schwimmer'!$D37&lt;DATE(2007,7,20),B41,)</f>
        <v>0</v>
      </c>
      <c r="X41" s="31" t="n">
        <f aca="false">IF('Stammdaten - Schwimmer'!$D37&lt;DATE(2007,7,20),C41,)</f>
        <v>0</v>
      </c>
      <c r="Y41" s="32" t="n">
        <f aca="false">IF('Stammdaten - Schwimmer'!$D37&lt;DATE(2007,7,20),D41,)</f>
        <v>0</v>
      </c>
      <c r="Z41" s="48" t="n">
        <f aca="false">IF('Stammdaten - Schwimmer'!$D37&lt;DATE(2007,7,20),'Stammdaten - Schwimmer'!F37,)</f>
        <v>0</v>
      </c>
      <c r="AA41" s="0" t="e">
        <f aca="false">_xlfn.RANK.EQ(Z41,Z$4:Z$103,0)</f>
        <v>#REF!</v>
      </c>
    </row>
    <row r="42" customFormat="false" ht="15" hidden="false" customHeight="false" outlineLevel="0" collapsed="false">
      <c r="A42" s="46" t="n">
        <f aca="false">'Stammdaten - Schwimmer'!A38</f>
        <v>36</v>
      </c>
      <c r="B42" s="47" t="n">
        <f aca="false">'Stammdaten - Schwimmer'!B38</f>
        <v>0</v>
      </c>
      <c r="C42" s="47" t="n">
        <f aca="false">'Stammdaten - Schwimmer'!C38</f>
        <v>0</v>
      </c>
      <c r="D42" s="32" t="n">
        <f aca="false">'Stammdaten - Schwimmer'!J38+'Stammdaten - Schwimmer'!N38+'Stammdaten - Schwimmer'!R38+'Stammdaten - Schwimmer'!V38+'Stammdaten - Schwimmer'!Z39</f>
        <v>0</v>
      </c>
      <c r="E42" s="48" t="n">
        <f aca="false">'Stammdaten - Schwimmer'!F38</f>
        <v>0</v>
      </c>
      <c r="H42" s="31" t="n">
        <f aca="false">IF('Stammdaten - Schwimmer'!D38&gt;DATE(2011,7,20),A42,)</f>
        <v>0</v>
      </c>
      <c r="I42" s="31" t="n">
        <f aca="false">IF('Stammdaten - Schwimmer'!$D38&gt;DATE(2011,7,20),B42,)</f>
        <v>0</v>
      </c>
      <c r="J42" s="31" t="n">
        <f aca="false">IF('Stammdaten - Schwimmer'!$D38&gt;DATE(2011,7,20),C42,)</f>
        <v>0</v>
      </c>
      <c r="K42" s="32" t="n">
        <f aca="false">IF('Stammdaten - Schwimmer'!$D38&gt;DATE(2011,7,20),D42,)</f>
        <v>0</v>
      </c>
      <c r="L42" s="31" t="n">
        <f aca="false">IF('Stammdaten - Schwimmer'!$D38&gt;DATE(2011,7,20),'Stammdaten - Schwimmer'!F38,)</f>
        <v>0</v>
      </c>
      <c r="M42" s="0" t="e">
        <f aca="false">_xlfn.RANK.EQ(L42,L$4:L$103,0)</f>
        <v>#REF!</v>
      </c>
      <c r="O42" s="31" t="n">
        <f aca="false">IF(AND('Stammdaten - Schwimmer'!$D38&lt;DATE(2011,7,20),'Stammdaten - Schwimmer'!$D38&gt;DATE(2007,7,19)),A42,)</f>
        <v>0</v>
      </c>
      <c r="P42" s="31" t="n">
        <f aca="false">IF(AND('Stammdaten - Schwimmer'!$D38&lt;DATE(2011,7,20),'Stammdaten - Schwimmer'!$D38&gt;DATE(2007,7,19)),B42,)</f>
        <v>0</v>
      </c>
      <c r="Q42" s="31" t="n">
        <f aca="false">IF(AND('Stammdaten - Schwimmer'!$D38&lt;DATE(2011,7,20),'Stammdaten - Schwimmer'!$D38&gt;DATE(2007,7,19)),C42,)</f>
        <v>0</v>
      </c>
      <c r="R42" s="32" t="n">
        <f aca="false">IF(AND('Stammdaten - Schwimmer'!$D38&lt;DATE(2011,7,20),'Stammdaten - Schwimmer'!$D38&gt;DATE(2007,7,19)),D42,)</f>
        <v>0</v>
      </c>
      <c r="S42" s="48" t="n">
        <f aca="false">IF(AND('Stammdaten - Schwimmer'!$D38&lt;DATE(2011,7,20),'Stammdaten - Schwimmer'!$D38&gt;DATE(2007,7,19)),'Stammdaten - Schwimmer'!F38,)</f>
        <v>0</v>
      </c>
      <c r="T42" s="0" t="e">
        <f aca="false">_xlfn.RANK.EQ(S42,S$4:S$103,0)</f>
        <v>#REF!</v>
      </c>
      <c r="V42" s="31" t="n">
        <f aca="false">IF('Stammdaten - Schwimmer'!$D38&lt;DATE(2007,7,20),A42,)</f>
        <v>36</v>
      </c>
      <c r="W42" s="31" t="n">
        <f aca="false">IF('Stammdaten - Schwimmer'!$D38&lt;DATE(2007,7,20),B42,)</f>
        <v>0</v>
      </c>
      <c r="X42" s="31" t="n">
        <f aca="false">IF('Stammdaten - Schwimmer'!$D38&lt;DATE(2007,7,20),C42,)</f>
        <v>0</v>
      </c>
      <c r="Y42" s="32" t="n">
        <f aca="false">IF('Stammdaten - Schwimmer'!$D38&lt;DATE(2007,7,20),D42,)</f>
        <v>0</v>
      </c>
      <c r="Z42" s="48" t="n">
        <f aca="false">IF('Stammdaten - Schwimmer'!$D38&lt;DATE(2007,7,20),'Stammdaten - Schwimmer'!F38,)</f>
        <v>0</v>
      </c>
      <c r="AA42" s="0" t="e">
        <f aca="false">_xlfn.RANK.EQ(Z42,Z$4:Z$103,0)</f>
        <v>#REF!</v>
      </c>
    </row>
    <row r="43" customFormat="false" ht="15" hidden="false" customHeight="false" outlineLevel="0" collapsed="false">
      <c r="A43" s="46" t="n">
        <f aca="false">'Stammdaten - Schwimmer'!A39</f>
        <v>37</v>
      </c>
      <c r="B43" s="47" t="n">
        <f aca="false">'Stammdaten - Schwimmer'!B39</f>
        <v>0</v>
      </c>
      <c r="C43" s="47" t="n">
        <f aca="false">'Stammdaten - Schwimmer'!C39</f>
        <v>0</v>
      </c>
      <c r="D43" s="32" t="n">
        <f aca="false">'Stammdaten - Schwimmer'!J39+'Stammdaten - Schwimmer'!N39+'Stammdaten - Schwimmer'!R39+'Stammdaten - Schwimmer'!V39+'Stammdaten - Schwimmer'!Z40</f>
        <v>0</v>
      </c>
      <c r="E43" s="48" t="n">
        <f aca="false">'Stammdaten - Schwimmer'!F39</f>
        <v>0</v>
      </c>
      <c r="H43" s="31" t="n">
        <f aca="false">IF('Stammdaten - Schwimmer'!D39&gt;DATE(2011,7,20),A43,)</f>
        <v>0</v>
      </c>
      <c r="I43" s="31" t="n">
        <f aca="false">IF('Stammdaten - Schwimmer'!$D39&gt;DATE(2011,7,20),B43,)</f>
        <v>0</v>
      </c>
      <c r="J43" s="31" t="n">
        <f aca="false">IF('Stammdaten - Schwimmer'!$D39&gt;DATE(2011,7,20),C43,)</f>
        <v>0</v>
      </c>
      <c r="K43" s="32" t="n">
        <f aca="false">IF('Stammdaten - Schwimmer'!$D39&gt;DATE(2011,7,20),D43,)</f>
        <v>0</v>
      </c>
      <c r="L43" s="31" t="n">
        <f aca="false">IF('Stammdaten - Schwimmer'!$D39&gt;DATE(2011,7,20),'Stammdaten - Schwimmer'!F39,)</f>
        <v>0</v>
      </c>
      <c r="M43" s="0" t="e">
        <f aca="false">_xlfn.RANK.EQ(L43,L$4:L$103,0)</f>
        <v>#REF!</v>
      </c>
      <c r="O43" s="31" t="n">
        <f aca="false">IF(AND('Stammdaten - Schwimmer'!$D39&lt;DATE(2011,7,20),'Stammdaten - Schwimmer'!$D39&gt;DATE(2007,7,19)),A43,)</f>
        <v>0</v>
      </c>
      <c r="P43" s="31" t="n">
        <f aca="false">IF(AND('Stammdaten - Schwimmer'!$D39&lt;DATE(2011,7,20),'Stammdaten - Schwimmer'!$D39&gt;DATE(2007,7,19)),B43,)</f>
        <v>0</v>
      </c>
      <c r="Q43" s="31" t="n">
        <f aca="false">IF(AND('Stammdaten - Schwimmer'!$D39&lt;DATE(2011,7,20),'Stammdaten - Schwimmer'!$D39&gt;DATE(2007,7,19)),C43,)</f>
        <v>0</v>
      </c>
      <c r="R43" s="32" t="n">
        <f aca="false">IF(AND('Stammdaten - Schwimmer'!$D39&lt;DATE(2011,7,20),'Stammdaten - Schwimmer'!$D39&gt;DATE(2007,7,19)),D43,)</f>
        <v>0</v>
      </c>
      <c r="S43" s="48" t="n">
        <f aca="false">IF(AND('Stammdaten - Schwimmer'!$D39&lt;DATE(2011,7,20),'Stammdaten - Schwimmer'!$D39&gt;DATE(2007,7,19)),'Stammdaten - Schwimmer'!F39,)</f>
        <v>0</v>
      </c>
      <c r="T43" s="0" t="e">
        <f aca="false">_xlfn.RANK.EQ(S43,S$4:S$103,0)</f>
        <v>#REF!</v>
      </c>
      <c r="V43" s="31" t="n">
        <f aca="false">IF('Stammdaten - Schwimmer'!$D39&lt;DATE(2007,7,20),A43,)</f>
        <v>37</v>
      </c>
      <c r="W43" s="31" t="n">
        <f aca="false">IF('Stammdaten - Schwimmer'!$D39&lt;DATE(2007,7,20),B43,)</f>
        <v>0</v>
      </c>
      <c r="X43" s="31" t="n">
        <f aca="false">IF('Stammdaten - Schwimmer'!$D39&lt;DATE(2007,7,20),C43,)</f>
        <v>0</v>
      </c>
      <c r="Y43" s="32" t="n">
        <f aca="false">IF('Stammdaten - Schwimmer'!$D39&lt;DATE(2007,7,20),D43,)</f>
        <v>0</v>
      </c>
      <c r="Z43" s="48" t="n">
        <f aca="false">IF('Stammdaten - Schwimmer'!$D39&lt;DATE(2007,7,20),'Stammdaten - Schwimmer'!F39,)</f>
        <v>0</v>
      </c>
      <c r="AA43" s="0" t="e">
        <f aca="false">_xlfn.RANK.EQ(Z43,Z$4:Z$103,0)</f>
        <v>#REF!</v>
      </c>
    </row>
    <row r="44" customFormat="false" ht="15" hidden="false" customHeight="false" outlineLevel="0" collapsed="false">
      <c r="A44" s="46" t="n">
        <f aca="false">'Stammdaten - Schwimmer'!A40</f>
        <v>38</v>
      </c>
      <c r="B44" s="47" t="n">
        <f aca="false">'Stammdaten - Schwimmer'!B40</f>
        <v>0</v>
      </c>
      <c r="C44" s="47" t="n">
        <f aca="false">'Stammdaten - Schwimmer'!C40</f>
        <v>0</v>
      </c>
      <c r="D44" s="32" t="n">
        <f aca="false">'Stammdaten - Schwimmer'!J40+'Stammdaten - Schwimmer'!N40+'Stammdaten - Schwimmer'!R40+'Stammdaten - Schwimmer'!V40+'Stammdaten - Schwimmer'!Z41</f>
        <v>0</v>
      </c>
      <c r="E44" s="48" t="n">
        <f aca="false">'Stammdaten - Schwimmer'!F40</f>
        <v>0</v>
      </c>
      <c r="H44" s="31" t="n">
        <f aca="false">IF('Stammdaten - Schwimmer'!D40&gt;DATE(2011,7,20),A44,)</f>
        <v>0</v>
      </c>
      <c r="I44" s="31" t="n">
        <f aca="false">IF('Stammdaten - Schwimmer'!$D40&gt;DATE(2011,7,20),B44,)</f>
        <v>0</v>
      </c>
      <c r="J44" s="31" t="n">
        <f aca="false">IF('Stammdaten - Schwimmer'!$D40&gt;DATE(2011,7,20),C44,)</f>
        <v>0</v>
      </c>
      <c r="K44" s="32" t="n">
        <f aca="false">IF('Stammdaten - Schwimmer'!$D40&gt;DATE(2011,7,20),D44,)</f>
        <v>0</v>
      </c>
      <c r="L44" s="31" t="n">
        <f aca="false">IF('Stammdaten - Schwimmer'!$D40&gt;DATE(2011,7,20),'Stammdaten - Schwimmer'!F40,)</f>
        <v>0</v>
      </c>
      <c r="M44" s="0" t="e">
        <f aca="false">_xlfn.RANK.EQ(L44,L$4:L$103,0)</f>
        <v>#REF!</v>
      </c>
      <c r="O44" s="31" t="n">
        <f aca="false">IF(AND('Stammdaten - Schwimmer'!$D40&lt;DATE(2011,7,20),'Stammdaten - Schwimmer'!$D40&gt;DATE(2007,7,19)),A44,)</f>
        <v>0</v>
      </c>
      <c r="P44" s="31" t="n">
        <f aca="false">IF(AND('Stammdaten - Schwimmer'!$D40&lt;DATE(2011,7,20),'Stammdaten - Schwimmer'!$D40&gt;DATE(2007,7,19)),B44,)</f>
        <v>0</v>
      </c>
      <c r="Q44" s="31" t="n">
        <f aca="false">IF(AND('Stammdaten - Schwimmer'!$D40&lt;DATE(2011,7,20),'Stammdaten - Schwimmer'!$D40&gt;DATE(2007,7,19)),C44,)</f>
        <v>0</v>
      </c>
      <c r="R44" s="32" t="n">
        <f aca="false">IF(AND('Stammdaten - Schwimmer'!$D40&lt;DATE(2011,7,20),'Stammdaten - Schwimmer'!$D40&gt;DATE(2007,7,19)),D44,)</f>
        <v>0</v>
      </c>
      <c r="S44" s="48" t="n">
        <f aca="false">IF(AND('Stammdaten - Schwimmer'!$D40&lt;DATE(2011,7,20),'Stammdaten - Schwimmer'!$D40&gt;DATE(2007,7,19)),'Stammdaten - Schwimmer'!F40,)</f>
        <v>0</v>
      </c>
      <c r="T44" s="0" t="e">
        <f aca="false">_xlfn.RANK.EQ(S44,S$4:S$103,0)</f>
        <v>#REF!</v>
      </c>
      <c r="V44" s="31" t="n">
        <f aca="false">IF('Stammdaten - Schwimmer'!$D40&lt;DATE(2007,7,20),A44,)</f>
        <v>38</v>
      </c>
      <c r="W44" s="31" t="n">
        <f aca="false">IF('Stammdaten - Schwimmer'!$D40&lt;DATE(2007,7,20),B44,)</f>
        <v>0</v>
      </c>
      <c r="X44" s="31" t="n">
        <f aca="false">IF('Stammdaten - Schwimmer'!$D40&lt;DATE(2007,7,20),C44,)</f>
        <v>0</v>
      </c>
      <c r="Y44" s="32" t="n">
        <f aca="false">IF('Stammdaten - Schwimmer'!$D40&lt;DATE(2007,7,20),D44,)</f>
        <v>0</v>
      </c>
      <c r="Z44" s="48" t="n">
        <f aca="false">IF('Stammdaten - Schwimmer'!$D40&lt;DATE(2007,7,20),'Stammdaten - Schwimmer'!F40,)</f>
        <v>0</v>
      </c>
      <c r="AA44" s="0" t="e">
        <f aca="false">_xlfn.RANK.EQ(Z44,Z$4:Z$103,0)</f>
        <v>#REF!</v>
      </c>
    </row>
    <row r="45" customFormat="false" ht="15" hidden="false" customHeight="false" outlineLevel="0" collapsed="false">
      <c r="A45" s="46" t="n">
        <f aca="false">'Stammdaten - Schwimmer'!A41</f>
        <v>39</v>
      </c>
      <c r="B45" s="47" t="n">
        <f aca="false">'Stammdaten - Schwimmer'!B41</f>
        <v>0</v>
      </c>
      <c r="C45" s="47" t="n">
        <f aca="false">'Stammdaten - Schwimmer'!C41</f>
        <v>0</v>
      </c>
      <c r="D45" s="32" t="n">
        <f aca="false">'Stammdaten - Schwimmer'!J41+'Stammdaten - Schwimmer'!N41+'Stammdaten - Schwimmer'!R41+'Stammdaten - Schwimmer'!V41+'Stammdaten - Schwimmer'!Z42</f>
        <v>0</v>
      </c>
      <c r="E45" s="48" t="n">
        <f aca="false">'Stammdaten - Schwimmer'!F41</f>
        <v>0</v>
      </c>
      <c r="H45" s="31" t="n">
        <f aca="false">IF('Stammdaten - Schwimmer'!D41&gt;DATE(2011,7,20),A45,)</f>
        <v>0</v>
      </c>
      <c r="I45" s="31" t="n">
        <f aca="false">IF('Stammdaten - Schwimmer'!$D41&gt;DATE(2011,7,20),B45,)</f>
        <v>0</v>
      </c>
      <c r="J45" s="31" t="n">
        <f aca="false">IF('Stammdaten - Schwimmer'!$D41&gt;DATE(2011,7,20),C45,)</f>
        <v>0</v>
      </c>
      <c r="K45" s="32" t="n">
        <f aca="false">IF('Stammdaten - Schwimmer'!$D41&gt;DATE(2011,7,20),D45,)</f>
        <v>0</v>
      </c>
      <c r="L45" s="31" t="n">
        <f aca="false">IF('Stammdaten - Schwimmer'!$D41&gt;DATE(2011,7,20),'Stammdaten - Schwimmer'!F41,)</f>
        <v>0</v>
      </c>
      <c r="M45" s="0" t="e">
        <f aca="false">_xlfn.RANK.EQ(L45,L$4:L$103,0)</f>
        <v>#REF!</v>
      </c>
      <c r="O45" s="31" t="n">
        <f aca="false">IF(AND('Stammdaten - Schwimmer'!$D41&lt;DATE(2011,7,20),'Stammdaten - Schwimmer'!$D41&gt;DATE(2007,7,19)),A45,)</f>
        <v>0</v>
      </c>
      <c r="P45" s="31" t="n">
        <f aca="false">IF(AND('Stammdaten - Schwimmer'!$D41&lt;DATE(2011,7,20),'Stammdaten - Schwimmer'!$D41&gt;DATE(2007,7,19)),B45,)</f>
        <v>0</v>
      </c>
      <c r="Q45" s="31" t="n">
        <f aca="false">IF(AND('Stammdaten - Schwimmer'!$D41&lt;DATE(2011,7,20),'Stammdaten - Schwimmer'!$D41&gt;DATE(2007,7,19)),C45,)</f>
        <v>0</v>
      </c>
      <c r="R45" s="32" t="n">
        <f aca="false">IF(AND('Stammdaten - Schwimmer'!$D41&lt;DATE(2011,7,20),'Stammdaten - Schwimmer'!$D41&gt;DATE(2007,7,19)),D45,)</f>
        <v>0</v>
      </c>
      <c r="S45" s="48" t="n">
        <f aca="false">IF(AND('Stammdaten - Schwimmer'!$D41&lt;DATE(2011,7,20),'Stammdaten - Schwimmer'!$D41&gt;DATE(2007,7,19)),'Stammdaten - Schwimmer'!F41,)</f>
        <v>0</v>
      </c>
      <c r="T45" s="0" t="e">
        <f aca="false">_xlfn.RANK.EQ(S45,S$4:S$103,0)</f>
        <v>#REF!</v>
      </c>
      <c r="V45" s="31" t="n">
        <f aca="false">IF('Stammdaten - Schwimmer'!$D41&lt;DATE(2007,7,20),A45,)</f>
        <v>39</v>
      </c>
      <c r="W45" s="31" t="n">
        <f aca="false">IF('Stammdaten - Schwimmer'!$D41&lt;DATE(2007,7,20),B45,)</f>
        <v>0</v>
      </c>
      <c r="X45" s="31" t="n">
        <f aca="false">IF('Stammdaten - Schwimmer'!$D41&lt;DATE(2007,7,20),C45,)</f>
        <v>0</v>
      </c>
      <c r="Y45" s="32" t="n">
        <f aca="false">IF('Stammdaten - Schwimmer'!$D41&lt;DATE(2007,7,20),D45,)</f>
        <v>0</v>
      </c>
      <c r="Z45" s="48" t="n">
        <f aca="false">IF('Stammdaten - Schwimmer'!$D41&lt;DATE(2007,7,20),'Stammdaten - Schwimmer'!F41,)</f>
        <v>0</v>
      </c>
      <c r="AA45" s="0" t="e">
        <f aca="false">_xlfn.RANK.EQ(Z45,Z$4:Z$103,0)</f>
        <v>#REF!</v>
      </c>
    </row>
    <row r="46" customFormat="false" ht="15" hidden="false" customHeight="false" outlineLevel="0" collapsed="false">
      <c r="A46" s="46" t="n">
        <f aca="false">'Stammdaten - Schwimmer'!A42</f>
        <v>40</v>
      </c>
      <c r="B46" s="47" t="n">
        <f aca="false">'Stammdaten - Schwimmer'!B42</f>
        <v>0</v>
      </c>
      <c r="C46" s="47" t="n">
        <f aca="false">'Stammdaten - Schwimmer'!C42</f>
        <v>0</v>
      </c>
      <c r="D46" s="32" t="n">
        <f aca="false">'Stammdaten - Schwimmer'!J42+'Stammdaten - Schwimmer'!N42+'Stammdaten - Schwimmer'!R42+'Stammdaten - Schwimmer'!V42+'Stammdaten - Schwimmer'!Z43</f>
        <v>0</v>
      </c>
      <c r="E46" s="48" t="n">
        <f aca="false">'Stammdaten - Schwimmer'!F42</f>
        <v>0</v>
      </c>
      <c r="H46" s="31" t="n">
        <f aca="false">IF('Stammdaten - Schwimmer'!D42&gt;DATE(2011,7,20),A46,)</f>
        <v>0</v>
      </c>
      <c r="I46" s="31" t="n">
        <f aca="false">IF('Stammdaten - Schwimmer'!$D42&gt;DATE(2011,7,20),B46,)</f>
        <v>0</v>
      </c>
      <c r="J46" s="31" t="n">
        <f aca="false">IF('Stammdaten - Schwimmer'!$D42&gt;DATE(2011,7,20),C46,)</f>
        <v>0</v>
      </c>
      <c r="K46" s="32" t="n">
        <f aca="false">IF('Stammdaten - Schwimmer'!$D42&gt;DATE(2011,7,20),D46,)</f>
        <v>0</v>
      </c>
      <c r="L46" s="31" t="n">
        <f aca="false">IF('Stammdaten - Schwimmer'!$D42&gt;DATE(2011,7,20),'Stammdaten - Schwimmer'!F42,)</f>
        <v>0</v>
      </c>
      <c r="M46" s="0" t="e">
        <f aca="false">_xlfn.RANK.EQ(L46,L$4:L$103,0)</f>
        <v>#REF!</v>
      </c>
      <c r="O46" s="31" t="n">
        <f aca="false">IF(AND('Stammdaten - Schwimmer'!$D42&lt;DATE(2011,7,20),'Stammdaten - Schwimmer'!$D42&gt;DATE(2007,7,19)),A46,)</f>
        <v>0</v>
      </c>
      <c r="P46" s="31" t="n">
        <f aca="false">IF(AND('Stammdaten - Schwimmer'!$D42&lt;DATE(2011,7,20),'Stammdaten - Schwimmer'!$D42&gt;DATE(2007,7,19)),B46,)</f>
        <v>0</v>
      </c>
      <c r="Q46" s="31" t="n">
        <f aca="false">IF(AND('Stammdaten - Schwimmer'!$D42&lt;DATE(2011,7,20),'Stammdaten - Schwimmer'!$D42&gt;DATE(2007,7,19)),C46,)</f>
        <v>0</v>
      </c>
      <c r="R46" s="32" t="n">
        <f aca="false">IF(AND('Stammdaten - Schwimmer'!$D42&lt;DATE(2011,7,20),'Stammdaten - Schwimmer'!$D42&gt;DATE(2007,7,19)),D46,)</f>
        <v>0</v>
      </c>
      <c r="S46" s="48" t="n">
        <f aca="false">IF(AND('Stammdaten - Schwimmer'!$D42&lt;DATE(2011,7,20),'Stammdaten - Schwimmer'!$D42&gt;DATE(2007,7,19)),'Stammdaten - Schwimmer'!F42,)</f>
        <v>0</v>
      </c>
      <c r="T46" s="0" t="e">
        <f aca="false">_xlfn.RANK.EQ(S46,S$4:S$103,0)</f>
        <v>#REF!</v>
      </c>
      <c r="V46" s="31" t="n">
        <f aca="false">IF('Stammdaten - Schwimmer'!$D42&lt;DATE(2007,7,20),A46,)</f>
        <v>40</v>
      </c>
      <c r="W46" s="31" t="n">
        <f aca="false">IF('Stammdaten - Schwimmer'!$D42&lt;DATE(2007,7,20),B46,)</f>
        <v>0</v>
      </c>
      <c r="X46" s="31" t="n">
        <f aca="false">IF('Stammdaten - Schwimmer'!$D42&lt;DATE(2007,7,20),C46,)</f>
        <v>0</v>
      </c>
      <c r="Y46" s="32" t="n">
        <f aca="false">IF('Stammdaten - Schwimmer'!$D42&lt;DATE(2007,7,20),D46,)</f>
        <v>0</v>
      </c>
      <c r="Z46" s="48" t="n">
        <f aca="false">IF('Stammdaten - Schwimmer'!$D42&lt;DATE(2007,7,20),'Stammdaten - Schwimmer'!F42,)</f>
        <v>0</v>
      </c>
      <c r="AA46" s="0" t="e">
        <f aca="false">_xlfn.RANK.EQ(Z46,Z$4:Z$103,0)</f>
        <v>#REF!</v>
      </c>
    </row>
    <row r="47" customFormat="false" ht="15" hidden="false" customHeight="false" outlineLevel="0" collapsed="false">
      <c r="A47" s="46" t="n">
        <f aca="false">'Stammdaten - Schwimmer'!A43</f>
        <v>41</v>
      </c>
      <c r="B47" s="47" t="n">
        <f aca="false">'Stammdaten - Schwimmer'!B43</f>
        <v>0</v>
      </c>
      <c r="C47" s="47" t="n">
        <f aca="false">'Stammdaten - Schwimmer'!C43</f>
        <v>0</v>
      </c>
      <c r="D47" s="32" t="n">
        <f aca="false">'Stammdaten - Schwimmer'!J43+'Stammdaten - Schwimmer'!N43+'Stammdaten - Schwimmer'!R43+'Stammdaten - Schwimmer'!V43+'Stammdaten - Schwimmer'!Z44</f>
        <v>0</v>
      </c>
      <c r="E47" s="48" t="n">
        <f aca="false">'Stammdaten - Schwimmer'!F43</f>
        <v>0</v>
      </c>
      <c r="H47" s="31" t="n">
        <f aca="false">IF('Stammdaten - Schwimmer'!D43&gt;DATE(2011,7,20),A47,)</f>
        <v>0</v>
      </c>
      <c r="I47" s="31" t="n">
        <f aca="false">IF('Stammdaten - Schwimmer'!$D43&gt;DATE(2011,7,20),B47,)</f>
        <v>0</v>
      </c>
      <c r="J47" s="31" t="n">
        <f aca="false">IF('Stammdaten - Schwimmer'!$D43&gt;DATE(2011,7,20),C47,)</f>
        <v>0</v>
      </c>
      <c r="K47" s="32" t="n">
        <f aca="false">IF('Stammdaten - Schwimmer'!$D43&gt;DATE(2011,7,20),D47,)</f>
        <v>0</v>
      </c>
      <c r="L47" s="31" t="n">
        <f aca="false">IF('Stammdaten - Schwimmer'!$D43&gt;DATE(2011,7,20),'Stammdaten - Schwimmer'!F43,)</f>
        <v>0</v>
      </c>
      <c r="M47" s="0" t="e">
        <f aca="false">_xlfn.RANK.EQ(L47,L$4:L$103,0)</f>
        <v>#REF!</v>
      </c>
      <c r="O47" s="31" t="n">
        <f aca="false">IF(AND('Stammdaten - Schwimmer'!$D43&lt;DATE(2011,7,20),'Stammdaten - Schwimmer'!$D43&gt;DATE(2007,7,19)),A47,)</f>
        <v>0</v>
      </c>
      <c r="P47" s="31" t="n">
        <f aca="false">IF(AND('Stammdaten - Schwimmer'!$D43&lt;DATE(2011,7,20),'Stammdaten - Schwimmer'!$D43&gt;DATE(2007,7,19)),B47,)</f>
        <v>0</v>
      </c>
      <c r="Q47" s="31" t="n">
        <f aca="false">IF(AND('Stammdaten - Schwimmer'!$D43&lt;DATE(2011,7,20),'Stammdaten - Schwimmer'!$D43&gt;DATE(2007,7,19)),C47,)</f>
        <v>0</v>
      </c>
      <c r="R47" s="32" t="n">
        <f aca="false">IF(AND('Stammdaten - Schwimmer'!$D43&lt;DATE(2011,7,20),'Stammdaten - Schwimmer'!$D43&gt;DATE(2007,7,19)),D47,)</f>
        <v>0</v>
      </c>
      <c r="S47" s="48" t="n">
        <f aca="false">IF(AND('Stammdaten - Schwimmer'!$D43&lt;DATE(2011,7,20),'Stammdaten - Schwimmer'!$D43&gt;DATE(2007,7,19)),'Stammdaten - Schwimmer'!F43,)</f>
        <v>0</v>
      </c>
      <c r="T47" s="0" t="e">
        <f aca="false">_xlfn.RANK.EQ(S47,S$4:S$103,0)</f>
        <v>#REF!</v>
      </c>
      <c r="V47" s="31" t="n">
        <f aca="false">IF('Stammdaten - Schwimmer'!$D43&lt;DATE(2007,7,20),A47,)</f>
        <v>41</v>
      </c>
      <c r="W47" s="31" t="n">
        <f aca="false">IF('Stammdaten - Schwimmer'!$D43&lt;DATE(2007,7,20),B47,)</f>
        <v>0</v>
      </c>
      <c r="X47" s="31" t="n">
        <f aca="false">IF('Stammdaten - Schwimmer'!$D43&lt;DATE(2007,7,20),C47,)</f>
        <v>0</v>
      </c>
      <c r="Y47" s="32" t="n">
        <f aca="false">IF('Stammdaten - Schwimmer'!$D43&lt;DATE(2007,7,20),D47,)</f>
        <v>0</v>
      </c>
      <c r="Z47" s="48" t="n">
        <f aca="false">IF('Stammdaten - Schwimmer'!$D43&lt;DATE(2007,7,20),'Stammdaten - Schwimmer'!F43,)</f>
        <v>0</v>
      </c>
      <c r="AA47" s="0" t="e">
        <f aca="false">_xlfn.RANK.EQ(Z47,Z$4:Z$103,0)</f>
        <v>#REF!</v>
      </c>
    </row>
    <row r="48" customFormat="false" ht="15" hidden="false" customHeight="false" outlineLevel="0" collapsed="false">
      <c r="A48" s="46" t="n">
        <f aca="false">'Stammdaten - Schwimmer'!A44</f>
        <v>42</v>
      </c>
      <c r="B48" s="47" t="n">
        <f aca="false">'Stammdaten - Schwimmer'!B44</f>
        <v>0</v>
      </c>
      <c r="C48" s="47" t="n">
        <f aca="false">'Stammdaten - Schwimmer'!C44</f>
        <v>0</v>
      </c>
      <c r="D48" s="32" t="n">
        <f aca="false">'Stammdaten - Schwimmer'!J44+'Stammdaten - Schwimmer'!N44+'Stammdaten - Schwimmer'!R44+'Stammdaten - Schwimmer'!V44+'Stammdaten - Schwimmer'!Z45</f>
        <v>0</v>
      </c>
      <c r="E48" s="48" t="n">
        <f aca="false">'Stammdaten - Schwimmer'!F44</f>
        <v>0</v>
      </c>
      <c r="H48" s="31" t="n">
        <f aca="false">IF('Stammdaten - Schwimmer'!D44&gt;DATE(2011,7,20),A48,)</f>
        <v>0</v>
      </c>
      <c r="I48" s="31" t="n">
        <f aca="false">IF('Stammdaten - Schwimmer'!$D44&gt;DATE(2011,7,20),B48,)</f>
        <v>0</v>
      </c>
      <c r="J48" s="31" t="n">
        <f aca="false">IF('Stammdaten - Schwimmer'!$D44&gt;DATE(2011,7,20),C48,)</f>
        <v>0</v>
      </c>
      <c r="K48" s="32" t="n">
        <f aca="false">IF('Stammdaten - Schwimmer'!$D44&gt;DATE(2011,7,20),D48,)</f>
        <v>0</v>
      </c>
      <c r="L48" s="31" t="n">
        <f aca="false">IF('Stammdaten - Schwimmer'!$D44&gt;DATE(2011,7,20),'Stammdaten - Schwimmer'!F44,)</f>
        <v>0</v>
      </c>
      <c r="M48" s="0" t="e">
        <f aca="false">_xlfn.RANK.EQ(L48,L$4:L$103,0)</f>
        <v>#REF!</v>
      </c>
      <c r="O48" s="31" t="n">
        <f aca="false">IF(AND('Stammdaten - Schwimmer'!$D44&lt;DATE(2011,7,20),'Stammdaten - Schwimmer'!$D44&gt;DATE(2007,7,19)),A48,)</f>
        <v>0</v>
      </c>
      <c r="P48" s="31" t="n">
        <f aca="false">IF(AND('Stammdaten - Schwimmer'!$D44&lt;DATE(2011,7,20),'Stammdaten - Schwimmer'!$D44&gt;DATE(2007,7,19)),B48,)</f>
        <v>0</v>
      </c>
      <c r="Q48" s="31" t="n">
        <f aca="false">IF(AND('Stammdaten - Schwimmer'!$D44&lt;DATE(2011,7,20),'Stammdaten - Schwimmer'!$D44&gt;DATE(2007,7,19)),C48,)</f>
        <v>0</v>
      </c>
      <c r="R48" s="32" t="n">
        <f aca="false">IF(AND('Stammdaten - Schwimmer'!$D44&lt;DATE(2011,7,20),'Stammdaten - Schwimmer'!$D44&gt;DATE(2007,7,19)),D48,)</f>
        <v>0</v>
      </c>
      <c r="S48" s="48" t="n">
        <f aca="false">IF(AND('Stammdaten - Schwimmer'!$D44&lt;DATE(2011,7,20),'Stammdaten - Schwimmer'!$D44&gt;DATE(2007,7,19)),'Stammdaten - Schwimmer'!F44,)</f>
        <v>0</v>
      </c>
      <c r="T48" s="0" t="e">
        <f aca="false">_xlfn.RANK.EQ(S48,S$4:S$103,0)</f>
        <v>#REF!</v>
      </c>
      <c r="V48" s="31" t="n">
        <f aca="false">IF('Stammdaten - Schwimmer'!$D44&lt;DATE(2007,7,20),A48,)</f>
        <v>42</v>
      </c>
      <c r="W48" s="31" t="n">
        <f aca="false">IF('Stammdaten - Schwimmer'!$D44&lt;DATE(2007,7,20),B48,)</f>
        <v>0</v>
      </c>
      <c r="X48" s="31" t="n">
        <f aca="false">IF('Stammdaten - Schwimmer'!$D44&lt;DATE(2007,7,20),C48,)</f>
        <v>0</v>
      </c>
      <c r="Y48" s="32" t="n">
        <f aca="false">IF('Stammdaten - Schwimmer'!$D44&lt;DATE(2007,7,20),D48,)</f>
        <v>0</v>
      </c>
      <c r="Z48" s="48" t="n">
        <f aca="false">IF('Stammdaten - Schwimmer'!$D44&lt;DATE(2007,7,20),'Stammdaten - Schwimmer'!F44,)</f>
        <v>0</v>
      </c>
      <c r="AA48" s="0" t="e">
        <f aca="false">_xlfn.RANK.EQ(Z48,Z$4:Z$103,0)</f>
        <v>#REF!</v>
      </c>
    </row>
    <row r="49" customFormat="false" ht="15" hidden="false" customHeight="false" outlineLevel="0" collapsed="false">
      <c r="A49" s="46" t="n">
        <f aca="false">'Stammdaten - Schwimmer'!A45</f>
        <v>43</v>
      </c>
      <c r="B49" s="47" t="n">
        <f aca="false">'Stammdaten - Schwimmer'!B45</f>
        <v>0</v>
      </c>
      <c r="C49" s="47" t="n">
        <f aca="false">'Stammdaten - Schwimmer'!C45</f>
        <v>0</v>
      </c>
      <c r="D49" s="32" t="n">
        <f aca="false">'Stammdaten - Schwimmer'!J45+'Stammdaten - Schwimmer'!N45+'Stammdaten - Schwimmer'!R45+'Stammdaten - Schwimmer'!V45+'Stammdaten - Schwimmer'!Z46</f>
        <v>0</v>
      </c>
      <c r="E49" s="48" t="n">
        <f aca="false">'Stammdaten - Schwimmer'!F45</f>
        <v>0</v>
      </c>
      <c r="H49" s="31" t="n">
        <f aca="false">IF('Stammdaten - Schwimmer'!D45&gt;DATE(2011,7,20),A49,)</f>
        <v>0</v>
      </c>
      <c r="I49" s="31" t="n">
        <f aca="false">IF('Stammdaten - Schwimmer'!$D45&gt;DATE(2011,7,20),B49,)</f>
        <v>0</v>
      </c>
      <c r="J49" s="31" t="n">
        <f aca="false">IF('Stammdaten - Schwimmer'!$D45&gt;DATE(2011,7,20),C49,)</f>
        <v>0</v>
      </c>
      <c r="K49" s="32" t="n">
        <f aca="false">IF('Stammdaten - Schwimmer'!$D45&gt;DATE(2011,7,20),D49,)</f>
        <v>0</v>
      </c>
      <c r="L49" s="31" t="n">
        <f aca="false">IF('Stammdaten - Schwimmer'!$D45&gt;DATE(2011,7,20),'Stammdaten - Schwimmer'!F45,)</f>
        <v>0</v>
      </c>
      <c r="M49" s="0" t="e">
        <f aca="false">_xlfn.RANK.EQ(L49,L$4:L$103,0)</f>
        <v>#REF!</v>
      </c>
      <c r="O49" s="31" t="n">
        <f aca="false">IF(AND('Stammdaten - Schwimmer'!$D45&lt;DATE(2011,7,20),'Stammdaten - Schwimmer'!$D45&gt;DATE(2007,7,19)),A49,)</f>
        <v>0</v>
      </c>
      <c r="P49" s="31" t="n">
        <f aca="false">IF(AND('Stammdaten - Schwimmer'!$D45&lt;DATE(2011,7,20),'Stammdaten - Schwimmer'!$D45&gt;DATE(2007,7,19)),B49,)</f>
        <v>0</v>
      </c>
      <c r="Q49" s="31" t="n">
        <f aca="false">IF(AND('Stammdaten - Schwimmer'!$D45&lt;DATE(2011,7,20),'Stammdaten - Schwimmer'!$D45&gt;DATE(2007,7,19)),C49,)</f>
        <v>0</v>
      </c>
      <c r="R49" s="32" t="n">
        <f aca="false">IF(AND('Stammdaten - Schwimmer'!$D45&lt;DATE(2011,7,20),'Stammdaten - Schwimmer'!$D45&gt;DATE(2007,7,19)),D49,)</f>
        <v>0</v>
      </c>
      <c r="S49" s="48" t="n">
        <f aca="false">IF(AND('Stammdaten - Schwimmer'!$D45&lt;DATE(2011,7,20),'Stammdaten - Schwimmer'!$D45&gt;DATE(2007,7,19)),'Stammdaten - Schwimmer'!F45,)</f>
        <v>0</v>
      </c>
      <c r="T49" s="0" t="e">
        <f aca="false">_xlfn.RANK.EQ(S49,S$4:S$103,0)</f>
        <v>#REF!</v>
      </c>
      <c r="V49" s="31" t="n">
        <f aca="false">IF('Stammdaten - Schwimmer'!$D45&lt;DATE(2007,7,20),A49,)</f>
        <v>43</v>
      </c>
      <c r="W49" s="31" t="n">
        <f aca="false">IF('Stammdaten - Schwimmer'!$D45&lt;DATE(2007,7,20),B49,)</f>
        <v>0</v>
      </c>
      <c r="X49" s="31" t="n">
        <f aca="false">IF('Stammdaten - Schwimmer'!$D45&lt;DATE(2007,7,20),C49,)</f>
        <v>0</v>
      </c>
      <c r="Y49" s="32" t="n">
        <f aca="false">IF('Stammdaten - Schwimmer'!$D45&lt;DATE(2007,7,20),D49,)</f>
        <v>0</v>
      </c>
      <c r="Z49" s="48" t="n">
        <f aca="false">IF('Stammdaten - Schwimmer'!$D45&lt;DATE(2007,7,20),'Stammdaten - Schwimmer'!F45,)</f>
        <v>0</v>
      </c>
      <c r="AA49" s="0" t="e">
        <f aca="false">_xlfn.RANK.EQ(Z49,Z$4:Z$103,0)</f>
        <v>#REF!</v>
      </c>
    </row>
    <row r="50" customFormat="false" ht="15" hidden="false" customHeight="false" outlineLevel="0" collapsed="false">
      <c r="A50" s="46" t="n">
        <f aca="false">'Stammdaten - Schwimmer'!A46</f>
        <v>44</v>
      </c>
      <c r="B50" s="47" t="n">
        <f aca="false">'Stammdaten - Schwimmer'!B46</f>
        <v>0</v>
      </c>
      <c r="C50" s="47" t="n">
        <f aca="false">'Stammdaten - Schwimmer'!C46</f>
        <v>0</v>
      </c>
      <c r="D50" s="32" t="n">
        <f aca="false">'Stammdaten - Schwimmer'!J46+'Stammdaten - Schwimmer'!N46+'Stammdaten - Schwimmer'!R46+'Stammdaten - Schwimmer'!V46+'Stammdaten - Schwimmer'!Z47</f>
        <v>0</v>
      </c>
      <c r="E50" s="48" t="n">
        <f aca="false">'Stammdaten - Schwimmer'!F46</f>
        <v>0</v>
      </c>
      <c r="H50" s="31" t="n">
        <f aca="false">IF('Stammdaten - Schwimmer'!D46&gt;DATE(2011,7,20),A50,)</f>
        <v>0</v>
      </c>
      <c r="I50" s="31" t="n">
        <f aca="false">IF('Stammdaten - Schwimmer'!$D46&gt;DATE(2011,7,20),B50,)</f>
        <v>0</v>
      </c>
      <c r="J50" s="31" t="n">
        <f aca="false">IF('Stammdaten - Schwimmer'!$D46&gt;DATE(2011,7,20),C50,)</f>
        <v>0</v>
      </c>
      <c r="K50" s="32" t="n">
        <f aca="false">IF('Stammdaten - Schwimmer'!$D46&gt;DATE(2011,7,20),D50,)</f>
        <v>0</v>
      </c>
      <c r="L50" s="31" t="n">
        <f aca="false">IF('Stammdaten - Schwimmer'!$D46&gt;DATE(2011,7,20),'Stammdaten - Schwimmer'!F46,)</f>
        <v>0</v>
      </c>
      <c r="M50" s="0" t="e">
        <f aca="false">_xlfn.RANK.EQ(L50,L$4:L$103,0)</f>
        <v>#REF!</v>
      </c>
      <c r="O50" s="31" t="n">
        <f aca="false">IF(AND('Stammdaten - Schwimmer'!$D46&lt;DATE(2011,7,20),'Stammdaten - Schwimmer'!$D46&gt;DATE(2007,7,19)),A50,)</f>
        <v>0</v>
      </c>
      <c r="P50" s="31" t="n">
        <f aca="false">IF(AND('Stammdaten - Schwimmer'!$D46&lt;DATE(2011,7,20),'Stammdaten - Schwimmer'!$D46&gt;DATE(2007,7,19)),B50,)</f>
        <v>0</v>
      </c>
      <c r="Q50" s="31" t="n">
        <f aca="false">IF(AND('Stammdaten - Schwimmer'!$D46&lt;DATE(2011,7,20),'Stammdaten - Schwimmer'!$D46&gt;DATE(2007,7,19)),C50,)</f>
        <v>0</v>
      </c>
      <c r="R50" s="32" t="n">
        <f aca="false">IF(AND('Stammdaten - Schwimmer'!$D46&lt;DATE(2011,7,20),'Stammdaten - Schwimmer'!$D46&gt;DATE(2007,7,19)),D50,)</f>
        <v>0</v>
      </c>
      <c r="S50" s="48" t="n">
        <f aca="false">IF(AND('Stammdaten - Schwimmer'!$D46&lt;DATE(2011,7,20),'Stammdaten - Schwimmer'!$D46&gt;DATE(2007,7,19)),'Stammdaten - Schwimmer'!F46,)</f>
        <v>0</v>
      </c>
      <c r="T50" s="0" t="e">
        <f aca="false">_xlfn.RANK.EQ(S50,S$4:S$103,0)</f>
        <v>#REF!</v>
      </c>
      <c r="V50" s="31" t="n">
        <f aca="false">IF('Stammdaten - Schwimmer'!$D46&lt;DATE(2007,7,20),A50,)</f>
        <v>44</v>
      </c>
      <c r="W50" s="31" t="n">
        <f aca="false">IF('Stammdaten - Schwimmer'!$D46&lt;DATE(2007,7,20),B50,)</f>
        <v>0</v>
      </c>
      <c r="X50" s="31" t="n">
        <f aca="false">IF('Stammdaten - Schwimmer'!$D46&lt;DATE(2007,7,20),C50,)</f>
        <v>0</v>
      </c>
      <c r="Y50" s="32" t="n">
        <f aca="false">IF('Stammdaten - Schwimmer'!$D46&lt;DATE(2007,7,20),D50,)</f>
        <v>0</v>
      </c>
      <c r="Z50" s="48" t="n">
        <f aca="false">IF('Stammdaten - Schwimmer'!$D46&lt;DATE(2007,7,20),'Stammdaten - Schwimmer'!F46,)</f>
        <v>0</v>
      </c>
      <c r="AA50" s="0" t="e">
        <f aca="false">_xlfn.RANK.EQ(Z50,Z$4:Z$103,0)</f>
        <v>#REF!</v>
      </c>
    </row>
    <row r="51" customFormat="false" ht="15" hidden="false" customHeight="false" outlineLevel="0" collapsed="false">
      <c r="A51" s="46" t="n">
        <f aca="false">'Stammdaten - Schwimmer'!A47</f>
        <v>45</v>
      </c>
      <c r="B51" s="47" t="n">
        <f aca="false">'Stammdaten - Schwimmer'!B47</f>
        <v>0</v>
      </c>
      <c r="C51" s="47" t="n">
        <f aca="false">'Stammdaten - Schwimmer'!C47</f>
        <v>0</v>
      </c>
      <c r="D51" s="32" t="n">
        <f aca="false">'Stammdaten - Schwimmer'!J47+'Stammdaten - Schwimmer'!N47+'Stammdaten - Schwimmer'!R47+'Stammdaten - Schwimmer'!V47+'Stammdaten - Schwimmer'!Z48</f>
        <v>0</v>
      </c>
      <c r="E51" s="48" t="n">
        <f aca="false">'Stammdaten - Schwimmer'!F47</f>
        <v>0</v>
      </c>
      <c r="H51" s="31" t="n">
        <f aca="false">IF('Stammdaten - Schwimmer'!D47&gt;DATE(2011,7,20),A51,)</f>
        <v>0</v>
      </c>
      <c r="I51" s="31" t="n">
        <f aca="false">IF('Stammdaten - Schwimmer'!$D47&gt;DATE(2011,7,20),B51,)</f>
        <v>0</v>
      </c>
      <c r="J51" s="31" t="n">
        <f aca="false">IF('Stammdaten - Schwimmer'!$D47&gt;DATE(2011,7,20),C51,)</f>
        <v>0</v>
      </c>
      <c r="K51" s="32" t="n">
        <f aca="false">IF('Stammdaten - Schwimmer'!$D47&gt;DATE(2011,7,20),D51,)</f>
        <v>0</v>
      </c>
      <c r="L51" s="31" t="n">
        <f aca="false">IF('Stammdaten - Schwimmer'!$D47&gt;DATE(2011,7,20),'Stammdaten - Schwimmer'!F47,)</f>
        <v>0</v>
      </c>
      <c r="M51" s="0" t="e">
        <f aca="false">_xlfn.RANK.EQ(L51,L$4:L$103,0)</f>
        <v>#REF!</v>
      </c>
      <c r="O51" s="31" t="n">
        <f aca="false">IF(AND('Stammdaten - Schwimmer'!$D47&lt;DATE(2011,7,20),'Stammdaten - Schwimmer'!$D47&gt;DATE(2007,7,19)),A51,)</f>
        <v>0</v>
      </c>
      <c r="P51" s="31" t="n">
        <f aca="false">IF(AND('Stammdaten - Schwimmer'!$D47&lt;DATE(2011,7,20),'Stammdaten - Schwimmer'!$D47&gt;DATE(2007,7,19)),B51,)</f>
        <v>0</v>
      </c>
      <c r="Q51" s="31" t="n">
        <f aca="false">IF(AND('Stammdaten - Schwimmer'!$D47&lt;DATE(2011,7,20),'Stammdaten - Schwimmer'!$D47&gt;DATE(2007,7,19)),C51,)</f>
        <v>0</v>
      </c>
      <c r="R51" s="32" t="n">
        <f aca="false">IF(AND('Stammdaten - Schwimmer'!$D47&lt;DATE(2011,7,20),'Stammdaten - Schwimmer'!$D47&gt;DATE(2007,7,19)),D51,)</f>
        <v>0</v>
      </c>
      <c r="S51" s="48" t="n">
        <f aca="false">IF(AND('Stammdaten - Schwimmer'!$D47&lt;DATE(2011,7,20),'Stammdaten - Schwimmer'!$D47&gt;DATE(2007,7,19)),'Stammdaten - Schwimmer'!F47,)</f>
        <v>0</v>
      </c>
      <c r="T51" s="0" t="e">
        <f aca="false">_xlfn.RANK.EQ(S51,S$4:S$103,0)</f>
        <v>#REF!</v>
      </c>
      <c r="V51" s="31" t="n">
        <f aca="false">IF('Stammdaten - Schwimmer'!$D47&lt;DATE(2007,7,20),A51,)</f>
        <v>45</v>
      </c>
      <c r="W51" s="31" t="n">
        <f aca="false">IF('Stammdaten - Schwimmer'!$D47&lt;DATE(2007,7,20),B51,)</f>
        <v>0</v>
      </c>
      <c r="X51" s="31" t="n">
        <f aca="false">IF('Stammdaten - Schwimmer'!$D47&lt;DATE(2007,7,20),C51,)</f>
        <v>0</v>
      </c>
      <c r="Y51" s="32" t="n">
        <f aca="false">IF('Stammdaten - Schwimmer'!$D47&lt;DATE(2007,7,20),D51,)</f>
        <v>0</v>
      </c>
      <c r="Z51" s="48" t="n">
        <f aca="false">IF('Stammdaten - Schwimmer'!$D47&lt;DATE(2007,7,20),'Stammdaten - Schwimmer'!F47,)</f>
        <v>0</v>
      </c>
      <c r="AA51" s="0" t="e">
        <f aca="false">_xlfn.RANK.EQ(Z51,Z$4:Z$103,0)</f>
        <v>#REF!</v>
      </c>
    </row>
    <row r="52" customFormat="false" ht="15" hidden="false" customHeight="false" outlineLevel="0" collapsed="false">
      <c r="A52" s="46" t="n">
        <f aca="false">'Stammdaten - Schwimmer'!A48</f>
        <v>46</v>
      </c>
      <c r="B52" s="47" t="n">
        <f aca="false">'Stammdaten - Schwimmer'!B48</f>
        <v>0</v>
      </c>
      <c r="C52" s="47" t="n">
        <f aca="false">'Stammdaten - Schwimmer'!C48</f>
        <v>0</v>
      </c>
      <c r="D52" s="32" t="n">
        <f aca="false">'Stammdaten - Schwimmer'!J48+'Stammdaten - Schwimmer'!N48+'Stammdaten - Schwimmer'!R48+'Stammdaten - Schwimmer'!V48+'Stammdaten - Schwimmer'!Z49</f>
        <v>0</v>
      </c>
      <c r="E52" s="48" t="n">
        <f aca="false">'Stammdaten - Schwimmer'!F48</f>
        <v>0</v>
      </c>
      <c r="H52" s="31" t="n">
        <f aca="false">IF('Stammdaten - Schwimmer'!D48&gt;DATE(2011,7,20),A52,)</f>
        <v>0</v>
      </c>
      <c r="I52" s="31" t="n">
        <f aca="false">IF('Stammdaten - Schwimmer'!$D48&gt;DATE(2011,7,20),B52,)</f>
        <v>0</v>
      </c>
      <c r="J52" s="31" t="n">
        <f aca="false">IF('Stammdaten - Schwimmer'!$D48&gt;DATE(2011,7,20),C52,)</f>
        <v>0</v>
      </c>
      <c r="K52" s="32" t="n">
        <f aca="false">IF('Stammdaten - Schwimmer'!$D48&gt;DATE(2011,7,20),D52,)</f>
        <v>0</v>
      </c>
      <c r="L52" s="31" t="n">
        <f aca="false">IF('Stammdaten - Schwimmer'!$D48&gt;DATE(2011,7,20),'Stammdaten - Schwimmer'!F48,)</f>
        <v>0</v>
      </c>
      <c r="M52" s="0" t="e">
        <f aca="false">_xlfn.RANK.EQ(L52,L$4:L$103,0)</f>
        <v>#REF!</v>
      </c>
      <c r="O52" s="31" t="n">
        <f aca="false">IF(AND('Stammdaten - Schwimmer'!$D48&lt;DATE(2011,7,20),'Stammdaten - Schwimmer'!$D48&gt;DATE(2007,7,19)),A52,)</f>
        <v>0</v>
      </c>
      <c r="P52" s="31" t="n">
        <f aca="false">IF(AND('Stammdaten - Schwimmer'!$D48&lt;DATE(2011,7,20),'Stammdaten - Schwimmer'!$D48&gt;DATE(2007,7,19)),B52,)</f>
        <v>0</v>
      </c>
      <c r="Q52" s="31" t="n">
        <f aca="false">IF(AND('Stammdaten - Schwimmer'!$D48&lt;DATE(2011,7,20),'Stammdaten - Schwimmer'!$D48&gt;DATE(2007,7,19)),C52,)</f>
        <v>0</v>
      </c>
      <c r="R52" s="32" t="n">
        <f aca="false">IF(AND('Stammdaten - Schwimmer'!$D48&lt;DATE(2011,7,20),'Stammdaten - Schwimmer'!$D48&gt;DATE(2007,7,19)),D52,)</f>
        <v>0</v>
      </c>
      <c r="S52" s="48" t="n">
        <f aca="false">IF(AND('Stammdaten - Schwimmer'!$D48&lt;DATE(2011,7,20),'Stammdaten - Schwimmer'!$D48&gt;DATE(2007,7,19)),'Stammdaten - Schwimmer'!F48,)</f>
        <v>0</v>
      </c>
      <c r="T52" s="0" t="e">
        <f aca="false">_xlfn.RANK.EQ(S52,S$4:S$103,0)</f>
        <v>#REF!</v>
      </c>
      <c r="V52" s="31" t="n">
        <f aca="false">IF('Stammdaten - Schwimmer'!$D48&lt;DATE(2007,7,20),A52,)</f>
        <v>46</v>
      </c>
      <c r="W52" s="31" t="n">
        <f aca="false">IF('Stammdaten - Schwimmer'!$D48&lt;DATE(2007,7,20),B52,)</f>
        <v>0</v>
      </c>
      <c r="X52" s="31" t="n">
        <f aca="false">IF('Stammdaten - Schwimmer'!$D48&lt;DATE(2007,7,20),C52,)</f>
        <v>0</v>
      </c>
      <c r="Y52" s="32" t="n">
        <f aca="false">IF('Stammdaten - Schwimmer'!$D48&lt;DATE(2007,7,20),D52,)</f>
        <v>0</v>
      </c>
      <c r="Z52" s="48" t="n">
        <f aca="false">IF('Stammdaten - Schwimmer'!$D48&lt;DATE(2007,7,20),'Stammdaten - Schwimmer'!F48,)</f>
        <v>0</v>
      </c>
      <c r="AA52" s="0" t="e">
        <f aca="false">_xlfn.RANK.EQ(Z52,Z$4:Z$103,0)</f>
        <v>#REF!</v>
      </c>
    </row>
    <row r="53" customFormat="false" ht="15" hidden="false" customHeight="false" outlineLevel="0" collapsed="false">
      <c r="A53" s="46" t="n">
        <f aca="false">'Stammdaten - Schwimmer'!A49</f>
        <v>47</v>
      </c>
      <c r="B53" s="47" t="str">
        <f aca="false">'Stammdaten - Schwimmer'!B49</f>
        <v>Holste</v>
      </c>
      <c r="C53" s="47" t="str">
        <f aca="false">'Stammdaten - Schwimmer'!C49</f>
        <v>Ruben</v>
      </c>
      <c r="D53" s="32" t="n">
        <f aca="false">'Stammdaten - Schwimmer'!J49+'Stammdaten - Schwimmer'!N49+'Stammdaten - Schwimmer'!R49+'Stammdaten - Schwimmer'!V49+'Stammdaten - Schwimmer'!Z50</f>
        <v>31</v>
      </c>
      <c r="E53" s="48" t="n">
        <f aca="false">'Stammdaten - Schwimmer'!F49</f>
        <v>62</v>
      </c>
      <c r="H53" s="31" t="n">
        <f aca="false">IF('Stammdaten - Schwimmer'!D49&gt;DATE(2011,7,20),A53,)</f>
        <v>0</v>
      </c>
      <c r="I53" s="31" t="n">
        <f aca="false">IF('Stammdaten - Schwimmer'!$D49&gt;DATE(2011,7,20),B53,)</f>
        <v>0</v>
      </c>
      <c r="J53" s="31" t="n">
        <f aca="false">IF('Stammdaten - Schwimmer'!$D49&gt;DATE(2011,7,20),C53,)</f>
        <v>0</v>
      </c>
      <c r="K53" s="32" t="n">
        <f aca="false">IF('Stammdaten - Schwimmer'!$D49&gt;DATE(2011,7,20),D53,)</f>
        <v>0</v>
      </c>
      <c r="L53" s="31" t="n">
        <f aca="false">IF('Stammdaten - Schwimmer'!$D49&gt;DATE(2011,7,20),'Stammdaten - Schwimmer'!F49,)</f>
        <v>0</v>
      </c>
      <c r="M53" s="0" t="e">
        <f aca="false">_xlfn.RANK.EQ(L53,L$4:L$103,0)</f>
        <v>#REF!</v>
      </c>
      <c r="O53" s="31" t="n">
        <f aca="false">IF(AND('Stammdaten - Schwimmer'!$D49&lt;DATE(2011,7,20),'Stammdaten - Schwimmer'!$D49&gt;DATE(2007,7,19)),A53,)</f>
        <v>0</v>
      </c>
      <c r="P53" s="31" t="n">
        <f aca="false">IF(AND('Stammdaten - Schwimmer'!$D49&lt;DATE(2011,7,20),'Stammdaten - Schwimmer'!$D49&gt;DATE(2007,7,19)),B53,)</f>
        <v>0</v>
      </c>
      <c r="Q53" s="31" t="n">
        <f aca="false">IF(AND('Stammdaten - Schwimmer'!$D49&lt;DATE(2011,7,20),'Stammdaten - Schwimmer'!$D49&gt;DATE(2007,7,19)),C53,)</f>
        <v>0</v>
      </c>
      <c r="R53" s="32" t="n">
        <f aca="false">IF(AND('Stammdaten - Schwimmer'!$D49&lt;DATE(2011,7,20),'Stammdaten - Schwimmer'!$D49&gt;DATE(2007,7,19)),D53,)</f>
        <v>0</v>
      </c>
      <c r="S53" s="48" t="n">
        <f aca="false">IF(AND('Stammdaten - Schwimmer'!$D49&lt;DATE(2011,7,20),'Stammdaten - Schwimmer'!$D49&gt;DATE(2007,7,19)),'Stammdaten - Schwimmer'!F49,)</f>
        <v>0</v>
      </c>
      <c r="T53" s="0" t="e">
        <f aca="false">_xlfn.RANK.EQ(S53,S$4:S$103,0)</f>
        <v>#REF!</v>
      </c>
      <c r="V53" s="31" t="n">
        <f aca="false">IF('Stammdaten - Schwimmer'!$D49&lt;DATE(2007,7,20),A53,)</f>
        <v>47</v>
      </c>
      <c r="W53" s="31" t="str">
        <f aca="false">IF('Stammdaten - Schwimmer'!$D49&lt;DATE(2007,7,20),B53,)</f>
        <v>Holste</v>
      </c>
      <c r="X53" s="31" t="str">
        <f aca="false">IF('Stammdaten - Schwimmer'!$D49&lt;DATE(2007,7,20),C53,)</f>
        <v>Ruben</v>
      </c>
      <c r="Y53" s="32" t="n">
        <f aca="false">IF('Stammdaten - Schwimmer'!$D49&lt;DATE(2007,7,20),D53,)</f>
        <v>31</v>
      </c>
      <c r="Z53" s="48" t="n">
        <f aca="false">IF('Stammdaten - Schwimmer'!$D49&lt;DATE(2007,7,20),'Stammdaten - Schwimmer'!F49,)</f>
        <v>62</v>
      </c>
      <c r="AA53" s="0" t="e">
        <f aca="false">_xlfn.RANK.EQ(Z53,Z$4:Z$103,0)</f>
        <v>#REF!</v>
      </c>
    </row>
    <row r="54" customFormat="false" ht="15" hidden="false" customHeight="false" outlineLevel="0" collapsed="false">
      <c r="A54" s="46" t="n">
        <f aca="false">'Stammdaten - Schwimmer'!A50</f>
        <v>48</v>
      </c>
      <c r="B54" s="47" t="n">
        <f aca="false">'Stammdaten - Schwimmer'!B50</f>
        <v>0</v>
      </c>
      <c r="C54" s="47" t="n">
        <f aca="false">'Stammdaten - Schwimmer'!C50</f>
        <v>0</v>
      </c>
      <c r="D54" s="32" t="n">
        <f aca="false">'Stammdaten - Schwimmer'!J50+'Stammdaten - Schwimmer'!N50+'Stammdaten - Schwimmer'!R50+'Stammdaten - Schwimmer'!V50+'Stammdaten - Schwimmer'!Z51</f>
        <v>0</v>
      </c>
      <c r="E54" s="48" t="n">
        <f aca="false">'Stammdaten - Schwimmer'!F50</f>
        <v>0</v>
      </c>
      <c r="H54" s="31" t="n">
        <f aca="false">IF('Stammdaten - Schwimmer'!D50&gt;DATE(2011,7,20),A54,)</f>
        <v>0</v>
      </c>
      <c r="I54" s="31" t="n">
        <f aca="false">IF('Stammdaten - Schwimmer'!$D50&gt;DATE(2011,7,20),B54,)</f>
        <v>0</v>
      </c>
      <c r="J54" s="31" t="n">
        <f aca="false">IF('Stammdaten - Schwimmer'!$D50&gt;DATE(2011,7,20),C54,)</f>
        <v>0</v>
      </c>
      <c r="K54" s="32" t="n">
        <f aca="false">IF('Stammdaten - Schwimmer'!$D50&gt;DATE(2011,7,20),D54,)</f>
        <v>0</v>
      </c>
      <c r="L54" s="31" t="n">
        <f aca="false">IF('Stammdaten - Schwimmer'!$D50&gt;DATE(2011,7,20),'Stammdaten - Schwimmer'!F50,)</f>
        <v>0</v>
      </c>
      <c r="M54" s="0" t="e">
        <f aca="false">_xlfn.RANK.EQ(L54,L$4:L$103,0)</f>
        <v>#REF!</v>
      </c>
      <c r="O54" s="31" t="n">
        <f aca="false">IF(AND('Stammdaten - Schwimmer'!$D50&lt;DATE(2011,7,20),'Stammdaten - Schwimmer'!$D50&gt;DATE(2007,7,19)),A54,)</f>
        <v>0</v>
      </c>
      <c r="P54" s="31" t="n">
        <f aca="false">IF(AND('Stammdaten - Schwimmer'!$D50&lt;DATE(2011,7,20),'Stammdaten - Schwimmer'!$D50&gt;DATE(2007,7,19)),B54,)</f>
        <v>0</v>
      </c>
      <c r="Q54" s="31" t="n">
        <f aca="false">IF(AND('Stammdaten - Schwimmer'!$D50&lt;DATE(2011,7,20),'Stammdaten - Schwimmer'!$D50&gt;DATE(2007,7,19)),C54,)</f>
        <v>0</v>
      </c>
      <c r="R54" s="32" t="n">
        <f aca="false">IF(AND('Stammdaten - Schwimmer'!$D50&lt;DATE(2011,7,20),'Stammdaten - Schwimmer'!$D50&gt;DATE(2007,7,19)),D54,)</f>
        <v>0</v>
      </c>
      <c r="S54" s="48" t="n">
        <f aca="false">IF(AND('Stammdaten - Schwimmer'!$D50&lt;DATE(2011,7,20),'Stammdaten - Schwimmer'!$D50&gt;DATE(2007,7,19)),'Stammdaten - Schwimmer'!F50,)</f>
        <v>0</v>
      </c>
      <c r="T54" s="0" t="e">
        <f aca="false">_xlfn.RANK.EQ(S54,S$4:S$103,0)</f>
        <v>#REF!</v>
      </c>
      <c r="V54" s="31" t="n">
        <f aca="false">IF('Stammdaten - Schwimmer'!$D50&lt;DATE(2007,7,20),A54,)</f>
        <v>48</v>
      </c>
      <c r="W54" s="31" t="n">
        <f aca="false">IF('Stammdaten - Schwimmer'!$D50&lt;DATE(2007,7,20),B54,)</f>
        <v>0</v>
      </c>
      <c r="X54" s="31" t="n">
        <f aca="false">IF('Stammdaten - Schwimmer'!$D50&lt;DATE(2007,7,20),C54,)</f>
        <v>0</v>
      </c>
      <c r="Y54" s="32" t="n">
        <f aca="false">IF('Stammdaten - Schwimmer'!$D50&lt;DATE(2007,7,20),D54,)</f>
        <v>0</v>
      </c>
      <c r="Z54" s="48" t="n">
        <f aca="false">IF('Stammdaten - Schwimmer'!$D50&lt;DATE(2007,7,20),'Stammdaten - Schwimmer'!F50,)</f>
        <v>0</v>
      </c>
      <c r="AA54" s="0" t="e">
        <f aca="false">_xlfn.RANK.EQ(Z54,Z$4:Z$103,0)</f>
        <v>#REF!</v>
      </c>
    </row>
    <row r="55" customFormat="false" ht="15" hidden="false" customHeight="false" outlineLevel="0" collapsed="false">
      <c r="A55" s="46" t="n">
        <f aca="false">'Stammdaten - Schwimmer'!A51</f>
        <v>49</v>
      </c>
      <c r="B55" s="47" t="n">
        <f aca="false">'Stammdaten - Schwimmer'!B51</f>
        <v>0</v>
      </c>
      <c r="C55" s="47" t="n">
        <f aca="false">'Stammdaten - Schwimmer'!C51</f>
        <v>0</v>
      </c>
      <c r="D55" s="32" t="n">
        <f aca="false">'Stammdaten - Schwimmer'!J51+'Stammdaten - Schwimmer'!N51+'Stammdaten - Schwimmer'!R51+'Stammdaten - Schwimmer'!V51+'Stammdaten - Schwimmer'!Z52</f>
        <v>0</v>
      </c>
      <c r="E55" s="48" t="n">
        <f aca="false">'Stammdaten - Schwimmer'!F51</f>
        <v>0</v>
      </c>
      <c r="H55" s="31" t="n">
        <f aca="false">IF('Stammdaten - Schwimmer'!D51&gt;DATE(2011,7,20),A55,)</f>
        <v>0</v>
      </c>
      <c r="I55" s="31" t="n">
        <f aca="false">IF('Stammdaten - Schwimmer'!$D51&gt;DATE(2011,7,20),B55,)</f>
        <v>0</v>
      </c>
      <c r="J55" s="31" t="n">
        <f aca="false">IF('Stammdaten - Schwimmer'!$D51&gt;DATE(2011,7,20),C55,)</f>
        <v>0</v>
      </c>
      <c r="K55" s="32" t="n">
        <f aca="false">IF('Stammdaten - Schwimmer'!$D51&gt;DATE(2011,7,20),D55,)</f>
        <v>0</v>
      </c>
      <c r="L55" s="31" t="n">
        <f aca="false">IF('Stammdaten - Schwimmer'!$D51&gt;DATE(2011,7,20),'Stammdaten - Schwimmer'!F51,)</f>
        <v>0</v>
      </c>
      <c r="M55" s="0" t="e">
        <f aca="false">_xlfn.RANK.EQ(L55,L$4:L$103,0)</f>
        <v>#REF!</v>
      </c>
      <c r="O55" s="31" t="n">
        <f aca="false">IF(AND('Stammdaten - Schwimmer'!$D51&lt;DATE(2011,7,20),'Stammdaten - Schwimmer'!$D51&gt;DATE(2007,7,19)),A55,)</f>
        <v>0</v>
      </c>
      <c r="P55" s="31" t="n">
        <f aca="false">IF(AND('Stammdaten - Schwimmer'!$D51&lt;DATE(2011,7,20),'Stammdaten - Schwimmer'!$D51&gt;DATE(2007,7,19)),B55,)</f>
        <v>0</v>
      </c>
      <c r="Q55" s="31" t="n">
        <f aca="false">IF(AND('Stammdaten - Schwimmer'!$D51&lt;DATE(2011,7,20),'Stammdaten - Schwimmer'!$D51&gt;DATE(2007,7,19)),C55,)</f>
        <v>0</v>
      </c>
      <c r="R55" s="32" t="n">
        <f aca="false">IF(AND('Stammdaten - Schwimmer'!$D51&lt;DATE(2011,7,20),'Stammdaten - Schwimmer'!$D51&gt;DATE(2007,7,19)),D55,)</f>
        <v>0</v>
      </c>
      <c r="S55" s="48" t="n">
        <f aca="false">IF(AND('Stammdaten - Schwimmer'!$D51&lt;DATE(2011,7,20),'Stammdaten - Schwimmer'!$D51&gt;DATE(2007,7,19)),'Stammdaten - Schwimmer'!F51,)</f>
        <v>0</v>
      </c>
      <c r="T55" s="0" t="e">
        <f aca="false">_xlfn.RANK.EQ(S55,S$4:S$103,0)</f>
        <v>#REF!</v>
      </c>
      <c r="V55" s="31" t="n">
        <f aca="false">IF('Stammdaten - Schwimmer'!$D51&lt;DATE(2007,7,20),A55,)</f>
        <v>49</v>
      </c>
      <c r="W55" s="31" t="n">
        <f aca="false">IF('Stammdaten - Schwimmer'!$D51&lt;DATE(2007,7,20),B55,)</f>
        <v>0</v>
      </c>
      <c r="X55" s="31" t="n">
        <f aca="false">IF('Stammdaten - Schwimmer'!$D51&lt;DATE(2007,7,20),C55,)</f>
        <v>0</v>
      </c>
      <c r="Y55" s="32" t="n">
        <f aca="false">IF('Stammdaten - Schwimmer'!$D51&lt;DATE(2007,7,20),D55,)</f>
        <v>0</v>
      </c>
      <c r="Z55" s="48" t="n">
        <f aca="false">IF('Stammdaten - Schwimmer'!$D51&lt;DATE(2007,7,20),'Stammdaten - Schwimmer'!F51,)</f>
        <v>0</v>
      </c>
      <c r="AA55" s="0" t="e">
        <f aca="false">_xlfn.RANK.EQ(Z55,Z$4:Z$103,0)</f>
        <v>#REF!</v>
      </c>
    </row>
    <row r="56" customFormat="false" ht="15" hidden="false" customHeight="false" outlineLevel="0" collapsed="false">
      <c r="A56" s="46" t="n">
        <f aca="false">'Stammdaten - Schwimmer'!A52</f>
        <v>50</v>
      </c>
      <c r="B56" s="47" t="str">
        <f aca="false">'Stammdaten - Schwimmer'!B52</f>
        <v>Ludwig</v>
      </c>
      <c r="C56" s="47" t="str">
        <f aca="false">'Stammdaten - Schwimmer'!C52</f>
        <v>Mariya</v>
      </c>
      <c r="D56" s="32" t="n">
        <f aca="false">'Stammdaten - Schwimmer'!J52+'Stammdaten - Schwimmer'!N52+'Stammdaten - Schwimmer'!R52+'Stammdaten - Schwimmer'!V52+'Stammdaten - Schwimmer'!Z53</f>
        <v>81</v>
      </c>
      <c r="E56" s="48" t="n">
        <f aca="false">'Stammdaten - Schwimmer'!F52</f>
        <v>54</v>
      </c>
      <c r="H56" s="31" t="n">
        <f aca="false">IF('Stammdaten - Schwimmer'!D52&gt;DATE(2011,7,20),A56,)</f>
        <v>0</v>
      </c>
      <c r="I56" s="31" t="n">
        <f aca="false">IF('Stammdaten - Schwimmer'!$D52&gt;DATE(2011,7,20),B56,)</f>
        <v>0</v>
      </c>
      <c r="J56" s="31" t="n">
        <f aca="false">IF('Stammdaten - Schwimmer'!$D52&gt;DATE(2011,7,20),C56,)</f>
        <v>0</v>
      </c>
      <c r="K56" s="32" t="n">
        <f aca="false">IF('Stammdaten - Schwimmer'!$D52&gt;DATE(2011,7,20),D56,)</f>
        <v>0</v>
      </c>
      <c r="L56" s="31" t="n">
        <f aca="false">IF('Stammdaten - Schwimmer'!$D52&gt;DATE(2011,7,20),'Stammdaten - Schwimmer'!F52,)</f>
        <v>0</v>
      </c>
      <c r="M56" s="0" t="e">
        <f aca="false">_xlfn.RANK.EQ(L56,L$4:L$103,0)</f>
        <v>#REF!</v>
      </c>
      <c r="O56" s="31" t="n">
        <f aca="false">IF(AND('Stammdaten - Schwimmer'!$D52&lt;DATE(2011,7,20),'Stammdaten - Schwimmer'!$D52&gt;DATE(2007,7,19)),A56,)</f>
        <v>50</v>
      </c>
      <c r="P56" s="31" t="str">
        <f aca="false">IF(AND('Stammdaten - Schwimmer'!$D52&lt;DATE(2011,7,20),'Stammdaten - Schwimmer'!$D52&gt;DATE(2007,7,19)),B56,)</f>
        <v>Ludwig</v>
      </c>
      <c r="Q56" s="31" t="str">
        <f aca="false">IF(AND('Stammdaten - Schwimmer'!$D52&lt;DATE(2011,7,20),'Stammdaten - Schwimmer'!$D52&gt;DATE(2007,7,19)),C56,)</f>
        <v>Mariya</v>
      </c>
      <c r="R56" s="32" t="n">
        <f aca="false">IF(AND('Stammdaten - Schwimmer'!$D52&lt;DATE(2011,7,20),'Stammdaten - Schwimmer'!$D52&gt;DATE(2007,7,19)),D56,)</f>
        <v>81</v>
      </c>
      <c r="S56" s="48" t="n">
        <f aca="false">IF(AND('Stammdaten - Schwimmer'!$D52&lt;DATE(2011,7,20),'Stammdaten - Schwimmer'!$D52&gt;DATE(2007,7,19)),'Stammdaten - Schwimmer'!F52,)</f>
        <v>54</v>
      </c>
      <c r="T56" s="0" t="e">
        <f aca="false">_xlfn.RANK.EQ(S56,S$4:S$103,0)</f>
        <v>#REF!</v>
      </c>
      <c r="V56" s="31" t="n">
        <f aca="false">IF('Stammdaten - Schwimmer'!$D52&lt;DATE(2007,7,20),A56,)</f>
        <v>0</v>
      </c>
      <c r="W56" s="31" t="n">
        <f aca="false">IF('Stammdaten - Schwimmer'!$D52&lt;DATE(2007,7,20),B56,)</f>
        <v>0</v>
      </c>
      <c r="X56" s="31" t="n">
        <f aca="false">IF('Stammdaten - Schwimmer'!$D52&lt;DATE(2007,7,20),C56,)</f>
        <v>0</v>
      </c>
      <c r="Y56" s="32" t="n">
        <f aca="false">IF('Stammdaten - Schwimmer'!$D52&lt;DATE(2007,7,20),D56,)</f>
        <v>0</v>
      </c>
      <c r="Z56" s="48" t="n">
        <f aca="false">IF('Stammdaten - Schwimmer'!$D52&lt;DATE(2007,7,20),'Stammdaten - Schwimmer'!F52,)</f>
        <v>0</v>
      </c>
      <c r="AA56" s="0" t="e">
        <f aca="false">_xlfn.RANK.EQ(Z56,Z$4:Z$103,0)</f>
        <v>#REF!</v>
      </c>
    </row>
    <row r="57" customFormat="false" ht="15" hidden="false" customHeight="false" outlineLevel="0" collapsed="false">
      <c r="A57" s="46" t="n">
        <f aca="false">'Stammdaten - Schwimmer'!A53</f>
        <v>51</v>
      </c>
      <c r="B57" s="47" t="str">
        <f aca="false">'Stammdaten - Schwimmer'!B53</f>
        <v>Warga</v>
      </c>
      <c r="C57" s="47" t="str">
        <f aca="false">'Stammdaten - Schwimmer'!C53</f>
        <v>Eva</v>
      </c>
      <c r="D57" s="32" t="n">
        <f aca="false">'Stammdaten - Schwimmer'!J53+'Stammdaten - Schwimmer'!N53+'Stammdaten - Schwimmer'!R53+'Stammdaten - Schwimmer'!V53+'Stammdaten - Schwimmer'!Z54</f>
        <v>0</v>
      </c>
      <c r="E57" s="48" t="n">
        <f aca="false">'Stammdaten - Schwimmer'!F53</f>
        <v>102</v>
      </c>
      <c r="H57" s="31" t="n">
        <f aca="false">IF('Stammdaten - Schwimmer'!D53&gt;DATE(2011,7,20),A57,)</f>
        <v>51</v>
      </c>
      <c r="I57" s="31" t="str">
        <f aca="false">IF('Stammdaten - Schwimmer'!$D53&gt;DATE(2011,7,20),B57,)</f>
        <v>Warga</v>
      </c>
      <c r="J57" s="31" t="str">
        <f aca="false">IF('Stammdaten - Schwimmer'!$D53&gt;DATE(2011,7,20),C57,)</f>
        <v>Eva</v>
      </c>
      <c r="K57" s="32" t="n">
        <f aca="false">IF('Stammdaten - Schwimmer'!$D53&gt;DATE(2011,7,20),D57,)</f>
        <v>0</v>
      </c>
      <c r="L57" s="31" t="n">
        <f aca="false">IF('Stammdaten - Schwimmer'!$D53&gt;DATE(2011,7,20),'Stammdaten - Schwimmer'!F53,)</f>
        <v>102</v>
      </c>
      <c r="M57" s="0" t="e">
        <f aca="false">_xlfn.RANK.EQ(L57,L$4:L$103,0)</f>
        <v>#REF!</v>
      </c>
      <c r="O57" s="31" t="n">
        <f aca="false">IF(AND('Stammdaten - Schwimmer'!$D53&lt;DATE(2011,7,20),'Stammdaten - Schwimmer'!$D53&gt;DATE(2007,7,19)),A57,)</f>
        <v>0</v>
      </c>
      <c r="P57" s="31" t="n">
        <f aca="false">IF(AND('Stammdaten - Schwimmer'!$D53&lt;DATE(2011,7,20),'Stammdaten - Schwimmer'!$D53&gt;DATE(2007,7,19)),B57,)</f>
        <v>0</v>
      </c>
      <c r="Q57" s="31" t="n">
        <f aca="false">IF(AND('Stammdaten - Schwimmer'!$D53&lt;DATE(2011,7,20),'Stammdaten - Schwimmer'!$D53&gt;DATE(2007,7,19)),C57,)</f>
        <v>0</v>
      </c>
      <c r="R57" s="32" t="n">
        <f aca="false">IF(AND('Stammdaten - Schwimmer'!$D53&lt;DATE(2011,7,20),'Stammdaten - Schwimmer'!$D53&gt;DATE(2007,7,19)),D57,)</f>
        <v>0</v>
      </c>
      <c r="S57" s="48" t="n">
        <f aca="false">IF(AND('Stammdaten - Schwimmer'!$D53&lt;DATE(2011,7,20),'Stammdaten - Schwimmer'!$D53&gt;DATE(2007,7,19)),'Stammdaten - Schwimmer'!F53,)</f>
        <v>0</v>
      </c>
      <c r="T57" s="0" t="e">
        <f aca="false">_xlfn.RANK.EQ(S57,S$4:S$103,0)</f>
        <v>#REF!</v>
      </c>
      <c r="V57" s="31" t="n">
        <f aca="false">IF('Stammdaten - Schwimmer'!$D53&lt;DATE(2007,7,20),A57,)</f>
        <v>0</v>
      </c>
      <c r="W57" s="31" t="n">
        <f aca="false">IF('Stammdaten - Schwimmer'!$D53&lt;DATE(2007,7,20),B57,)</f>
        <v>0</v>
      </c>
      <c r="X57" s="31" t="n">
        <f aca="false">IF('Stammdaten - Schwimmer'!$D53&lt;DATE(2007,7,20),C57,)</f>
        <v>0</v>
      </c>
      <c r="Y57" s="32" t="n">
        <f aca="false">IF('Stammdaten - Schwimmer'!$D53&lt;DATE(2007,7,20),D57,)</f>
        <v>0</v>
      </c>
      <c r="Z57" s="48" t="n">
        <f aca="false">IF('Stammdaten - Schwimmer'!$D53&lt;DATE(2007,7,20),'Stammdaten - Schwimmer'!F53,)</f>
        <v>0</v>
      </c>
      <c r="AA57" s="0" t="e">
        <f aca="false">_xlfn.RANK.EQ(Z57,Z$4:Z$103,0)</f>
        <v>#REF!</v>
      </c>
    </row>
    <row r="58" customFormat="false" ht="15" hidden="false" customHeight="false" outlineLevel="0" collapsed="false">
      <c r="A58" s="46" t="n">
        <f aca="false">'Stammdaten - Schwimmer'!A54</f>
        <v>52</v>
      </c>
      <c r="B58" s="47" t="str">
        <f aca="false">'Stammdaten - Schwimmer'!B54</f>
        <v>Warga</v>
      </c>
      <c r="C58" s="47" t="str">
        <f aca="false">'Stammdaten - Schwimmer'!C54</f>
        <v>Christina</v>
      </c>
      <c r="D58" s="32" t="n">
        <f aca="false">'Stammdaten - Schwimmer'!J54+'Stammdaten - Schwimmer'!N54+'Stammdaten - Schwimmer'!R54+'Stammdaten - Schwimmer'!V54+'Stammdaten - Schwimmer'!Z55</f>
        <v>0</v>
      </c>
      <c r="E58" s="48" t="n">
        <f aca="false">'Stammdaten - Schwimmer'!F54</f>
        <v>40</v>
      </c>
      <c r="H58" s="31" t="n">
        <f aca="false">IF('Stammdaten - Schwimmer'!D54&gt;DATE(2011,7,20),A58,)</f>
        <v>0</v>
      </c>
      <c r="I58" s="31" t="n">
        <f aca="false">IF('Stammdaten - Schwimmer'!$D54&gt;DATE(2011,7,20),B58,)</f>
        <v>0</v>
      </c>
      <c r="J58" s="31" t="n">
        <f aca="false">IF('Stammdaten - Schwimmer'!$D54&gt;DATE(2011,7,20),C58,)</f>
        <v>0</v>
      </c>
      <c r="K58" s="32" t="n">
        <f aca="false">IF('Stammdaten - Schwimmer'!$D54&gt;DATE(2011,7,20),D58,)</f>
        <v>0</v>
      </c>
      <c r="L58" s="31" t="n">
        <f aca="false">IF('Stammdaten - Schwimmer'!$D54&gt;DATE(2011,7,20),'Stammdaten - Schwimmer'!F54,)</f>
        <v>0</v>
      </c>
      <c r="M58" s="0" t="e">
        <f aca="false">_xlfn.RANK.EQ(L58,L$4:L$103,0)</f>
        <v>#REF!</v>
      </c>
      <c r="O58" s="31" t="n">
        <f aca="false">IF(AND('Stammdaten - Schwimmer'!$D54&lt;DATE(2011,7,20),'Stammdaten - Schwimmer'!$D54&gt;DATE(2007,7,19)),A58,)</f>
        <v>0</v>
      </c>
      <c r="P58" s="31" t="n">
        <f aca="false">IF(AND('Stammdaten - Schwimmer'!$D54&lt;DATE(2011,7,20),'Stammdaten - Schwimmer'!$D54&gt;DATE(2007,7,19)),B58,)</f>
        <v>0</v>
      </c>
      <c r="Q58" s="31" t="n">
        <f aca="false">IF(AND('Stammdaten - Schwimmer'!$D54&lt;DATE(2011,7,20),'Stammdaten - Schwimmer'!$D54&gt;DATE(2007,7,19)),C58,)</f>
        <v>0</v>
      </c>
      <c r="R58" s="32" t="n">
        <f aca="false">IF(AND('Stammdaten - Schwimmer'!$D54&lt;DATE(2011,7,20),'Stammdaten - Schwimmer'!$D54&gt;DATE(2007,7,19)),D58,)</f>
        <v>0</v>
      </c>
      <c r="S58" s="48" t="n">
        <f aca="false">IF(AND('Stammdaten - Schwimmer'!$D54&lt;DATE(2011,7,20),'Stammdaten - Schwimmer'!$D54&gt;DATE(2007,7,19)),'Stammdaten - Schwimmer'!F54,)</f>
        <v>0</v>
      </c>
      <c r="T58" s="0" t="e">
        <f aca="false">_xlfn.RANK.EQ(S58,S$4:S$103,0)</f>
        <v>#REF!</v>
      </c>
      <c r="V58" s="31" t="n">
        <f aca="false">IF('Stammdaten - Schwimmer'!$D54&lt;DATE(2007,7,20),A58,)</f>
        <v>52</v>
      </c>
      <c r="W58" s="31" t="str">
        <f aca="false">IF('Stammdaten - Schwimmer'!$D54&lt;DATE(2007,7,20),B58,)</f>
        <v>Warga</v>
      </c>
      <c r="X58" s="31" t="str">
        <f aca="false">IF('Stammdaten - Schwimmer'!$D54&lt;DATE(2007,7,20),C58,)</f>
        <v>Christina</v>
      </c>
      <c r="Y58" s="32" t="n">
        <f aca="false">IF('Stammdaten - Schwimmer'!$D54&lt;DATE(2007,7,20),D58,)</f>
        <v>0</v>
      </c>
      <c r="Z58" s="48" t="n">
        <f aca="false">IF('Stammdaten - Schwimmer'!$D54&lt;DATE(2007,7,20),'Stammdaten - Schwimmer'!F54,)</f>
        <v>40</v>
      </c>
      <c r="AA58" s="0" t="e">
        <f aca="false">_xlfn.RANK.EQ(Z58,Z$4:Z$103,0)</f>
        <v>#REF!</v>
      </c>
    </row>
    <row r="59" customFormat="false" ht="15" hidden="false" customHeight="false" outlineLevel="0" collapsed="false">
      <c r="A59" s="46" t="n">
        <f aca="false">'Stammdaten - Schwimmer'!A55</f>
        <v>53</v>
      </c>
      <c r="B59" s="47" t="str">
        <f aca="false">'Stammdaten - Schwimmer'!B55</f>
        <v>Warga</v>
      </c>
      <c r="C59" s="47" t="str">
        <f aca="false">'Stammdaten - Schwimmer'!C55</f>
        <v>Paula</v>
      </c>
      <c r="D59" s="32" t="n">
        <f aca="false">'Stammdaten - Schwimmer'!J55+'Stammdaten - Schwimmer'!N55+'Stammdaten - Schwimmer'!R55+'Stammdaten - Schwimmer'!V55+'Stammdaten - Schwimmer'!Z56</f>
        <v>0</v>
      </c>
      <c r="E59" s="48" t="n">
        <f aca="false">'Stammdaten - Schwimmer'!F55</f>
        <v>58</v>
      </c>
      <c r="H59" s="31" t="n">
        <f aca="false">IF('Stammdaten - Schwimmer'!D55&gt;DATE(2011,7,20),A59,)</f>
        <v>0</v>
      </c>
      <c r="I59" s="31" t="n">
        <f aca="false">IF('Stammdaten - Schwimmer'!$D55&gt;DATE(2011,7,20),B59,)</f>
        <v>0</v>
      </c>
      <c r="J59" s="31" t="n">
        <f aca="false">IF('Stammdaten - Schwimmer'!$D55&gt;DATE(2011,7,20),C59,)</f>
        <v>0</v>
      </c>
      <c r="K59" s="32" t="n">
        <f aca="false">IF('Stammdaten - Schwimmer'!$D55&gt;DATE(2011,7,20),D59,)</f>
        <v>0</v>
      </c>
      <c r="L59" s="31" t="n">
        <f aca="false">IF('Stammdaten - Schwimmer'!$D55&gt;DATE(2011,7,20),'Stammdaten - Schwimmer'!F55,)</f>
        <v>0</v>
      </c>
      <c r="M59" s="0" t="e">
        <f aca="false">_xlfn.RANK.EQ(L59,L$4:L$103,0)</f>
        <v>#REF!</v>
      </c>
      <c r="O59" s="31" t="n">
        <f aca="false">IF(AND('Stammdaten - Schwimmer'!$D55&lt;DATE(2011,7,20),'Stammdaten - Schwimmer'!$D55&gt;DATE(2007,7,19)),A59,)</f>
        <v>53</v>
      </c>
      <c r="P59" s="31" t="str">
        <f aca="false">IF(AND('Stammdaten - Schwimmer'!$D55&lt;DATE(2011,7,20),'Stammdaten - Schwimmer'!$D55&gt;DATE(2007,7,19)),B59,)</f>
        <v>Warga</v>
      </c>
      <c r="Q59" s="31" t="str">
        <f aca="false">IF(AND('Stammdaten - Schwimmer'!$D55&lt;DATE(2011,7,20),'Stammdaten - Schwimmer'!$D55&gt;DATE(2007,7,19)),C59,)</f>
        <v>Paula</v>
      </c>
      <c r="R59" s="32" t="n">
        <f aca="false">IF(AND('Stammdaten - Schwimmer'!$D55&lt;DATE(2011,7,20),'Stammdaten - Schwimmer'!$D55&gt;DATE(2007,7,19)),D59,)</f>
        <v>0</v>
      </c>
      <c r="S59" s="48" t="n">
        <f aca="false">IF(AND('Stammdaten - Schwimmer'!$D55&lt;DATE(2011,7,20),'Stammdaten - Schwimmer'!$D55&gt;DATE(2007,7,19)),'Stammdaten - Schwimmer'!F55,)</f>
        <v>58</v>
      </c>
      <c r="T59" s="0" t="e">
        <f aca="false">_xlfn.RANK.EQ(S59,S$4:S$103,0)</f>
        <v>#REF!</v>
      </c>
      <c r="V59" s="31" t="n">
        <f aca="false">IF('Stammdaten - Schwimmer'!$D55&lt;DATE(2007,7,20),A59,)</f>
        <v>0</v>
      </c>
      <c r="W59" s="31" t="n">
        <f aca="false">IF('Stammdaten - Schwimmer'!$D55&lt;DATE(2007,7,20),B59,)</f>
        <v>0</v>
      </c>
      <c r="X59" s="31" t="n">
        <f aca="false">IF('Stammdaten - Schwimmer'!$D55&lt;DATE(2007,7,20),C59,)</f>
        <v>0</v>
      </c>
      <c r="Y59" s="32" t="n">
        <f aca="false">IF('Stammdaten - Schwimmer'!$D55&lt;DATE(2007,7,20),D59,)</f>
        <v>0</v>
      </c>
      <c r="Z59" s="48" t="n">
        <f aca="false">IF('Stammdaten - Schwimmer'!$D55&lt;DATE(2007,7,20),'Stammdaten - Schwimmer'!F55,)</f>
        <v>0</v>
      </c>
      <c r="AA59" s="0" t="e">
        <f aca="false">_xlfn.RANK.EQ(Z59,Z$4:Z$103,0)</f>
        <v>#REF!</v>
      </c>
    </row>
    <row r="60" customFormat="false" ht="15" hidden="false" customHeight="false" outlineLevel="0" collapsed="false">
      <c r="A60" s="46" t="n">
        <f aca="false">'Stammdaten - Schwimmer'!A56</f>
        <v>54</v>
      </c>
      <c r="B60" s="47" t="str">
        <f aca="false">'Stammdaten - Schwimmer'!B56</f>
        <v>Warga</v>
      </c>
      <c r="C60" s="47" t="str">
        <f aca="false">'Stammdaten - Schwimmer'!C56</f>
        <v>Christian</v>
      </c>
      <c r="D60" s="32" t="n">
        <f aca="false">'Stammdaten - Schwimmer'!J56+'Stammdaten - Schwimmer'!N56+'Stammdaten - Schwimmer'!R56+'Stammdaten - Schwimmer'!V56+'Stammdaten - Schwimmer'!Z57</f>
        <v>0</v>
      </c>
      <c r="E60" s="48" t="n">
        <f aca="false">'Stammdaten - Schwimmer'!F56</f>
        <v>38</v>
      </c>
      <c r="H60" s="31" t="n">
        <f aca="false">IF('Stammdaten - Schwimmer'!D56&gt;DATE(2011,7,20),A60,)</f>
        <v>0</v>
      </c>
      <c r="I60" s="31" t="n">
        <f aca="false">IF('Stammdaten - Schwimmer'!$D56&gt;DATE(2011,7,20),B60,)</f>
        <v>0</v>
      </c>
      <c r="J60" s="31" t="n">
        <f aca="false">IF('Stammdaten - Schwimmer'!$D56&gt;DATE(2011,7,20),C60,)</f>
        <v>0</v>
      </c>
      <c r="K60" s="32" t="n">
        <f aca="false">IF('Stammdaten - Schwimmer'!$D56&gt;DATE(2011,7,20),D60,)</f>
        <v>0</v>
      </c>
      <c r="L60" s="31" t="n">
        <f aca="false">IF('Stammdaten - Schwimmer'!$D56&gt;DATE(2011,7,20),'Stammdaten - Schwimmer'!F56,)</f>
        <v>0</v>
      </c>
      <c r="M60" s="0" t="e">
        <f aca="false">_xlfn.RANK.EQ(L60,L$4:L$103,0)</f>
        <v>#REF!</v>
      </c>
      <c r="O60" s="31" t="n">
        <f aca="false">IF(AND('Stammdaten - Schwimmer'!$D56&lt;DATE(2011,7,20),'Stammdaten - Schwimmer'!$D56&gt;DATE(2007,7,19)),A60,)</f>
        <v>0</v>
      </c>
      <c r="P60" s="31" t="n">
        <f aca="false">IF(AND('Stammdaten - Schwimmer'!$D56&lt;DATE(2011,7,20),'Stammdaten - Schwimmer'!$D56&gt;DATE(2007,7,19)),B60,)</f>
        <v>0</v>
      </c>
      <c r="Q60" s="31" t="n">
        <f aca="false">IF(AND('Stammdaten - Schwimmer'!$D56&lt;DATE(2011,7,20),'Stammdaten - Schwimmer'!$D56&gt;DATE(2007,7,19)),C60,)</f>
        <v>0</v>
      </c>
      <c r="R60" s="32" t="n">
        <f aca="false">IF(AND('Stammdaten - Schwimmer'!$D56&lt;DATE(2011,7,20),'Stammdaten - Schwimmer'!$D56&gt;DATE(2007,7,19)),D60,)</f>
        <v>0</v>
      </c>
      <c r="S60" s="48" t="n">
        <f aca="false">IF(AND('Stammdaten - Schwimmer'!$D56&lt;DATE(2011,7,20),'Stammdaten - Schwimmer'!$D56&gt;DATE(2007,7,19)),'Stammdaten - Schwimmer'!F56,)</f>
        <v>0</v>
      </c>
      <c r="T60" s="0" t="e">
        <f aca="false">_xlfn.RANK.EQ(S60,S$4:S$103,0)</f>
        <v>#REF!</v>
      </c>
      <c r="V60" s="31" t="n">
        <f aca="false">IF('Stammdaten - Schwimmer'!$D56&lt;DATE(2007,7,20),A60,)</f>
        <v>54</v>
      </c>
      <c r="W60" s="31" t="str">
        <f aca="false">IF('Stammdaten - Schwimmer'!$D56&lt;DATE(2007,7,20),B60,)</f>
        <v>Warga</v>
      </c>
      <c r="X60" s="31" t="str">
        <f aca="false">IF('Stammdaten - Schwimmer'!$D56&lt;DATE(2007,7,20),C60,)</f>
        <v>Christian</v>
      </c>
      <c r="Y60" s="32" t="n">
        <f aca="false">IF('Stammdaten - Schwimmer'!$D56&lt;DATE(2007,7,20),D60,)</f>
        <v>0</v>
      </c>
      <c r="Z60" s="48" t="n">
        <f aca="false">IF('Stammdaten - Schwimmer'!$D56&lt;DATE(2007,7,20),'Stammdaten - Schwimmer'!F56,)</f>
        <v>38</v>
      </c>
      <c r="AA60" s="0" t="e">
        <f aca="false">_xlfn.RANK.EQ(Z60,Z$4:Z$103,0)</f>
        <v>#REF!</v>
      </c>
    </row>
    <row r="61" customFormat="false" ht="15" hidden="false" customHeight="false" outlineLevel="0" collapsed="false">
      <c r="A61" s="46" t="n">
        <f aca="false">'Stammdaten - Schwimmer'!A57</f>
        <v>55</v>
      </c>
      <c r="B61" s="47" t="n">
        <f aca="false">'Stammdaten - Schwimmer'!B57</f>
        <v>0</v>
      </c>
      <c r="C61" s="47" t="n">
        <f aca="false">'Stammdaten - Schwimmer'!C57</f>
        <v>0</v>
      </c>
      <c r="D61" s="32" t="n">
        <f aca="false">'Stammdaten - Schwimmer'!J57+'Stammdaten - Schwimmer'!N57+'Stammdaten - Schwimmer'!R57+'Stammdaten - Schwimmer'!V57+'Stammdaten - Schwimmer'!Z58</f>
        <v>0</v>
      </c>
      <c r="E61" s="48" t="n">
        <f aca="false">'Stammdaten - Schwimmer'!F57</f>
        <v>0</v>
      </c>
      <c r="H61" s="31" t="n">
        <f aca="false">IF('Stammdaten - Schwimmer'!D57&gt;DATE(2011,7,20),A61,)</f>
        <v>0</v>
      </c>
      <c r="I61" s="31" t="n">
        <f aca="false">IF('Stammdaten - Schwimmer'!$D57&gt;DATE(2011,7,20),B61,)</f>
        <v>0</v>
      </c>
      <c r="J61" s="31" t="n">
        <f aca="false">IF('Stammdaten - Schwimmer'!$D57&gt;DATE(2011,7,20),C61,)</f>
        <v>0</v>
      </c>
      <c r="K61" s="32" t="n">
        <f aca="false">IF('Stammdaten - Schwimmer'!$D57&gt;DATE(2011,7,20),D61,)</f>
        <v>0</v>
      </c>
      <c r="L61" s="31" t="n">
        <f aca="false">IF('Stammdaten - Schwimmer'!$D57&gt;DATE(2011,7,20),'Stammdaten - Schwimmer'!F57,)</f>
        <v>0</v>
      </c>
      <c r="M61" s="0" t="e">
        <f aca="false">_xlfn.RANK.EQ(L61,L$4:L$103,0)</f>
        <v>#REF!</v>
      </c>
      <c r="O61" s="31" t="n">
        <f aca="false">IF(AND('Stammdaten - Schwimmer'!$D57&lt;DATE(2011,7,20),'Stammdaten - Schwimmer'!$D57&gt;DATE(2007,7,19)),A61,)</f>
        <v>0</v>
      </c>
      <c r="P61" s="31" t="n">
        <f aca="false">IF(AND('Stammdaten - Schwimmer'!$D57&lt;DATE(2011,7,20),'Stammdaten - Schwimmer'!$D57&gt;DATE(2007,7,19)),B61,)</f>
        <v>0</v>
      </c>
      <c r="Q61" s="31" t="n">
        <f aca="false">IF(AND('Stammdaten - Schwimmer'!$D57&lt;DATE(2011,7,20),'Stammdaten - Schwimmer'!$D57&gt;DATE(2007,7,19)),C61,)</f>
        <v>0</v>
      </c>
      <c r="R61" s="32" t="n">
        <f aca="false">IF(AND('Stammdaten - Schwimmer'!$D57&lt;DATE(2011,7,20),'Stammdaten - Schwimmer'!$D57&gt;DATE(2007,7,19)),D61,)</f>
        <v>0</v>
      </c>
      <c r="S61" s="48" t="n">
        <f aca="false">IF(AND('Stammdaten - Schwimmer'!$D57&lt;DATE(2011,7,20),'Stammdaten - Schwimmer'!$D57&gt;DATE(2007,7,19)),'Stammdaten - Schwimmer'!F57,)</f>
        <v>0</v>
      </c>
      <c r="T61" s="0" t="e">
        <f aca="false">_xlfn.RANK.EQ(S61,S$4:S$103,0)</f>
        <v>#REF!</v>
      </c>
      <c r="V61" s="31" t="n">
        <f aca="false">IF('Stammdaten - Schwimmer'!$D57&lt;DATE(2007,7,20),A61,)</f>
        <v>55</v>
      </c>
      <c r="W61" s="31" t="n">
        <f aca="false">IF('Stammdaten - Schwimmer'!$D57&lt;DATE(2007,7,20),B61,)</f>
        <v>0</v>
      </c>
      <c r="X61" s="31" t="n">
        <f aca="false">IF('Stammdaten - Schwimmer'!$D57&lt;DATE(2007,7,20),C61,)</f>
        <v>0</v>
      </c>
      <c r="Y61" s="32" t="n">
        <f aca="false">IF('Stammdaten - Schwimmer'!$D57&lt;DATE(2007,7,20),D61,)</f>
        <v>0</v>
      </c>
      <c r="Z61" s="48" t="n">
        <f aca="false">IF('Stammdaten - Schwimmer'!$D57&lt;DATE(2007,7,20),'Stammdaten - Schwimmer'!F57,)</f>
        <v>0</v>
      </c>
      <c r="AA61" s="0" t="e">
        <f aca="false">_xlfn.RANK.EQ(Z61,Z$4:Z$103,0)</f>
        <v>#REF!</v>
      </c>
    </row>
    <row r="62" customFormat="false" ht="15" hidden="false" customHeight="false" outlineLevel="0" collapsed="false">
      <c r="A62" s="46" t="n">
        <f aca="false">'Stammdaten - Schwimmer'!A58</f>
        <v>56</v>
      </c>
      <c r="B62" s="47" t="n">
        <f aca="false">'Stammdaten - Schwimmer'!B58</f>
        <v>0</v>
      </c>
      <c r="C62" s="47" t="n">
        <f aca="false">'Stammdaten - Schwimmer'!C58</f>
        <v>0</v>
      </c>
      <c r="D62" s="32" t="n">
        <f aca="false">'Stammdaten - Schwimmer'!J58+'Stammdaten - Schwimmer'!N58+'Stammdaten - Schwimmer'!R58+'Stammdaten - Schwimmer'!V58+'Stammdaten - Schwimmer'!Z59</f>
        <v>0</v>
      </c>
      <c r="E62" s="48" t="n">
        <f aca="false">'Stammdaten - Schwimmer'!F58</f>
        <v>0</v>
      </c>
      <c r="H62" s="31" t="n">
        <f aca="false">IF('Stammdaten - Schwimmer'!D58&gt;DATE(2011,7,20),A62,)</f>
        <v>0</v>
      </c>
      <c r="I62" s="31" t="n">
        <f aca="false">IF('Stammdaten - Schwimmer'!$D58&gt;DATE(2011,7,20),B62,)</f>
        <v>0</v>
      </c>
      <c r="J62" s="31" t="n">
        <f aca="false">IF('Stammdaten - Schwimmer'!$D58&gt;DATE(2011,7,20),C62,)</f>
        <v>0</v>
      </c>
      <c r="K62" s="32" t="n">
        <f aca="false">IF('Stammdaten - Schwimmer'!$D58&gt;DATE(2011,7,20),D62,)</f>
        <v>0</v>
      </c>
      <c r="L62" s="31" t="n">
        <f aca="false">IF('Stammdaten - Schwimmer'!$D58&gt;DATE(2011,7,20),'Stammdaten - Schwimmer'!F58,)</f>
        <v>0</v>
      </c>
      <c r="M62" s="0" t="e">
        <f aca="false">_xlfn.RANK.EQ(L62,L$4:L$103,0)</f>
        <v>#REF!</v>
      </c>
      <c r="O62" s="31" t="n">
        <f aca="false">IF(AND('Stammdaten - Schwimmer'!$D58&lt;DATE(2011,7,20),'Stammdaten - Schwimmer'!$D58&gt;DATE(2007,7,19)),A62,)</f>
        <v>0</v>
      </c>
      <c r="P62" s="31" t="n">
        <f aca="false">IF(AND('Stammdaten - Schwimmer'!$D58&lt;DATE(2011,7,20),'Stammdaten - Schwimmer'!$D58&gt;DATE(2007,7,19)),B62,)</f>
        <v>0</v>
      </c>
      <c r="Q62" s="31" t="n">
        <f aca="false">IF(AND('Stammdaten - Schwimmer'!$D58&lt;DATE(2011,7,20),'Stammdaten - Schwimmer'!$D58&gt;DATE(2007,7,19)),C62,)</f>
        <v>0</v>
      </c>
      <c r="R62" s="32" t="n">
        <f aca="false">IF(AND('Stammdaten - Schwimmer'!$D58&lt;DATE(2011,7,20),'Stammdaten - Schwimmer'!$D58&gt;DATE(2007,7,19)),D62,)</f>
        <v>0</v>
      </c>
      <c r="S62" s="48" t="n">
        <f aca="false">IF(AND('Stammdaten - Schwimmer'!$D58&lt;DATE(2011,7,20),'Stammdaten - Schwimmer'!$D58&gt;DATE(2007,7,19)),'Stammdaten - Schwimmer'!F58,)</f>
        <v>0</v>
      </c>
      <c r="T62" s="0" t="e">
        <f aca="false">_xlfn.RANK.EQ(S62,S$4:S$103,0)</f>
        <v>#REF!</v>
      </c>
      <c r="V62" s="31" t="n">
        <f aca="false">IF('Stammdaten - Schwimmer'!$D58&lt;DATE(2007,7,20),A62,)</f>
        <v>56</v>
      </c>
      <c r="W62" s="31" t="n">
        <f aca="false">IF('Stammdaten - Schwimmer'!$D58&lt;DATE(2007,7,20),B62,)</f>
        <v>0</v>
      </c>
      <c r="X62" s="31" t="n">
        <f aca="false">IF('Stammdaten - Schwimmer'!$D58&lt;DATE(2007,7,20),C62,)</f>
        <v>0</v>
      </c>
      <c r="Y62" s="32" t="n">
        <f aca="false">IF('Stammdaten - Schwimmer'!$D58&lt;DATE(2007,7,20),D62,)</f>
        <v>0</v>
      </c>
      <c r="Z62" s="48" t="n">
        <f aca="false">IF('Stammdaten - Schwimmer'!$D58&lt;DATE(2007,7,20),'Stammdaten - Schwimmer'!F58,)</f>
        <v>0</v>
      </c>
      <c r="AA62" s="0" t="e">
        <f aca="false">_xlfn.RANK.EQ(Z62,Z$4:Z$103,0)</f>
        <v>#REF!</v>
      </c>
    </row>
    <row r="63" customFormat="false" ht="15" hidden="false" customHeight="false" outlineLevel="0" collapsed="false">
      <c r="A63" s="46" t="n">
        <f aca="false">'Stammdaten - Schwimmer'!A59</f>
        <v>57</v>
      </c>
      <c r="B63" s="47" t="n">
        <f aca="false">'Stammdaten - Schwimmer'!B59</f>
        <v>0</v>
      </c>
      <c r="C63" s="47" t="n">
        <f aca="false">'Stammdaten - Schwimmer'!C59</f>
        <v>0</v>
      </c>
      <c r="D63" s="32" t="n">
        <f aca="false">'Stammdaten - Schwimmer'!J59+'Stammdaten - Schwimmer'!N59+'Stammdaten - Schwimmer'!R59+'Stammdaten - Schwimmer'!V59+'Stammdaten - Schwimmer'!Z60</f>
        <v>0</v>
      </c>
      <c r="E63" s="48" t="n">
        <f aca="false">'Stammdaten - Schwimmer'!F59</f>
        <v>0</v>
      </c>
      <c r="H63" s="31" t="n">
        <f aca="false">IF('Stammdaten - Schwimmer'!D59&gt;DATE(2011,7,20),A63,)</f>
        <v>0</v>
      </c>
      <c r="I63" s="31" t="n">
        <f aca="false">IF('Stammdaten - Schwimmer'!$D59&gt;DATE(2011,7,20),B63,)</f>
        <v>0</v>
      </c>
      <c r="J63" s="31" t="n">
        <f aca="false">IF('Stammdaten - Schwimmer'!$D59&gt;DATE(2011,7,20),C63,)</f>
        <v>0</v>
      </c>
      <c r="K63" s="32" t="n">
        <f aca="false">IF('Stammdaten - Schwimmer'!$D59&gt;DATE(2011,7,20),D63,)</f>
        <v>0</v>
      </c>
      <c r="L63" s="31" t="n">
        <f aca="false">IF('Stammdaten - Schwimmer'!$D59&gt;DATE(2011,7,20),'Stammdaten - Schwimmer'!F59,)</f>
        <v>0</v>
      </c>
      <c r="M63" s="0" t="e">
        <f aca="false">_xlfn.RANK.EQ(L63,L$4:L$103,0)</f>
        <v>#REF!</v>
      </c>
      <c r="O63" s="31" t="n">
        <f aca="false">IF(AND('Stammdaten - Schwimmer'!$D59&lt;DATE(2011,7,20),'Stammdaten - Schwimmer'!$D59&gt;DATE(2007,7,19)),A63,)</f>
        <v>0</v>
      </c>
      <c r="P63" s="31" t="n">
        <f aca="false">IF(AND('Stammdaten - Schwimmer'!$D59&lt;DATE(2011,7,20),'Stammdaten - Schwimmer'!$D59&gt;DATE(2007,7,19)),B63,)</f>
        <v>0</v>
      </c>
      <c r="Q63" s="31" t="n">
        <f aca="false">IF(AND('Stammdaten - Schwimmer'!$D59&lt;DATE(2011,7,20),'Stammdaten - Schwimmer'!$D59&gt;DATE(2007,7,19)),C63,)</f>
        <v>0</v>
      </c>
      <c r="R63" s="32" t="n">
        <f aca="false">IF(AND('Stammdaten - Schwimmer'!$D59&lt;DATE(2011,7,20),'Stammdaten - Schwimmer'!$D59&gt;DATE(2007,7,19)),D63,)</f>
        <v>0</v>
      </c>
      <c r="S63" s="48" t="n">
        <f aca="false">IF(AND('Stammdaten - Schwimmer'!$D59&lt;DATE(2011,7,20),'Stammdaten - Schwimmer'!$D59&gt;DATE(2007,7,19)),'Stammdaten - Schwimmer'!F59,)</f>
        <v>0</v>
      </c>
      <c r="T63" s="0" t="e">
        <f aca="false">_xlfn.RANK.EQ(S63,S$4:S$103,0)</f>
        <v>#REF!</v>
      </c>
      <c r="V63" s="31" t="n">
        <f aca="false">IF('Stammdaten - Schwimmer'!$D59&lt;DATE(2007,7,20),A63,)</f>
        <v>57</v>
      </c>
      <c r="W63" s="31" t="n">
        <f aca="false">IF('Stammdaten - Schwimmer'!$D59&lt;DATE(2007,7,20),B63,)</f>
        <v>0</v>
      </c>
      <c r="X63" s="31" t="n">
        <f aca="false">IF('Stammdaten - Schwimmer'!$D59&lt;DATE(2007,7,20),C63,)</f>
        <v>0</v>
      </c>
      <c r="Y63" s="32" t="n">
        <f aca="false">IF('Stammdaten - Schwimmer'!$D59&lt;DATE(2007,7,20),D63,)</f>
        <v>0</v>
      </c>
      <c r="Z63" s="48" t="n">
        <f aca="false">IF('Stammdaten - Schwimmer'!$D59&lt;DATE(2007,7,20),'Stammdaten - Schwimmer'!F59,)</f>
        <v>0</v>
      </c>
      <c r="AA63" s="0" t="e">
        <f aca="false">_xlfn.RANK.EQ(Z63,Z$4:Z$103,0)</f>
        <v>#REF!</v>
      </c>
    </row>
    <row r="64" customFormat="false" ht="15" hidden="false" customHeight="false" outlineLevel="0" collapsed="false">
      <c r="A64" s="46" t="n">
        <f aca="false">'Stammdaten - Schwimmer'!A60</f>
        <v>58</v>
      </c>
      <c r="B64" s="47" t="n">
        <f aca="false">'Stammdaten - Schwimmer'!B60</f>
        <v>0</v>
      </c>
      <c r="C64" s="47" t="n">
        <f aca="false">'Stammdaten - Schwimmer'!C60</f>
        <v>0</v>
      </c>
      <c r="D64" s="32" t="n">
        <f aca="false">'Stammdaten - Schwimmer'!J60+'Stammdaten - Schwimmer'!N60+'Stammdaten - Schwimmer'!R60+'Stammdaten - Schwimmer'!V60+'Stammdaten - Schwimmer'!Z61</f>
        <v>0</v>
      </c>
      <c r="E64" s="48" t="n">
        <f aca="false">'Stammdaten - Schwimmer'!F60</f>
        <v>0</v>
      </c>
      <c r="H64" s="31" t="n">
        <f aca="false">IF('Stammdaten - Schwimmer'!D60&gt;DATE(2011,7,20),A64,)</f>
        <v>0</v>
      </c>
      <c r="I64" s="31" t="n">
        <f aca="false">IF('Stammdaten - Schwimmer'!$D60&gt;DATE(2011,7,20),B64,)</f>
        <v>0</v>
      </c>
      <c r="J64" s="31" t="n">
        <f aca="false">IF('Stammdaten - Schwimmer'!$D60&gt;DATE(2011,7,20),C64,)</f>
        <v>0</v>
      </c>
      <c r="K64" s="32" t="n">
        <f aca="false">IF('Stammdaten - Schwimmer'!$D60&gt;DATE(2011,7,20),D64,)</f>
        <v>0</v>
      </c>
      <c r="L64" s="31" t="n">
        <f aca="false">IF('Stammdaten - Schwimmer'!$D60&gt;DATE(2011,7,20),'Stammdaten - Schwimmer'!F60,)</f>
        <v>0</v>
      </c>
      <c r="M64" s="0" t="e">
        <f aca="false">_xlfn.RANK.EQ(L64,L$4:L$103,0)</f>
        <v>#REF!</v>
      </c>
      <c r="O64" s="31" t="n">
        <f aca="false">IF(AND('Stammdaten - Schwimmer'!$D60&lt;DATE(2011,7,20),'Stammdaten - Schwimmer'!$D60&gt;DATE(2007,7,19)),A64,)</f>
        <v>0</v>
      </c>
      <c r="P64" s="31" t="n">
        <f aca="false">IF(AND('Stammdaten - Schwimmer'!$D60&lt;DATE(2011,7,20),'Stammdaten - Schwimmer'!$D60&gt;DATE(2007,7,19)),B64,)</f>
        <v>0</v>
      </c>
      <c r="Q64" s="31" t="n">
        <f aca="false">IF(AND('Stammdaten - Schwimmer'!$D60&lt;DATE(2011,7,20),'Stammdaten - Schwimmer'!$D60&gt;DATE(2007,7,19)),C64,)</f>
        <v>0</v>
      </c>
      <c r="R64" s="32" t="n">
        <f aca="false">IF(AND('Stammdaten - Schwimmer'!$D60&lt;DATE(2011,7,20),'Stammdaten - Schwimmer'!$D60&gt;DATE(2007,7,19)),D64,)</f>
        <v>0</v>
      </c>
      <c r="S64" s="48" t="n">
        <f aca="false">IF(AND('Stammdaten - Schwimmer'!$D60&lt;DATE(2011,7,20),'Stammdaten - Schwimmer'!$D60&gt;DATE(2007,7,19)),'Stammdaten - Schwimmer'!F60,)</f>
        <v>0</v>
      </c>
      <c r="T64" s="0" t="e">
        <f aca="false">_xlfn.RANK.EQ(S64,S$4:S$103,0)</f>
        <v>#REF!</v>
      </c>
      <c r="V64" s="31" t="n">
        <f aca="false">IF('Stammdaten - Schwimmer'!$D60&lt;DATE(2007,7,20),A64,)</f>
        <v>58</v>
      </c>
      <c r="W64" s="31" t="n">
        <f aca="false">IF('Stammdaten - Schwimmer'!$D60&lt;DATE(2007,7,20),B64,)</f>
        <v>0</v>
      </c>
      <c r="X64" s="31" t="n">
        <f aca="false">IF('Stammdaten - Schwimmer'!$D60&lt;DATE(2007,7,20),C64,)</f>
        <v>0</v>
      </c>
      <c r="Y64" s="32" t="n">
        <f aca="false">IF('Stammdaten - Schwimmer'!$D60&lt;DATE(2007,7,20),D64,)</f>
        <v>0</v>
      </c>
      <c r="Z64" s="48" t="n">
        <f aca="false">IF('Stammdaten - Schwimmer'!$D60&lt;DATE(2007,7,20),'Stammdaten - Schwimmer'!F60,)</f>
        <v>0</v>
      </c>
      <c r="AA64" s="0" t="e">
        <f aca="false">_xlfn.RANK.EQ(Z64,Z$4:Z$103,0)</f>
        <v>#REF!</v>
      </c>
    </row>
    <row r="65" customFormat="false" ht="15" hidden="false" customHeight="false" outlineLevel="0" collapsed="false">
      <c r="A65" s="46" t="n">
        <f aca="false">'Stammdaten - Schwimmer'!A61</f>
        <v>59</v>
      </c>
      <c r="B65" s="47" t="n">
        <f aca="false">'Stammdaten - Schwimmer'!B61</f>
        <v>0</v>
      </c>
      <c r="C65" s="47" t="n">
        <f aca="false">'Stammdaten - Schwimmer'!C61</f>
        <v>0</v>
      </c>
      <c r="D65" s="32" t="n">
        <f aca="false">'Stammdaten - Schwimmer'!J61+'Stammdaten - Schwimmer'!N61+'Stammdaten - Schwimmer'!R61+'Stammdaten - Schwimmer'!V61+'Stammdaten - Schwimmer'!Z62</f>
        <v>0</v>
      </c>
      <c r="E65" s="48" t="n">
        <f aca="false">'Stammdaten - Schwimmer'!F61</f>
        <v>0</v>
      </c>
      <c r="H65" s="31" t="n">
        <f aca="false">IF('Stammdaten - Schwimmer'!D61&gt;DATE(2011,7,20),A65,)</f>
        <v>0</v>
      </c>
      <c r="I65" s="31" t="n">
        <f aca="false">IF('Stammdaten - Schwimmer'!$D61&gt;DATE(2011,7,20),B65,)</f>
        <v>0</v>
      </c>
      <c r="J65" s="31" t="n">
        <f aca="false">IF('Stammdaten - Schwimmer'!$D61&gt;DATE(2011,7,20),C65,)</f>
        <v>0</v>
      </c>
      <c r="K65" s="32" t="n">
        <f aca="false">IF('Stammdaten - Schwimmer'!$D61&gt;DATE(2011,7,20),D65,)</f>
        <v>0</v>
      </c>
      <c r="L65" s="31" t="n">
        <f aca="false">IF('Stammdaten - Schwimmer'!$D61&gt;DATE(2011,7,20),'Stammdaten - Schwimmer'!F61,)</f>
        <v>0</v>
      </c>
      <c r="M65" s="0" t="e">
        <f aca="false">_xlfn.RANK.EQ(L65,L$4:L$103,0)</f>
        <v>#REF!</v>
      </c>
      <c r="O65" s="31" t="n">
        <f aca="false">IF(AND('Stammdaten - Schwimmer'!$D61&lt;DATE(2011,7,20),'Stammdaten - Schwimmer'!$D61&gt;DATE(2007,7,19)),A65,)</f>
        <v>0</v>
      </c>
      <c r="P65" s="31" t="n">
        <f aca="false">IF(AND('Stammdaten - Schwimmer'!$D61&lt;DATE(2011,7,20),'Stammdaten - Schwimmer'!$D61&gt;DATE(2007,7,19)),B65,)</f>
        <v>0</v>
      </c>
      <c r="Q65" s="31" t="n">
        <f aca="false">IF(AND('Stammdaten - Schwimmer'!$D61&lt;DATE(2011,7,20),'Stammdaten - Schwimmer'!$D61&gt;DATE(2007,7,19)),C65,)</f>
        <v>0</v>
      </c>
      <c r="R65" s="32" t="n">
        <f aca="false">IF(AND('Stammdaten - Schwimmer'!$D61&lt;DATE(2011,7,20),'Stammdaten - Schwimmer'!$D61&gt;DATE(2007,7,19)),D65,)</f>
        <v>0</v>
      </c>
      <c r="S65" s="48" t="n">
        <f aca="false">IF(AND('Stammdaten - Schwimmer'!$D61&lt;DATE(2011,7,20),'Stammdaten - Schwimmer'!$D61&gt;DATE(2007,7,19)),'Stammdaten - Schwimmer'!F61,)</f>
        <v>0</v>
      </c>
      <c r="T65" s="0" t="e">
        <f aca="false">_xlfn.RANK.EQ(S65,S$4:S$103,0)</f>
        <v>#REF!</v>
      </c>
      <c r="V65" s="31" t="n">
        <f aca="false">IF('Stammdaten - Schwimmer'!$D61&lt;DATE(2007,7,20),A65,)</f>
        <v>59</v>
      </c>
      <c r="W65" s="31" t="n">
        <f aca="false">IF('Stammdaten - Schwimmer'!$D61&lt;DATE(2007,7,20),B65,)</f>
        <v>0</v>
      </c>
      <c r="X65" s="31" t="n">
        <f aca="false">IF('Stammdaten - Schwimmer'!$D61&lt;DATE(2007,7,20),C65,)</f>
        <v>0</v>
      </c>
      <c r="Y65" s="32" t="n">
        <f aca="false">IF('Stammdaten - Schwimmer'!$D61&lt;DATE(2007,7,20),D65,)</f>
        <v>0</v>
      </c>
      <c r="Z65" s="48" t="n">
        <f aca="false">IF('Stammdaten - Schwimmer'!$D61&lt;DATE(2007,7,20),'Stammdaten - Schwimmer'!F61,)</f>
        <v>0</v>
      </c>
      <c r="AA65" s="0" t="e">
        <f aca="false">_xlfn.RANK.EQ(Z65,Z$4:Z$103,0)</f>
        <v>#REF!</v>
      </c>
    </row>
    <row r="66" customFormat="false" ht="15" hidden="false" customHeight="false" outlineLevel="0" collapsed="false">
      <c r="A66" s="46" t="n">
        <f aca="false">'Stammdaten - Schwimmer'!A62</f>
        <v>60</v>
      </c>
      <c r="B66" s="47" t="n">
        <f aca="false">'Stammdaten - Schwimmer'!B62</f>
        <v>0</v>
      </c>
      <c r="C66" s="47" t="n">
        <f aca="false">'Stammdaten - Schwimmer'!C62</f>
        <v>0</v>
      </c>
      <c r="D66" s="32" t="n">
        <f aca="false">'Stammdaten - Schwimmer'!J62+'Stammdaten - Schwimmer'!N62+'Stammdaten - Schwimmer'!R62+'Stammdaten - Schwimmer'!V62+'Stammdaten - Schwimmer'!Z63</f>
        <v>0</v>
      </c>
      <c r="E66" s="48" t="n">
        <f aca="false">'Stammdaten - Schwimmer'!F62</f>
        <v>0</v>
      </c>
      <c r="H66" s="31" t="n">
        <f aca="false">IF('Stammdaten - Schwimmer'!D62&gt;DATE(2011,7,20),A66,)</f>
        <v>0</v>
      </c>
      <c r="I66" s="31" t="n">
        <f aca="false">IF('Stammdaten - Schwimmer'!$D62&gt;DATE(2011,7,20),B66,)</f>
        <v>0</v>
      </c>
      <c r="J66" s="31" t="n">
        <f aca="false">IF('Stammdaten - Schwimmer'!$D62&gt;DATE(2011,7,20),C66,)</f>
        <v>0</v>
      </c>
      <c r="K66" s="32" t="n">
        <f aca="false">IF('Stammdaten - Schwimmer'!$D62&gt;DATE(2011,7,20),D66,)</f>
        <v>0</v>
      </c>
      <c r="L66" s="31" t="n">
        <f aca="false">IF('Stammdaten - Schwimmer'!$D62&gt;DATE(2011,7,20),'Stammdaten - Schwimmer'!F62,)</f>
        <v>0</v>
      </c>
      <c r="M66" s="0" t="e">
        <f aca="false">_xlfn.RANK.EQ(L66,L$4:L$103,0)</f>
        <v>#REF!</v>
      </c>
      <c r="O66" s="31" t="n">
        <f aca="false">IF(AND('Stammdaten - Schwimmer'!$D62&lt;DATE(2011,7,20),'Stammdaten - Schwimmer'!$D62&gt;DATE(2007,7,19)),A66,)</f>
        <v>0</v>
      </c>
      <c r="P66" s="31" t="n">
        <f aca="false">IF(AND('Stammdaten - Schwimmer'!$D62&lt;DATE(2011,7,20),'Stammdaten - Schwimmer'!$D62&gt;DATE(2007,7,19)),B66,)</f>
        <v>0</v>
      </c>
      <c r="Q66" s="31" t="n">
        <f aca="false">IF(AND('Stammdaten - Schwimmer'!$D62&lt;DATE(2011,7,20),'Stammdaten - Schwimmer'!$D62&gt;DATE(2007,7,19)),C66,)</f>
        <v>0</v>
      </c>
      <c r="R66" s="32" t="n">
        <f aca="false">IF(AND('Stammdaten - Schwimmer'!$D62&lt;DATE(2011,7,20),'Stammdaten - Schwimmer'!$D62&gt;DATE(2007,7,19)),D66,)</f>
        <v>0</v>
      </c>
      <c r="S66" s="48" t="n">
        <f aca="false">IF(AND('Stammdaten - Schwimmer'!$D62&lt;DATE(2011,7,20),'Stammdaten - Schwimmer'!$D62&gt;DATE(2007,7,19)),'Stammdaten - Schwimmer'!F62,)</f>
        <v>0</v>
      </c>
      <c r="T66" s="0" t="e">
        <f aca="false">_xlfn.RANK.EQ(S66,S$4:S$103,0)</f>
        <v>#REF!</v>
      </c>
      <c r="V66" s="31" t="n">
        <f aca="false">IF('Stammdaten - Schwimmer'!$D62&lt;DATE(2007,7,20),A66,)</f>
        <v>60</v>
      </c>
      <c r="W66" s="31" t="n">
        <f aca="false">IF('Stammdaten - Schwimmer'!$D62&lt;DATE(2007,7,20),B66,)</f>
        <v>0</v>
      </c>
      <c r="X66" s="31" t="n">
        <f aca="false">IF('Stammdaten - Schwimmer'!$D62&lt;DATE(2007,7,20),C66,)</f>
        <v>0</v>
      </c>
      <c r="Y66" s="32" t="n">
        <f aca="false">IF('Stammdaten - Schwimmer'!$D62&lt;DATE(2007,7,20),D66,)</f>
        <v>0</v>
      </c>
      <c r="Z66" s="48" t="n">
        <f aca="false">IF('Stammdaten - Schwimmer'!$D62&lt;DATE(2007,7,20),'Stammdaten - Schwimmer'!F62,)</f>
        <v>0</v>
      </c>
      <c r="AA66" s="0" t="e">
        <f aca="false">_xlfn.RANK.EQ(Z66,Z$4:Z$103,0)</f>
        <v>#REF!</v>
      </c>
    </row>
    <row r="67" customFormat="false" ht="15" hidden="false" customHeight="false" outlineLevel="0" collapsed="false">
      <c r="A67" s="46" t="n">
        <f aca="false">'Stammdaten - Schwimmer'!A63</f>
        <v>61</v>
      </c>
      <c r="B67" s="47" t="n">
        <f aca="false">'Stammdaten - Schwimmer'!B63</f>
        <v>0</v>
      </c>
      <c r="C67" s="47" t="n">
        <f aca="false">'Stammdaten - Schwimmer'!C63</f>
        <v>0</v>
      </c>
      <c r="D67" s="32" t="n">
        <f aca="false">'Stammdaten - Schwimmer'!J63+'Stammdaten - Schwimmer'!N63+'Stammdaten - Schwimmer'!R63+'Stammdaten - Schwimmer'!V63+'Stammdaten - Schwimmer'!Z64</f>
        <v>0</v>
      </c>
      <c r="E67" s="48" t="n">
        <f aca="false">'Stammdaten - Schwimmer'!F63</f>
        <v>0</v>
      </c>
      <c r="H67" s="31" t="n">
        <f aca="false">IF('Stammdaten - Schwimmer'!D63&gt;DATE(2011,7,20),A67,)</f>
        <v>0</v>
      </c>
      <c r="I67" s="31" t="n">
        <f aca="false">IF('Stammdaten - Schwimmer'!$D63&gt;DATE(2011,7,20),B67,)</f>
        <v>0</v>
      </c>
      <c r="J67" s="31" t="n">
        <f aca="false">IF('Stammdaten - Schwimmer'!$D63&gt;DATE(2011,7,20),C67,)</f>
        <v>0</v>
      </c>
      <c r="K67" s="32" t="n">
        <f aca="false">IF('Stammdaten - Schwimmer'!$D63&gt;DATE(2011,7,20),D67,)</f>
        <v>0</v>
      </c>
      <c r="L67" s="31" t="n">
        <f aca="false">IF('Stammdaten - Schwimmer'!$D63&gt;DATE(2011,7,20),'Stammdaten - Schwimmer'!F63,)</f>
        <v>0</v>
      </c>
      <c r="M67" s="0" t="e">
        <f aca="false">_xlfn.RANK.EQ(L67,L$4:L$103,0)</f>
        <v>#REF!</v>
      </c>
      <c r="O67" s="31" t="n">
        <f aca="false">IF(AND('Stammdaten - Schwimmer'!$D63&lt;DATE(2011,7,20),'Stammdaten - Schwimmer'!$D63&gt;DATE(2007,7,19)),A67,)</f>
        <v>0</v>
      </c>
      <c r="P67" s="31" t="n">
        <f aca="false">IF(AND('Stammdaten - Schwimmer'!$D63&lt;DATE(2011,7,20),'Stammdaten - Schwimmer'!$D63&gt;DATE(2007,7,19)),B67,)</f>
        <v>0</v>
      </c>
      <c r="Q67" s="31" t="n">
        <f aca="false">IF(AND('Stammdaten - Schwimmer'!$D63&lt;DATE(2011,7,20),'Stammdaten - Schwimmer'!$D63&gt;DATE(2007,7,19)),C67,)</f>
        <v>0</v>
      </c>
      <c r="R67" s="32" t="n">
        <f aca="false">IF(AND('Stammdaten - Schwimmer'!$D63&lt;DATE(2011,7,20),'Stammdaten - Schwimmer'!$D63&gt;DATE(2007,7,19)),D67,)</f>
        <v>0</v>
      </c>
      <c r="S67" s="48" t="n">
        <f aca="false">IF(AND('Stammdaten - Schwimmer'!$D63&lt;DATE(2011,7,20),'Stammdaten - Schwimmer'!$D63&gt;DATE(2007,7,19)),'Stammdaten - Schwimmer'!F63,)</f>
        <v>0</v>
      </c>
      <c r="T67" s="0" t="e">
        <f aca="false">_xlfn.RANK.EQ(S67,S$4:S$103,0)</f>
        <v>#REF!</v>
      </c>
      <c r="V67" s="31" t="n">
        <f aca="false">IF('Stammdaten - Schwimmer'!$D63&lt;DATE(2007,7,20),A67,)</f>
        <v>61</v>
      </c>
      <c r="W67" s="31" t="n">
        <f aca="false">IF('Stammdaten - Schwimmer'!$D63&lt;DATE(2007,7,20),B67,)</f>
        <v>0</v>
      </c>
      <c r="X67" s="31" t="n">
        <f aca="false">IF('Stammdaten - Schwimmer'!$D63&lt;DATE(2007,7,20),C67,)</f>
        <v>0</v>
      </c>
      <c r="Y67" s="32" t="n">
        <f aca="false">IF('Stammdaten - Schwimmer'!$D63&lt;DATE(2007,7,20),D67,)</f>
        <v>0</v>
      </c>
      <c r="Z67" s="48" t="n">
        <f aca="false">IF('Stammdaten - Schwimmer'!$D63&lt;DATE(2007,7,20),'Stammdaten - Schwimmer'!F63,)</f>
        <v>0</v>
      </c>
      <c r="AA67" s="0" t="e">
        <f aca="false">_xlfn.RANK.EQ(Z67,Z$4:Z$103,0)</f>
        <v>#REF!</v>
      </c>
    </row>
    <row r="68" customFormat="false" ht="15" hidden="false" customHeight="false" outlineLevel="0" collapsed="false">
      <c r="A68" s="46" t="n">
        <f aca="false">'Stammdaten - Schwimmer'!A64</f>
        <v>62</v>
      </c>
      <c r="B68" s="47" t="n">
        <f aca="false">'Stammdaten - Schwimmer'!B64</f>
        <v>0</v>
      </c>
      <c r="C68" s="47" t="n">
        <f aca="false">'Stammdaten - Schwimmer'!C64</f>
        <v>0</v>
      </c>
      <c r="D68" s="32" t="n">
        <f aca="false">'Stammdaten - Schwimmer'!J64+'Stammdaten - Schwimmer'!N64+'Stammdaten - Schwimmer'!R64+'Stammdaten - Schwimmer'!V64+'Stammdaten - Schwimmer'!Z65</f>
        <v>0</v>
      </c>
      <c r="E68" s="48" t="n">
        <f aca="false">'Stammdaten - Schwimmer'!F64</f>
        <v>0</v>
      </c>
      <c r="H68" s="31" t="n">
        <f aca="false">IF('Stammdaten - Schwimmer'!D64&gt;DATE(2011,7,20),A68,)</f>
        <v>0</v>
      </c>
      <c r="I68" s="31" t="n">
        <f aca="false">IF('Stammdaten - Schwimmer'!$D64&gt;DATE(2011,7,20),B68,)</f>
        <v>0</v>
      </c>
      <c r="J68" s="31" t="n">
        <f aca="false">IF('Stammdaten - Schwimmer'!$D64&gt;DATE(2011,7,20),C68,)</f>
        <v>0</v>
      </c>
      <c r="K68" s="32" t="n">
        <f aca="false">IF('Stammdaten - Schwimmer'!$D64&gt;DATE(2011,7,20),D68,)</f>
        <v>0</v>
      </c>
      <c r="L68" s="31" t="n">
        <f aca="false">IF('Stammdaten - Schwimmer'!$D64&gt;DATE(2011,7,20),'Stammdaten - Schwimmer'!F64,)</f>
        <v>0</v>
      </c>
      <c r="M68" s="0" t="e">
        <f aca="false">_xlfn.RANK.EQ(L68,L$4:L$103,0)</f>
        <v>#REF!</v>
      </c>
      <c r="O68" s="31" t="n">
        <f aca="false">IF(AND('Stammdaten - Schwimmer'!$D64&lt;DATE(2011,7,20),'Stammdaten - Schwimmer'!$D64&gt;DATE(2007,7,19)),A68,)</f>
        <v>0</v>
      </c>
      <c r="P68" s="31" t="n">
        <f aca="false">IF(AND('Stammdaten - Schwimmer'!$D64&lt;DATE(2011,7,20),'Stammdaten - Schwimmer'!$D64&gt;DATE(2007,7,19)),B68,)</f>
        <v>0</v>
      </c>
      <c r="Q68" s="31" t="n">
        <f aca="false">IF(AND('Stammdaten - Schwimmer'!$D64&lt;DATE(2011,7,20),'Stammdaten - Schwimmer'!$D64&gt;DATE(2007,7,19)),C68,)</f>
        <v>0</v>
      </c>
      <c r="R68" s="32" t="n">
        <f aca="false">IF(AND('Stammdaten - Schwimmer'!$D64&lt;DATE(2011,7,20),'Stammdaten - Schwimmer'!$D64&gt;DATE(2007,7,19)),D68,)</f>
        <v>0</v>
      </c>
      <c r="S68" s="48" t="n">
        <f aca="false">IF(AND('Stammdaten - Schwimmer'!$D64&lt;DATE(2011,7,20),'Stammdaten - Schwimmer'!$D64&gt;DATE(2007,7,19)),'Stammdaten - Schwimmer'!F64,)</f>
        <v>0</v>
      </c>
      <c r="T68" s="0" t="e">
        <f aca="false">_xlfn.RANK.EQ(S68,S$4:S$103,0)</f>
        <v>#REF!</v>
      </c>
      <c r="V68" s="31" t="n">
        <f aca="false">IF('Stammdaten - Schwimmer'!$D64&lt;DATE(2007,7,20),A68,)</f>
        <v>62</v>
      </c>
      <c r="W68" s="31" t="n">
        <f aca="false">IF('Stammdaten - Schwimmer'!$D64&lt;DATE(2007,7,20),B68,)</f>
        <v>0</v>
      </c>
      <c r="X68" s="31" t="n">
        <f aca="false">IF('Stammdaten - Schwimmer'!$D64&lt;DATE(2007,7,20),C68,)</f>
        <v>0</v>
      </c>
      <c r="Y68" s="32" t="n">
        <f aca="false">IF('Stammdaten - Schwimmer'!$D64&lt;DATE(2007,7,20),D68,)</f>
        <v>0</v>
      </c>
      <c r="Z68" s="48" t="n">
        <f aca="false">IF('Stammdaten - Schwimmer'!$D64&lt;DATE(2007,7,20),'Stammdaten - Schwimmer'!F64,)</f>
        <v>0</v>
      </c>
      <c r="AA68" s="0" t="e">
        <f aca="false">_xlfn.RANK.EQ(Z68,Z$4:Z$103,0)</f>
        <v>#REF!</v>
      </c>
    </row>
    <row r="69" customFormat="false" ht="15" hidden="false" customHeight="false" outlineLevel="0" collapsed="false">
      <c r="A69" s="46" t="n">
        <f aca="false">'Stammdaten - Schwimmer'!A65</f>
        <v>63</v>
      </c>
      <c r="B69" s="47" t="n">
        <f aca="false">'Stammdaten - Schwimmer'!B65</f>
        <v>0</v>
      </c>
      <c r="C69" s="47" t="n">
        <f aca="false">'Stammdaten - Schwimmer'!C65</f>
        <v>0</v>
      </c>
      <c r="D69" s="32" t="n">
        <f aca="false">'Stammdaten - Schwimmer'!J65+'Stammdaten - Schwimmer'!N65+'Stammdaten - Schwimmer'!R65+'Stammdaten - Schwimmer'!V65+'Stammdaten - Schwimmer'!Z66</f>
        <v>0</v>
      </c>
      <c r="E69" s="48" t="n">
        <f aca="false">'Stammdaten - Schwimmer'!F65</f>
        <v>0</v>
      </c>
      <c r="H69" s="31" t="n">
        <f aca="false">IF('Stammdaten - Schwimmer'!D65&gt;DATE(2011,7,20),A69,)</f>
        <v>0</v>
      </c>
      <c r="I69" s="31" t="n">
        <f aca="false">IF('Stammdaten - Schwimmer'!$D65&gt;DATE(2011,7,20),B69,)</f>
        <v>0</v>
      </c>
      <c r="J69" s="31" t="n">
        <f aca="false">IF('Stammdaten - Schwimmer'!$D65&gt;DATE(2011,7,20),C69,)</f>
        <v>0</v>
      </c>
      <c r="K69" s="32" t="n">
        <f aca="false">IF('Stammdaten - Schwimmer'!$D65&gt;DATE(2011,7,20),D69,)</f>
        <v>0</v>
      </c>
      <c r="L69" s="31" t="n">
        <f aca="false">IF('Stammdaten - Schwimmer'!$D65&gt;DATE(2011,7,20),'Stammdaten - Schwimmer'!F65,)</f>
        <v>0</v>
      </c>
      <c r="M69" s="0" t="e">
        <f aca="false">_xlfn.RANK.EQ(L69,L$4:L$103,0)</f>
        <v>#REF!</v>
      </c>
      <c r="O69" s="31" t="n">
        <f aca="false">IF(AND('Stammdaten - Schwimmer'!$D65&lt;DATE(2011,7,20),'Stammdaten - Schwimmer'!$D65&gt;DATE(2007,7,19)),A69,)</f>
        <v>0</v>
      </c>
      <c r="P69" s="31" t="n">
        <f aca="false">IF(AND('Stammdaten - Schwimmer'!$D65&lt;DATE(2011,7,20),'Stammdaten - Schwimmer'!$D65&gt;DATE(2007,7,19)),B69,)</f>
        <v>0</v>
      </c>
      <c r="Q69" s="31" t="n">
        <f aca="false">IF(AND('Stammdaten - Schwimmer'!$D65&lt;DATE(2011,7,20),'Stammdaten - Schwimmer'!$D65&gt;DATE(2007,7,19)),C69,)</f>
        <v>0</v>
      </c>
      <c r="R69" s="32" t="n">
        <f aca="false">IF(AND('Stammdaten - Schwimmer'!$D65&lt;DATE(2011,7,20),'Stammdaten - Schwimmer'!$D65&gt;DATE(2007,7,19)),D69,)</f>
        <v>0</v>
      </c>
      <c r="S69" s="48" t="n">
        <f aca="false">IF(AND('Stammdaten - Schwimmer'!$D65&lt;DATE(2011,7,20),'Stammdaten - Schwimmer'!$D65&gt;DATE(2007,7,19)),'Stammdaten - Schwimmer'!F65,)</f>
        <v>0</v>
      </c>
      <c r="T69" s="0" t="e">
        <f aca="false">_xlfn.RANK.EQ(S69,S$4:S$103,0)</f>
        <v>#REF!</v>
      </c>
      <c r="V69" s="31" t="n">
        <f aca="false">IF('Stammdaten - Schwimmer'!$D65&lt;DATE(2007,7,20),A69,)</f>
        <v>63</v>
      </c>
      <c r="W69" s="31" t="n">
        <f aca="false">IF('Stammdaten - Schwimmer'!$D65&lt;DATE(2007,7,20),B69,)</f>
        <v>0</v>
      </c>
      <c r="X69" s="31" t="n">
        <f aca="false">IF('Stammdaten - Schwimmer'!$D65&lt;DATE(2007,7,20),C69,)</f>
        <v>0</v>
      </c>
      <c r="Y69" s="32" t="n">
        <f aca="false">IF('Stammdaten - Schwimmer'!$D65&lt;DATE(2007,7,20),D69,)</f>
        <v>0</v>
      </c>
      <c r="Z69" s="48" t="n">
        <f aca="false">IF('Stammdaten - Schwimmer'!$D65&lt;DATE(2007,7,20),'Stammdaten - Schwimmer'!F65,)</f>
        <v>0</v>
      </c>
      <c r="AA69" s="0" t="e">
        <f aca="false">_xlfn.RANK.EQ(Z69,Z$4:Z$103,0)</f>
        <v>#REF!</v>
      </c>
    </row>
    <row r="70" customFormat="false" ht="15" hidden="false" customHeight="false" outlineLevel="0" collapsed="false">
      <c r="A70" s="46" t="n">
        <f aca="false">'Stammdaten - Schwimmer'!A66</f>
        <v>64</v>
      </c>
      <c r="B70" s="47" t="n">
        <f aca="false">'Stammdaten - Schwimmer'!B66</f>
        <v>0</v>
      </c>
      <c r="C70" s="47" t="n">
        <f aca="false">'Stammdaten - Schwimmer'!C66</f>
        <v>0</v>
      </c>
      <c r="D70" s="32" t="n">
        <f aca="false">'Stammdaten - Schwimmer'!J66+'Stammdaten - Schwimmer'!N66+'Stammdaten - Schwimmer'!R66+'Stammdaten - Schwimmer'!V66+'Stammdaten - Schwimmer'!Z67</f>
        <v>0</v>
      </c>
      <c r="E70" s="48" t="n">
        <f aca="false">'Stammdaten - Schwimmer'!F66</f>
        <v>0</v>
      </c>
      <c r="H70" s="31" t="n">
        <f aca="false">IF('Stammdaten - Schwimmer'!D66&gt;DATE(2011,7,20),A70,)</f>
        <v>0</v>
      </c>
      <c r="I70" s="31" t="n">
        <f aca="false">IF('Stammdaten - Schwimmer'!$D66&gt;DATE(2011,7,20),B70,)</f>
        <v>0</v>
      </c>
      <c r="J70" s="31" t="n">
        <f aca="false">IF('Stammdaten - Schwimmer'!$D66&gt;DATE(2011,7,20),C70,)</f>
        <v>0</v>
      </c>
      <c r="K70" s="32" t="n">
        <f aca="false">IF('Stammdaten - Schwimmer'!$D66&gt;DATE(2011,7,20),D70,)</f>
        <v>0</v>
      </c>
      <c r="L70" s="31" t="n">
        <f aca="false">IF('Stammdaten - Schwimmer'!$D66&gt;DATE(2011,7,20),'Stammdaten - Schwimmer'!F66,)</f>
        <v>0</v>
      </c>
      <c r="M70" s="0" t="e">
        <f aca="false">_xlfn.RANK.EQ(L70,L$4:L$103,0)</f>
        <v>#REF!</v>
      </c>
      <c r="O70" s="31" t="n">
        <f aca="false">IF(AND('Stammdaten - Schwimmer'!$D66&lt;DATE(2011,7,20),'Stammdaten - Schwimmer'!$D66&gt;DATE(2007,7,19)),A70,)</f>
        <v>0</v>
      </c>
      <c r="P70" s="31" t="n">
        <f aca="false">IF(AND('Stammdaten - Schwimmer'!$D66&lt;DATE(2011,7,20),'Stammdaten - Schwimmer'!$D66&gt;DATE(2007,7,19)),B70,)</f>
        <v>0</v>
      </c>
      <c r="Q70" s="31" t="n">
        <f aca="false">IF(AND('Stammdaten - Schwimmer'!$D66&lt;DATE(2011,7,20),'Stammdaten - Schwimmer'!$D66&gt;DATE(2007,7,19)),C70,)</f>
        <v>0</v>
      </c>
      <c r="R70" s="32" t="n">
        <f aca="false">IF(AND('Stammdaten - Schwimmer'!$D66&lt;DATE(2011,7,20),'Stammdaten - Schwimmer'!$D66&gt;DATE(2007,7,19)),D70,)</f>
        <v>0</v>
      </c>
      <c r="S70" s="48" t="n">
        <f aca="false">IF(AND('Stammdaten - Schwimmer'!$D66&lt;DATE(2011,7,20),'Stammdaten - Schwimmer'!$D66&gt;DATE(2007,7,19)),'Stammdaten - Schwimmer'!F66,)</f>
        <v>0</v>
      </c>
      <c r="T70" s="0" t="e">
        <f aca="false">_xlfn.RANK.EQ(S70,S$4:S$103,0)</f>
        <v>#REF!</v>
      </c>
      <c r="V70" s="31" t="n">
        <f aca="false">IF('Stammdaten - Schwimmer'!$D66&lt;DATE(2007,7,20),A70,)</f>
        <v>64</v>
      </c>
      <c r="W70" s="31" t="n">
        <f aca="false">IF('Stammdaten - Schwimmer'!$D66&lt;DATE(2007,7,20),B70,)</f>
        <v>0</v>
      </c>
      <c r="X70" s="31" t="n">
        <f aca="false">IF('Stammdaten - Schwimmer'!$D66&lt;DATE(2007,7,20),C70,)</f>
        <v>0</v>
      </c>
      <c r="Y70" s="32" t="n">
        <f aca="false">IF('Stammdaten - Schwimmer'!$D66&lt;DATE(2007,7,20),D70,)</f>
        <v>0</v>
      </c>
      <c r="Z70" s="48" t="n">
        <f aca="false">IF('Stammdaten - Schwimmer'!$D66&lt;DATE(2007,7,20),'Stammdaten - Schwimmer'!F66,)</f>
        <v>0</v>
      </c>
      <c r="AA70" s="0" t="e">
        <f aca="false">_xlfn.RANK.EQ(Z70,Z$4:Z$103,0)</f>
        <v>#REF!</v>
      </c>
    </row>
    <row r="71" customFormat="false" ht="15" hidden="false" customHeight="false" outlineLevel="0" collapsed="false">
      <c r="A71" s="46" t="n">
        <f aca="false">'Stammdaten - Schwimmer'!A67</f>
        <v>65</v>
      </c>
      <c r="B71" s="47" t="n">
        <f aca="false">'Stammdaten - Schwimmer'!B67</f>
        <v>0</v>
      </c>
      <c r="C71" s="47" t="n">
        <f aca="false">'Stammdaten - Schwimmer'!C67</f>
        <v>0</v>
      </c>
      <c r="D71" s="32" t="n">
        <f aca="false">'Stammdaten - Schwimmer'!J67+'Stammdaten - Schwimmer'!N67+'Stammdaten - Schwimmer'!R67+'Stammdaten - Schwimmer'!V67+'Stammdaten - Schwimmer'!Z68</f>
        <v>0</v>
      </c>
      <c r="E71" s="48" t="n">
        <f aca="false">'Stammdaten - Schwimmer'!F67</f>
        <v>0</v>
      </c>
      <c r="H71" s="31" t="n">
        <f aca="false">IF('Stammdaten - Schwimmer'!D67&gt;DATE(2011,7,20),A71,)</f>
        <v>0</v>
      </c>
      <c r="I71" s="31" t="n">
        <f aca="false">IF('Stammdaten - Schwimmer'!$D67&gt;DATE(2011,7,20),B71,)</f>
        <v>0</v>
      </c>
      <c r="J71" s="31" t="n">
        <f aca="false">IF('Stammdaten - Schwimmer'!$D67&gt;DATE(2011,7,20),C71,)</f>
        <v>0</v>
      </c>
      <c r="K71" s="32" t="n">
        <f aca="false">IF('Stammdaten - Schwimmer'!$D67&gt;DATE(2011,7,20),D71,)</f>
        <v>0</v>
      </c>
      <c r="L71" s="31" t="n">
        <f aca="false">IF('Stammdaten - Schwimmer'!$D67&gt;DATE(2011,7,20),'Stammdaten - Schwimmer'!F67,)</f>
        <v>0</v>
      </c>
      <c r="M71" s="0" t="e">
        <f aca="false">_xlfn.RANK.EQ(L71,L$4:L$103,0)</f>
        <v>#REF!</v>
      </c>
      <c r="O71" s="31" t="n">
        <f aca="false">IF(AND('Stammdaten - Schwimmer'!$D67&lt;DATE(2011,7,20),'Stammdaten - Schwimmer'!$D67&gt;DATE(2007,7,19)),A71,)</f>
        <v>0</v>
      </c>
      <c r="P71" s="31" t="n">
        <f aca="false">IF(AND('Stammdaten - Schwimmer'!$D67&lt;DATE(2011,7,20),'Stammdaten - Schwimmer'!$D67&gt;DATE(2007,7,19)),B71,)</f>
        <v>0</v>
      </c>
      <c r="Q71" s="31" t="n">
        <f aca="false">IF(AND('Stammdaten - Schwimmer'!$D67&lt;DATE(2011,7,20),'Stammdaten - Schwimmer'!$D67&gt;DATE(2007,7,19)),C71,)</f>
        <v>0</v>
      </c>
      <c r="R71" s="32" t="n">
        <f aca="false">IF(AND('Stammdaten - Schwimmer'!$D67&lt;DATE(2011,7,20),'Stammdaten - Schwimmer'!$D67&gt;DATE(2007,7,19)),D71,)</f>
        <v>0</v>
      </c>
      <c r="S71" s="48" t="n">
        <f aca="false">IF(AND('Stammdaten - Schwimmer'!$D67&lt;DATE(2011,7,20),'Stammdaten - Schwimmer'!$D67&gt;DATE(2007,7,19)),'Stammdaten - Schwimmer'!F67,)</f>
        <v>0</v>
      </c>
      <c r="T71" s="0" t="e">
        <f aca="false">_xlfn.RANK.EQ(S71,S$4:S$103,0)</f>
        <v>#REF!</v>
      </c>
      <c r="V71" s="31" t="n">
        <f aca="false">IF('Stammdaten - Schwimmer'!$D67&lt;DATE(2007,7,20),A71,)</f>
        <v>65</v>
      </c>
      <c r="W71" s="31" t="n">
        <f aca="false">IF('Stammdaten - Schwimmer'!$D67&lt;DATE(2007,7,20),B71,)</f>
        <v>0</v>
      </c>
      <c r="X71" s="31" t="n">
        <f aca="false">IF('Stammdaten - Schwimmer'!$D67&lt;DATE(2007,7,20),C71,)</f>
        <v>0</v>
      </c>
      <c r="Y71" s="32" t="n">
        <f aca="false">IF('Stammdaten - Schwimmer'!$D67&lt;DATE(2007,7,20),D71,)</f>
        <v>0</v>
      </c>
      <c r="Z71" s="48" t="n">
        <f aca="false">IF('Stammdaten - Schwimmer'!$D67&lt;DATE(2007,7,20),'Stammdaten - Schwimmer'!F67,)</f>
        <v>0</v>
      </c>
      <c r="AA71" s="0" t="e">
        <f aca="false">_xlfn.RANK.EQ(Z71,Z$4:Z$103,0)</f>
        <v>#REF!</v>
      </c>
    </row>
    <row r="72" customFormat="false" ht="15" hidden="false" customHeight="false" outlineLevel="0" collapsed="false">
      <c r="A72" s="46" t="n">
        <f aca="false">'Stammdaten - Schwimmer'!A68</f>
        <v>66</v>
      </c>
      <c r="B72" s="47" t="n">
        <f aca="false">'Stammdaten - Schwimmer'!B68</f>
        <v>0</v>
      </c>
      <c r="C72" s="47" t="n">
        <f aca="false">'Stammdaten - Schwimmer'!C68</f>
        <v>0</v>
      </c>
      <c r="D72" s="32" t="n">
        <f aca="false">'Stammdaten - Schwimmer'!J68+'Stammdaten - Schwimmer'!N68+'Stammdaten - Schwimmer'!R68+'Stammdaten - Schwimmer'!V68+'Stammdaten - Schwimmer'!Z69</f>
        <v>0</v>
      </c>
      <c r="E72" s="48" t="n">
        <f aca="false">'Stammdaten - Schwimmer'!F68</f>
        <v>0</v>
      </c>
      <c r="H72" s="31" t="n">
        <f aca="false">IF('Stammdaten - Schwimmer'!D68&gt;DATE(2011,7,20),A72,)</f>
        <v>0</v>
      </c>
      <c r="I72" s="31" t="n">
        <f aca="false">IF('Stammdaten - Schwimmer'!$D68&gt;DATE(2011,7,20),B72,)</f>
        <v>0</v>
      </c>
      <c r="J72" s="31" t="n">
        <f aca="false">IF('Stammdaten - Schwimmer'!$D68&gt;DATE(2011,7,20),C72,)</f>
        <v>0</v>
      </c>
      <c r="K72" s="32" t="n">
        <f aca="false">IF('Stammdaten - Schwimmer'!$D68&gt;DATE(2011,7,20),D72,)</f>
        <v>0</v>
      </c>
      <c r="L72" s="31" t="n">
        <f aca="false">IF('Stammdaten - Schwimmer'!$D68&gt;DATE(2011,7,20),'Stammdaten - Schwimmer'!F68,)</f>
        <v>0</v>
      </c>
      <c r="M72" s="0" t="e">
        <f aca="false">_xlfn.RANK.EQ(L72,L$4:L$103,0)</f>
        <v>#REF!</v>
      </c>
      <c r="O72" s="31" t="n">
        <f aca="false">IF(AND('Stammdaten - Schwimmer'!$D68&lt;DATE(2011,7,20),'Stammdaten - Schwimmer'!$D68&gt;DATE(2007,7,19)),A72,)</f>
        <v>0</v>
      </c>
      <c r="P72" s="31" t="n">
        <f aca="false">IF(AND('Stammdaten - Schwimmer'!$D68&lt;DATE(2011,7,20),'Stammdaten - Schwimmer'!$D68&gt;DATE(2007,7,19)),B72,)</f>
        <v>0</v>
      </c>
      <c r="Q72" s="31" t="n">
        <f aca="false">IF(AND('Stammdaten - Schwimmer'!$D68&lt;DATE(2011,7,20),'Stammdaten - Schwimmer'!$D68&gt;DATE(2007,7,19)),C72,)</f>
        <v>0</v>
      </c>
      <c r="R72" s="32" t="n">
        <f aca="false">IF(AND('Stammdaten - Schwimmer'!$D68&lt;DATE(2011,7,20),'Stammdaten - Schwimmer'!$D68&gt;DATE(2007,7,19)),D72,)</f>
        <v>0</v>
      </c>
      <c r="S72" s="48" t="n">
        <f aca="false">IF(AND('Stammdaten - Schwimmer'!$D68&lt;DATE(2011,7,20),'Stammdaten - Schwimmer'!$D68&gt;DATE(2007,7,19)),'Stammdaten - Schwimmer'!F68,)</f>
        <v>0</v>
      </c>
      <c r="T72" s="0" t="e">
        <f aca="false">_xlfn.RANK.EQ(S72,S$4:S$103,0)</f>
        <v>#REF!</v>
      </c>
      <c r="V72" s="31" t="n">
        <f aca="false">IF('Stammdaten - Schwimmer'!$D68&lt;DATE(2007,7,20),A72,)</f>
        <v>66</v>
      </c>
      <c r="W72" s="31" t="n">
        <f aca="false">IF('Stammdaten - Schwimmer'!$D68&lt;DATE(2007,7,20),B72,)</f>
        <v>0</v>
      </c>
      <c r="X72" s="31" t="n">
        <f aca="false">IF('Stammdaten - Schwimmer'!$D68&lt;DATE(2007,7,20),C72,)</f>
        <v>0</v>
      </c>
      <c r="Y72" s="32" t="n">
        <f aca="false">IF('Stammdaten - Schwimmer'!$D68&lt;DATE(2007,7,20),D72,)</f>
        <v>0</v>
      </c>
      <c r="Z72" s="48" t="n">
        <f aca="false">IF('Stammdaten - Schwimmer'!$D68&lt;DATE(2007,7,20),'Stammdaten - Schwimmer'!F68,)</f>
        <v>0</v>
      </c>
      <c r="AA72" s="0" t="e">
        <f aca="false">_xlfn.RANK.EQ(Z72,Z$4:Z$103,0)</f>
        <v>#REF!</v>
      </c>
    </row>
    <row r="73" customFormat="false" ht="15" hidden="false" customHeight="false" outlineLevel="0" collapsed="false">
      <c r="A73" s="46" t="n">
        <f aca="false">'Stammdaten - Schwimmer'!A69</f>
        <v>67</v>
      </c>
      <c r="B73" s="47" t="n">
        <f aca="false">'Stammdaten - Schwimmer'!B69</f>
        <v>0</v>
      </c>
      <c r="C73" s="47" t="n">
        <f aca="false">'Stammdaten - Schwimmer'!C69</f>
        <v>0</v>
      </c>
      <c r="D73" s="32" t="n">
        <f aca="false">'Stammdaten - Schwimmer'!J69+'Stammdaten - Schwimmer'!N69+'Stammdaten - Schwimmer'!R69+'Stammdaten - Schwimmer'!V69+'Stammdaten - Schwimmer'!Z70</f>
        <v>0</v>
      </c>
      <c r="E73" s="48" t="n">
        <f aca="false">'Stammdaten - Schwimmer'!F69</f>
        <v>0</v>
      </c>
      <c r="H73" s="31" t="n">
        <f aca="false">IF('Stammdaten - Schwimmer'!D69&gt;DATE(2011,7,20),A73,)</f>
        <v>0</v>
      </c>
      <c r="I73" s="31" t="n">
        <f aca="false">IF('Stammdaten - Schwimmer'!$D69&gt;DATE(2011,7,20),B73,)</f>
        <v>0</v>
      </c>
      <c r="J73" s="31" t="n">
        <f aca="false">IF('Stammdaten - Schwimmer'!$D69&gt;DATE(2011,7,20),C73,)</f>
        <v>0</v>
      </c>
      <c r="K73" s="32" t="n">
        <f aca="false">IF('Stammdaten - Schwimmer'!$D69&gt;DATE(2011,7,20),D73,)</f>
        <v>0</v>
      </c>
      <c r="L73" s="31" t="n">
        <f aca="false">IF('Stammdaten - Schwimmer'!$D69&gt;DATE(2011,7,20),'Stammdaten - Schwimmer'!F69,)</f>
        <v>0</v>
      </c>
      <c r="M73" s="0" t="e">
        <f aca="false">_xlfn.RANK.EQ(L73,L$4:L$103,0)</f>
        <v>#REF!</v>
      </c>
      <c r="O73" s="31" t="n">
        <f aca="false">IF(AND('Stammdaten - Schwimmer'!$D69&lt;DATE(2011,7,20),'Stammdaten - Schwimmer'!$D69&gt;DATE(2007,7,19)),A73,)</f>
        <v>0</v>
      </c>
      <c r="P73" s="31" t="n">
        <f aca="false">IF(AND('Stammdaten - Schwimmer'!$D69&lt;DATE(2011,7,20),'Stammdaten - Schwimmer'!$D69&gt;DATE(2007,7,19)),B73,)</f>
        <v>0</v>
      </c>
      <c r="Q73" s="31" t="n">
        <f aca="false">IF(AND('Stammdaten - Schwimmer'!$D69&lt;DATE(2011,7,20),'Stammdaten - Schwimmer'!$D69&gt;DATE(2007,7,19)),C73,)</f>
        <v>0</v>
      </c>
      <c r="R73" s="32" t="n">
        <f aca="false">IF(AND('Stammdaten - Schwimmer'!$D69&lt;DATE(2011,7,20),'Stammdaten - Schwimmer'!$D69&gt;DATE(2007,7,19)),D73,)</f>
        <v>0</v>
      </c>
      <c r="S73" s="48" t="n">
        <f aca="false">IF(AND('Stammdaten - Schwimmer'!$D69&lt;DATE(2011,7,20),'Stammdaten - Schwimmer'!$D69&gt;DATE(2007,7,19)),'Stammdaten - Schwimmer'!F69,)</f>
        <v>0</v>
      </c>
      <c r="T73" s="0" t="e">
        <f aca="false">_xlfn.RANK.EQ(S73,S$4:S$103,0)</f>
        <v>#REF!</v>
      </c>
      <c r="V73" s="31" t="n">
        <f aca="false">IF('Stammdaten - Schwimmer'!$D69&lt;DATE(2007,7,20),A73,)</f>
        <v>67</v>
      </c>
      <c r="W73" s="31" t="n">
        <f aca="false">IF('Stammdaten - Schwimmer'!$D69&lt;DATE(2007,7,20),B73,)</f>
        <v>0</v>
      </c>
      <c r="X73" s="31" t="n">
        <f aca="false">IF('Stammdaten - Schwimmer'!$D69&lt;DATE(2007,7,20),C73,)</f>
        <v>0</v>
      </c>
      <c r="Y73" s="32" t="n">
        <f aca="false">IF('Stammdaten - Schwimmer'!$D69&lt;DATE(2007,7,20),D73,)</f>
        <v>0</v>
      </c>
      <c r="Z73" s="48" t="n">
        <f aca="false">IF('Stammdaten - Schwimmer'!$D69&lt;DATE(2007,7,20),'Stammdaten - Schwimmer'!F69,)</f>
        <v>0</v>
      </c>
      <c r="AA73" s="0" t="e">
        <f aca="false">_xlfn.RANK.EQ(Z73,Z$4:Z$103,0)</f>
        <v>#REF!</v>
      </c>
    </row>
    <row r="74" customFormat="false" ht="15" hidden="false" customHeight="false" outlineLevel="0" collapsed="false">
      <c r="A74" s="46" t="n">
        <f aca="false">'Stammdaten - Schwimmer'!A70</f>
        <v>68</v>
      </c>
      <c r="B74" s="47" t="n">
        <f aca="false">'Stammdaten - Schwimmer'!B70</f>
        <v>0</v>
      </c>
      <c r="C74" s="47" t="n">
        <f aca="false">'Stammdaten - Schwimmer'!C70</f>
        <v>0</v>
      </c>
      <c r="D74" s="32" t="n">
        <f aca="false">'Stammdaten - Schwimmer'!J70+'Stammdaten - Schwimmer'!N70+'Stammdaten - Schwimmer'!R70+'Stammdaten - Schwimmer'!V70+'Stammdaten - Schwimmer'!Z71</f>
        <v>0</v>
      </c>
      <c r="E74" s="48" t="n">
        <f aca="false">'Stammdaten - Schwimmer'!F70</f>
        <v>0</v>
      </c>
      <c r="H74" s="31" t="n">
        <f aca="false">IF('Stammdaten - Schwimmer'!D70&gt;DATE(2011,7,20),A74,)</f>
        <v>0</v>
      </c>
      <c r="I74" s="31" t="n">
        <f aca="false">IF('Stammdaten - Schwimmer'!$D70&gt;DATE(2011,7,20),B74,)</f>
        <v>0</v>
      </c>
      <c r="J74" s="31" t="n">
        <f aca="false">IF('Stammdaten - Schwimmer'!$D70&gt;DATE(2011,7,20),C74,)</f>
        <v>0</v>
      </c>
      <c r="K74" s="32" t="n">
        <f aca="false">IF('Stammdaten - Schwimmer'!$D70&gt;DATE(2011,7,20),D74,)</f>
        <v>0</v>
      </c>
      <c r="L74" s="31" t="n">
        <f aca="false">IF('Stammdaten - Schwimmer'!$D70&gt;DATE(2011,7,20),'Stammdaten - Schwimmer'!F70,)</f>
        <v>0</v>
      </c>
      <c r="M74" s="0" t="e">
        <f aca="false">_xlfn.RANK.EQ(L74,L$4:L$103,0)</f>
        <v>#REF!</v>
      </c>
      <c r="O74" s="31" t="n">
        <f aca="false">IF(AND('Stammdaten - Schwimmer'!$D70&lt;DATE(2011,7,20),'Stammdaten - Schwimmer'!$D70&gt;DATE(2007,7,19)),A74,)</f>
        <v>0</v>
      </c>
      <c r="P74" s="31" t="n">
        <f aca="false">IF(AND('Stammdaten - Schwimmer'!$D70&lt;DATE(2011,7,20),'Stammdaten - Schwimmer'!$D70&gt;DATE(2007,7,19)),B74,)</f>
        <v>0</v>
      </c>
      <c r="Q74" s="31" t="n">
        <f aca="false">IF(AND('Stammdaten - Schwimmer'!$D70&lt;DATE(2011,7,20),'Stammdaten - Schwimmer'!$D70&gt;DATE(2007,7,19)),C74,)</f>
        <v>0</v>
      </c>
      <c r="R74" s="32" t="n">
        <f aca="false">IF(AND('Stammdaten - Schwimmer'!$D70&lt;DATE(2011,7,20),'Stammdaten - Schwimmer'!$D70&gt;DATE(2007,7,19)),D74,)</f>
        <v>0</v>
      </c>
      <c r="S74" s="48" t="n">
        <f aca="false">IF(AND('Stammdaten - Schwimmer'!$D70&lt;DATE(2011,7,20),'Stammdaten - Schwimmer'!$D70&gt;DATE(2007,7,19)),'Stammdaten - Schwimmer'!F70,)</f>
        <v>0</v>
      </c>
      <c r="T74" s="0" t="e">
        <f aca="false">_xlfn.RANK.EQ(S74,S$4:S$103,0)</f>
        <v>#REF!</v>
      </c>
      <c r="V74" s="31" t="n">
        <f aca="false">IF('Stammdaten - Schwimmer'!$D70&lt;DATE(2007,7,20),A74,)</f>
        <v>68</v>
      </c>
      <c r="W74" s="31" t="n">
        <f aca="false">IF('Stammdaten - Schwimmer'!$D70&lt;DATE(2007,7,20),B74,)</f>
        <v>0</v>
      </c>
      <c r="X74" s="31" t="n">
        <f aca="false">IF('Stammdaten - Schwimmer'!$D70&lt;DATE(2007,7,20),C74,)</f>
        <v>0</v>
      </c>
      <c r="Y74" s="32" t="n">
        <f aca="false">IF('Stammdaten - Schwimmer'!$D70&lt;DATE(2007,7,20),D74,)</f>
        <v>0</v>
      </c>
      <c r="Z74" s="48" t="n">
        <f aca="false">IF('Stammdaten - Schwimmer'!$D70&lt;DATE(2007,7,20),'Stammdaten - Schwimmer'!F70,)</f>
        <v>0</v>
      </c>
      <c r="AA74" s="0" t="e">
        <f aca="false">_xlfn.RANK.EQ(Z74,Z$4:Z$103,0)</f>
        <v>#REF!</v>
      </c>
    </row>
    <row r="75" customFormat="false" ht="15" hidden="false" customHeight="false" outlineLevel="0" collapsed="false">
      <c r="A75" s="46" t="n">
        <f aca="false">'Stammdaten - Schwimmer'!A71</f>
        <v>69</v>
      </c>
      <c r="B75" s="47" t="n">
        <f aca="false">'Stammdaten - Schwimmer'!B71</f>
        <v>0</v>
      </c>
      <c r="C75" s="47" t="n">
        <f aca="false">'Stammdaten - Schwimmer'!C71</f>
        <v>0</v>
      </c>
      <c r="D75" s="32" t="n">
        <f aca="false">'Stammdaten - Schwimmer'!J71+'Stammdaten - Schwimmer'!N71+'Stammdaten - Schwimmer'!R71+'Stammdaten - Schwimmer'!V71+'Stammdaten - Schwimmer'!Z72</f>
        <v>0</v>
      </c>
      <c r="E75" s="48" t="n">
        <f aca="false">'Stammdaten - Schwimmer'!F71</f>
        <v>0</v>
      </c>
      <c r="H75" s="31" t="n">
        <f aca="false">IF('Stammdaten - Schwimmer'!D71&gt;DATE(2011,7,20),A75,)</f>
        <v>0</v>
      </c>
      <c r="I75" s="31" t="n">
        <f aca="false">IF('Stammdaten - Schwimmer'!$D71&gt;DATE(2011,7,20),B75,)</f>
        <v>0</v>
      </c>
      <c r="J75" s="31" t="n">
        <f aca="false">IF('Stammdaten - Schwimmer'!$D71&gt;DATE(2011,7,20),C75,)</f>
        <v>0</v>
      </c>
      <c r="K75" s="32" t="n">
        <f aca="false">IF('Stammdaten - Schwimmer'!$D71&gt;DATE(2011,7,20),D75,)</f>
        <v>0</v>
      </c>
      <c r="L75" s="31" t="n">
        <f aca="false">IF('Stammdaten - Schwimmer'!$D71&gt;DATE(2011,7,20),'Stammdaten - Schwimmer'!F71,)</f>
        <v>0</v>
      </c>
      <c r="M75" s="0" t="e">
        <f aca="false">_xlfn.RANK.EQ(L75,L$4:L$103,0)</f>
        <v>#REF!</v>
      </c>
      <c r="O75" s="31" t="n">
        <f aca="false">IF(AND('Stammdaten - Schwimmer'!$D71&lt;DATE(2011,7,20),'Stammdaten - Schwimmer'!$D71&gt;DATE(2007,7,19)),A75,)</f>
        <v>0</v>
      </c>
      <c r="P75" s="31" t="n">
        <f aca="false">IF(AND('Stammdaten - Schwimmer'!$D71&lt;DATE(2011,7,20),'Stammdaten - Schwimmer'!$D71&gt;DATE(2007,7,19)),B75,)</f>
        <v>0</v>
      </c>
      <c r="Q75" s="31" t="n">
        <f aca="false">IF(AND('Stammdaten - Schwimmer'!$D71&lt;DATE(2011,7,20),'Stammdaten - Schwimmer'!$D71&gt;DATE(2007,7,19)),C75,)</f>
        <v>0</v>
      </c>
      <c r="R75" s="32" t="n">
        <f aca="false">IF(AND('Stammdaten - Schwimmer'!$D71&lt;DATE(2011,7,20),'Stammdaten - Schwimmer'!$D71&gt;DATE(2007,7,19)),D75,)</f>
        <v>0</v>
      </c>
      <c r="S75" s="48" t="n">
        <f aca="false">IF(AND('Stammdaten - Schwimmer'!$D71&lt;DATE(2011,7,20),'Stammdaten - Schwimmer'!$D71&gt;DATE(2007,7,19)),'Stammdaten - Schwimmer'!F71,)</f>
        <v>0</v>
      </c>
      <c r="T75" s="0" t="e">
        <f aca="false">_xlfn.RANK.EQ(S75,S$4:S$103,0)</f>
        <v>#REF!</v>
      </c>
      <c r="V75" s="31" t="n">
        <f aca="false">IF('Stammdaten - Schwimmer'!$D71&lt;DATE(2007,7,20),A75,)</f>
        <v>69</v>
      </c>
      <c r="W75" s="31" t="n">
        <f aca="false">IF('Stammdaten - Schwimmer'!$D71&lt;DATE(2007,7,20),B75,)</f>
        <v>0</v>
      </c>
      <c r="X75" s="31" t="n">
        <f aca="false">IF('Stammdaten - Schwimmer'!$D71&lt;DATE(2007,7,20),C75,)</f>
        <v>0</v>
      </c>
      <c r="Y75" s="32" t="n">
        <f aca="false">IF('Stammdaten - Schwimmer'!$D71&lt;DATE(2007,7,20),D75,)</f>
        <v>0</v>
      </c>
      <c r="Z75" s="48" t="n">
        <f aca="false">IF('Stammdaten - Schwimmer'!$D71&lt;DATE(2007,7,20),'Stammdaten - Schwimmer'!F71,)</f>
        <v>0</v>
      </c>
      <c r="AA75" s="0" t="e">
        <f aca="false">_xlfn.RANK.EQ(Z75,Z$4:Z$103,0)</f>
        <v>#REF!</v>
      </c>
    </row>
    <row r="76" customFormat="false" ht="15" hidden="false" customHeight="false" outlineLevel="0" collapsed="false">
      <c r="A76" s="46" t="n">
        <f aca="false">'Stammdaten - Schwimmer'!A72</f>
        <v>70</v>
      </c>
      <c r="B76" s="47" t="str">
        <f aca="false">'Stammdaten - Schwimmer'!C72</f>
        <v>Karin</v>
      </c>
      <c r="C76" s="47" t="e">
        <f aca="false">'stammdaten - schwimmer'!#ref!</f>
        <v>#VALUE!</v>
      </c>
      <c r="D76" s="32" t="n">
        <f aca="false">'Stammdaten - Schwimmer'!J72+'Stammdaten - Schwimmer'!N72+'Stammdaten - Schwimmer'!R72+'Stammdaten - Schwimmer'!V72+'Stammdaten - Schwimmer'!Z73</f>
        <v>20</v>
      </c>
      <c r="E76" s="48" t="n">
        <f aca="false">'Stammdaten - Schwimmer'!F72</f>
        <v>36</v>
      </c>
      <c r="H76" s="31" t="n">
        <f aca="false">IF('Stammdaten - Schwimmer'!D72&gt;DATE(2011,7,20),A76,)</f>
        <v>0</v>
      </c>
      <c r="I76" s="31" t="n">
        <f aca="false">IF('Stammdaten - Schwimmer'!$D72&gt;DATE(2011,7,20),B76,)</f>
        <v>0</v>
      </c>
      <c r="J76" s="31" t="n">
        <f aca="false">IF('Stammdaten - Schwimmer'!$D72&gt;DATE(2011,7,20),C76,)</f>
        <v>0</v>
      </c>
      <c r="K76" s="32" t="n">
        <f aca="false">IF('Stammdaten - Schwimmer'!$D72&gt;DATE(2011,7,20),D76,)</f>
        <v>0</v>
      </c>
      <c r="L76" s="31" t="n">
        <f aca="false">IF('Stammdaten - Schwimmer'!$D72&gt;DATE(2011,7,20),'Stammdaten - Schwimmer'!F72,)</f>
        <v>0</v>
      </c>
      <c r="M76" s="0" t="e">
        <f aca="false">_xlfn.RANK.EQ(L76,L$4:L$103,0)</f>
        <v>#REF!</v>
      </c>
      <c r="O76" s="31" t="n">
        <f aca="false">IF(AND('Stammdaten - Schwimmer'!$D72&lt;DATE(2011,7,20),'Stammdaten - Schwimmer'!$D72&gt;DATE(2007,7,19)),A76,)</f>
        <v>0</v>
      </c>
      <c r="P76" s="31" t="n">
        <f aca="false">IF(AND('Stammdaten - Schwimmer'!$D72&lt;DATE(2011,7,20),'Stammdaten - Schwimmer'!$D72&gt;DATE(2007,7,19)),B76,)</f>
        <v>0</v>
      </c>
      <c r="Q76" s="31" t="n">
        <f aca="false">IF(AND('Stammdaten - Schwimmer'!$D72&lt;DATE(2011,7,20),'Stammdaten - Schwimmer'!$D72&gt;DATE(2007,7,19)),C76,)</f>
        <v>0</v>
      </c>
      <c r="R76" s="32" t="n">
        <f aca="false">IF(AND('Stammdaten - Schwimmer'!$D72&lt;DATE(2011,7,20),'Stammdaten - Schwimmer'!$D72&gt;DATE(2007,7,19)),D76,)</f>
        <v>0</v>
      </c>
      <c r="S76" s="48" t="n">
        <f aca="false">IF(AND('Stammdaten - Schwimmer'!$D72&lt;DATE(2011,7,20),'Stammdaten - Schwimmer'!$D72&gt;DATE(2007,7,19)),'Stammdaten - Schwimmer'!F72,)</f>
        <v>0</v>
      </c>
      <c r="T76" s="0" t="e">
        <f aca="false">_xlfn.RANK.EQ(S76,S$4:S$103,0)</f>
        <v>#REF!</v>
      </c>
      <c r="V76" s="31" t="n">
        <f aca="false">IF('Stammdaten - Schwimmer'!$D72&lt;DATE(2007,7,20),A76,)</f>
        <v>70</v>
      </c>
      <c r="W76" s="31" t="str">
        <f aca="false">IF('Stammdaten - Schwimmer'!$D72&lt;DATE(2007,7,20),B76,)</f>
        <v>Karin</v>
      </c>
      <c r="X76" s="31" t="e">
        <f aca="false">IF('Stammdaten - Schwimmer'!$D72&lt;DATE(2007,7,20),C76,)</f>
        <v>#VALUE!</v>
      </c>
      <c r="Y76" s="32" t="n">
        <f aca="false">IF('Stammdaten - Schwimmer'!$D72&lt;DATE(2007,7,20),D76,)</f>
        <v>20</v>
      </c>
      <c r="Z76" s="48" t="n">
        <f aca="false">IF('Stammdaten - Schwimmer'!$D72&lt;DATE(2007,7,20),'Stammdaten - Schwimmer'!F72,)</f>
        <v>36</v>
      </c>
      <c r="AA76" s="0" t="e">
        <f aca="false">_xlfn.RANK.EQ(Z76,Z$4:Z$103,0)</f>
        <v>#REF!</v>
      </c>
    </row>
    <row r="77" customFormat="false" ht="15" hidden="false" customHeight="false" outlineLevel="0" collapsed="false">
      <c r="A77" s="46" t="n">
        <f aca="false">'Stammdaten - Schwimmer'!A73</f>
        <v>71</v>
      </c>
      <c r="B77" s="47" t="str">
        <f aca="false">'Stammdaten - Schwimmer'!B73</f>
        <v>Zimmermann</v>
      </c>
      <c r="C77" s="47" t="str">
        <f aca="false">'Stammdaten - Schwimmer'!C73</f>
        <v>Inge</v>
      </c>
      <c r="D77" s="32" t="n">
        <f aca="false">'Stammdaten - Schwimmer'!J73+'Stammdaten - Schwimmer'!N73+'Stammdaten - Schwimmer'!R73+'Stammdaten - Schwimmer'!V73+'Stammdaten - Schwimmer'!Z74</f>
        <v>20</v>
      </c>
      <c r="E77" s="48" t="n">
        <f aca="false">'Stammdaten - Schwimmer'!F73</f>
        <v>22</v>
      </c>
      <c r="H77" s="31" t="n">
        <f aca="false">IF('Stammdaten - Schwimmer'!D73&gt;DATE(2011,7,20),A77,)</f>
        <v>0</v>
      </c>
      <c r="I77" s="31" t="n">
        <f aca="false">IF('Stammdaten - Schwimmer'!$D73&gt;DATE(2011,7,20),B77,)</f>
        <v>0</v>
      </c>
      <c r="J77" s="31" t="n">
        <f aca="false">IF('Stammdaten - Schwimmer'!$D73&gt;DATE(2011,7,20),C77,)</f>
        <v>0</v>
      </c>
      <c r="K77" s="32" t="n">
        <f aca="false">IF('Stammdaten - Schwimmer'!$D73&gt;DATE(2011,7,20),D77,)</f>
        <v>0</v>
      </c>
      <c r="L77" s="31" t="n">
        <f aca="false">IF('Stammdaten - Schwimmer'!$D73&gt;DATE(2011,7,20),'Stammdaten - Schwimmer'!F73,)</f>
        <v>0</v>
      </c>
      <c r="M77" s="0" t="e">
        <f aca="false">_xlfn.RANK.EQ(L77,L$4:L$103,0)</f>
        <v>#REF!</v>
      </c>
      <c r="O77" s="31" t="n">
        <f aca="false">IF(AND('Stammdaten - Schwimmer'!$D73&lt;DATE(2011,7,20),'Stammdaten - Schwimmer'!$D73&gt;DATE(2007,7,19)),A77,)</f>
        <v>0</v>
      </c>
      <c r="P77" s="31" t="n">
        <f aca="false">IF(AND('Stammdaten - Schwimmer'!$D73&lt;DATE(2011,7,20),'Stammdaten - Schwimmer'!$D73&gt;DATE(2007,7,19)),B77,)</f>
        <v>0</v>
      </c>
      <c r="Q77" s="31" t="n">
        <f aca="false">IF(AND('Stammdaten - Schwimmer'!$D73&lt;DATE(2011,7,20),'Stammdaten - Schwimmer'!$D73&gt;DATE(2007,7,19)),C77,)</f>
        <v>0</v>
      </c>
      <c r="R77" s="32" t="n">
        <f aca="false">IF(AND('Stammdaten - Schwimmer'!$D73&lt;DATE(2011,7,20),'Stammdaten - Schwimmer'!$D73&gt;DATE(2007,7,19)),D77,)</f>
        <v>0</v>
      </c>
      <c r="S77" s="48" t="n">
        <f aca="false">IF(AND('Stammdaten - Schwimmer'!$D73&lt;DATE(2011,7,20),'Stammdaten - Schwimmer'!$D73&gt;DATE(2007,7,19)),'Stammdaten - Schwimmer'!F73,)</f>
        <v>0</v>
      </c>
      <c r="T77" s="0" t="e">
        <f aca="false">_xlfn.RANK.EQ(S77,S$4:S$103,0)</f>
        <v>#REF!</v>
      </c>
      <c r="V77" s="31" t="n">
        <f aca="false">IF('Stammdaten - Schwimmer'!$D73&lt;DATE(2007,7,20),A77,)</f>
        <v>71</v>
      </c>
      <c r="W77" s="31" t="str">
        <f aca="false">IF('Stammdaten - Schwimmer'!$D73&lt;DATE(2007,7,20),B77,)</f>
        <v>Zimmermann</v>
      </c>
      <c r="X77" s="31" t="str">
        <f aca="false">IF('Stammdaten - Schwimmer'!$D73&lt;DATE(2007,7,20),C77,)</f>
        <v>Inge</v>
      </c>
      <c r="Y77" s="32" t="n">
        <f aca="false">IF('Stammdaten - Schwimmer'!$D73&lt;DATE(2007,7,20),D77,)</f>
        <v>20</v>
      </c>
      <c r="Z77" s="48" t="n">
        <f aca="false">IF('Stammdaten - Schwimmer'!$D73&lt;DATE(2007,7,20),'Stammdaten - Schwimmer'!F73,)</f>
        <v>22</v>
      </c>
      <c r="AA77" s="0" t="e">
        <f aca="false">_xlfn.RANK.EQ(Z77,Z$4:Z$103,0)</f>
        <v>#REF!</v>
      </c>
    </row>
    <row r="78" customFormat="false" ht="15" hidden="false" customHeight="false" outlineLevel="0" collapsed="false">
      <c r="A78" s="46" t="n">
        <f aca="false">'Stammdaten - Schwimmer'!A74</f>
        <v>72</v>
      </c>
      <c r="B78" s="47" t="str">
        <f aca="false">'Stammdaten - Schwimmer'!B74</f>
        <v>Schmid</v>
      </c>
      <c r="C78" s="47" t="str">
        <f aca="false">'Stammdaten - Schwimmer'!C74</f>
        <v>Annette</v>
      </c>
      <c r="D78" s="32" t="n">
        <f aca="false">'Stammdaten - Schwimmer'!J74+'Stammdaten - Schwimmer'!N74+'Stammdaten - Schwimmer'!R74+'Stammdaten - Schwimmer'!V74+'Stammdaten - Schwimmer'!Z75</f>
        <v>47</v>
      </c>
      <c r="E78" s="48" t="n">
        <f aca="false">'Stammdaten - Schwimmer'!F74</f>
        <v>44</v>
      </c>
      <c r="H78" s="31" t="n">
        <f aca="false">IF('Stammdaten - Schwimmer'!D74&gt;DATE(2011,7,20),A78,)</f>
        <v>0</v>
      </c>
      <c r="I78" s="31" t="n">
        <f aca="false">IF('Stammdaten - Schwimmer'!$D74&gt;DATE(2011,7,20),B78,)</f>
        <v>0</v>
      </c>
      <c r="J78" s="31" t="n">
        <f aca="false">IF('Stammdaten - Schwimmer'!$D74&gt;DATE(2011,7,20),C78,)</f>
        <v>0</v>
      </c>
      <c r="K78" s="32" t="n">
        <f aca="false">IF('Stammdaten - Schwimmer'!$D74&gt;DATE(2011,7,20),D78,)</f>
        <v>0</v>
      </c>
      <c r="L78" s="31" t="n">
        <f aca="false">IF('Stammdaten - Schwimmer'!$D74&gt;DATE(2011,7,20),'Stammdaten - Schwimmer'!F74,)</f>
        <v>0</v>
      </c>
      <c r="M78" s="0" t="e">
        <f aca="false">_xlfn.RANK.EQ(L78,L$4:L$103,0)</f>
        <v>#REF!</v>
      </c>
      <c r="O78" s="31" t="n">
        <f aca="false">IF(AND('Stammdaten - Schwimmer'!$D74&lt;DATE(2011,7,20),'Stammdaten - Schwimmer'!$D74&gt;DATE(2007,7,19)),A78,)</f>
        <v>0</v>
      </c>
      <c r="P78" s="31" t="n">
        <f aca="false">IF(AND('Stammdaten - Schwimmer'!$D74&lt;DATE(2011,7,20),'Stammdaten - Schwimmer'!$D74&gt;DATE(2007,7,19)),B78,)</f>
        <v>0</v>
      </c>
      <c r="Q78" s="31" t="n">
        <f aca="false">IF(AND('Stammdaten - Schwimmer'!$D74&lt;DATE(2011,7,20),'Stammdaten - Schwimmer'!$D74&gt;DATE(2007,7,19)),C78,)</f>
        <v>0</v>
      </c>
      <c r="R78" s="32" t="n">
        <f aca="false">IF(AND('Stammdaten - Schwimmer'!$D74&lt;DATE(2011,7,20),'Stammdaten - Schwimmer'!$D74&gt;DATE(2007,7,19)),D78,)</f>
        <v>0</v>
      </c>
      <c r="S78" s="48" t="n">
        <f aca="false">IF(AND('Stammdaten - Schwimmer'!$D74&lt;DATE(2011,7,20),'Stammdaten - Schwimmer'!$D74&gt;DATE(2007,7,19)),'Stammdaten - Schwimmer'!F74,)</f>
        <v>0</v>
      </c>
      <c r="T78" s="0" t="e">
        <f aca="false">_xlfn.RANK.EQ(S78,S$4:S$103,0)</f>
        <v>#REF!</v>
      </c>
      <c r="V78" s="31" t="n">
        <f aca="false">IF('Stammdaten - Schwimmer'!$D74&lt;DATE(2007,7,20),A78,)</f>
        <v>72</v>
      </c>
      <c r="W78" s="31" t="str">
        <f aca="false">IF('Stammdaten - Schwimmer'!$D74&lt;DATE(2007,7,20),B78,)</f>
        <v>Schmid</v>
      </c>
      <c r="X78" s="31" t="str">
        <f aca="false">IF('Stammdaten - Schwimmer'!$D74&lt;DATE(2007,7,20),C78,)</f>
        <v>Annette</v>
      </c>
      <c r="Y78" s="32" t="n">
        <f aca="false">IF('Stammdaten - Schwimmer'!$D74&lt;DATE(2007,7,20),D78,)</f>
        <v>47</v>
      </c>
      <c r="Z78" s="48" t="n">
        <f aca="false">IF('Stammdaten - Schwimmer'!$D74&lt;DATE(2007,7,20),'Stammdaten - Schwimmer'!F74,)</f>
        <v>44</v>
      </c>
      <c r="AA78" s="0" t="e">
        <f aca="false">_xlfn.RANK.EQ(Z78,Z$4:Z$103,0)</f>
        <v>#REF!</v>
      </c>
    </row>
    <row r="79" customFormat="false" ht="15" hidden="false" customHeight="false" outlineLevel="0" collapsed="false">
      <c r="A79" s="46" t="n">
        <f aca="false">'Stammdaten - Schwimmer'!A75</f>
        <v>73</v>
      </c>
      <c r="B79" s="47" t="str">
        <f aca="false">'Stammdaten - Schwimmer'!B75</f>
        <v>Glaser</v>
      </c>
      <c r="C79" s="47" t="str">
        <f aca="false">'Stammdaten - Schwimmer'!C75</f>
        <v>Mila</v>
      </c>
      <c r="D79" s="32" t="n">
        <f aca="false">'Stammdaten - Schwimmer'!J75+'Stammdaten - Schwimmer'!N75+'Stammdaten - Schwimmer'!R75+'Stammdaten - Schwimmer'!V75+'Stammdaten - Schwimmer'!Z76</f>
        <v>10</v>
      </c>
      <c r="E79" s="48" t="n">
        <f aca="false">'Stammdaten - Schwimmer'!F75</f>
        <v>74</v>
      </c>
      <c r="H79" s="31" t="n">
        <f aca="false">IF('Stammdaten - Schwimmer'!D75&gt;DATE(2011,7,20),A79,)</f>
        <v>73</v>
      </c>
      <c r="I79" s="31" t="str">
        <f aca="false">IF('Stammdaten - Schwimmer'!$D75&gt;DATE(2011,7,20),B79,)</f>
        <v>Glaser</v>
      </c>
      <c r="J79" s="31" t="str">
        <f aca="false">IF('Stammdaten - Schwimmer'!$D75&gt;DATE(2011,7,20),C79,)</f>
        <v>Mila</v>
      </c>
      <c r="K79" s="32" t="n">
        <f aca="false">IF('Stammdaten - Schwimmer'!$D75&gt;DATE(2011,7,20),D79,)</f>
        <v>10</v>
      </c>
      <c r="L79" s="31" t="n">
        <f aca="false">IF('Stammdaten - Schwimmer'!$D75&gt;DATE(2011,7,20),'Stammdaten - Schwimmer'!F75,)</f>
        <v>74</v>
      </c>
      <c r="M79" s="0" t="e">
        <f aca="false">_xlfn.RANK.EQ(L79,L$4:L$103,0)</f>
        <v>#REF!</v>
      </c>
      <c r="O79" s="31" t="n">
        <f aca="false">IF(AND('Stammdaten - Schwimmer'!$D75&lt;DATE(2011,7,20),'Stammdaten - Schwimmer'!$D75&gt;DATE(2007,7,19)),A79,)</f>
        <v>0</v>
      </c>
      <c r="P79" s="31" t="n">
        <f aca="false">IF(AND('Stammdaten - Schwimmer'!$D75&lt;DATE(2011,7,20),'Stammdaten - Schwimmer'!$D75&gt;DATE(2007,7,19)),B79,)</f>
        <v>0</v>
      </c>
      <c r="Q79" s="31" t="n">
        <f aca="false">IF(AND('Stammdaten - Schwimmer'!$D75&lt;DATE(2011,7,20),'Stammdaten - Schwimmer'!$D75&gt;DATE(2007,7,19)),C79,)</f>
        <v>0</v>
      </c>
      <c r="R79" s="32" t="n">
        <f aca="false">IF(AND('Stammdaten - Schwimmer'!$D75&lt;DATE(2011,7,20),'Stammdaten - Schwimmer'!$D75&gt;DATE(2007,7,19)),D79,)</f>
        <v>0</v>
      </c>
      <c r="S79" s="48" t="n">
        <f aca="false">IF(AND('Stammdaten - Schwimmer'!$D75&lt;DATE(2011,7,20),'Stammdaten - Schwimmer'!$D75&gt;DATE(2007,7,19)),'Stammdaten - Schwimmer'!F75,)</f>
        <v>0</v>
      </c>
      <c r="T79" s="0" t="e">
        <f aca="false">_xlfn.RANK.EQ(S79,S$4:S$103,0)</f>
        <v>#REF!</v>
      </c>
      <c r="V79" s="31" t="n">
        <f aca="false">IF('Stammdaten - Schwimmer'!$D75&lt;DATE(2007,7,20),A79,)</f>
        <v>0</v>
      </c>
      <c r="W79" s="31" t="n">
        <f aca="false">IF('Stammdaten - Schwimmer'!$D75&lt;DATE(2007,7,20),B79,)</f>
        <v>0</v>
      </c>
      <c r="X79" s="31" t="n">
        <f aca="false">IF('Stammdaten - Schwimmer'!$D75&lt;DATE(2007,7,20),C79,)</f>
        <v>0</v>
      </c>
      <c r="Y79" s="32" t="n">
        <f aca="false">IF('Stammdaten - Schwimmer'!$D75&lt;DATE(2007,7,20),D79,)</f>
        <v>0</v>
      </c>
      <c r="Z79" s="48" t="n">
        <f aca="false">IF('Stammdaten - Schwimmer'!$D75&lt;DATE(2007,7,20),'Stammdaten - Schwimmer'!F75,)</f>
        <v>0</v>
      </c>
      <c r="AA79" s="0" t="e">
        <f aca="false">_xlfn.RANK.EQ(Z79,Z$4:Z$103,0)</f>
        <v>#REF!</v>
      </c>
    </row>
    <row r="80" customFormat="false" ht="15" hidden="false" customHeight="false" outlineLevel="0" collapsed="false">
      <c r="A80" s="46" t="n">
        <f aca="false">'Stammdaten - Schwimmer'!A76</f>
        <v>74</v>
      </c>
      <c r="B80" s="47" t="str">
        <f aca="false">'Stammdaten - Schwimmer'!B76</f>
        <v>Schmid</v>
      </c>
      <c r="C80" s="47" t="str">
        <f aca="false">'Stammdaten - Schwimmer'!C76</f>
        <v>Katharina</v>
      </c>
      <c r="D80" s="32" t="n">
        <f aca="false">'Stammdaten - Schwimmer'!J76+'Stammdaten - Schwimmer'!N76+'Stammdaten - Schwimmer'!R76+'Stammdaten - Schwimmer'!V76+'Stammdaten - Schwimmer'!Z77</f>
        <v>44</v>
      </c>
      <c r="E80" s="48" t="n">
        <f aca="false">'Stammdaten - Schwimmer'!F76</f>
        <v>44</v>
      </c>
      <c r="H80" s="31" t="n">
        <f aca="false">IF('Stammdaten - Schwimmer'!D76&gt;DATE(2011,7,20),A80,)</f>
        <v>0</v>
      </c>
      <c r="I80" s="31" t="n">
        <f aca="false">IF('Stammdaten - Schwimmer'!$D76&gt;DATE(2011,7,20),B80,)</f>
        <v>0</v>
      </c>
      <c r="J80" s="31" t="n">
        <f aca="false">IF('Stammdaten - Schwimmer'!$D76&gt;DATE(2011,7,20),C80,)</f>
        <v>0</v>
      </c>
      <c r="K80" s="32" t="n">
        <f aca="false">IF('Stammdaten - Schwimmer'!$D76&gt;DATE(2011,7,20),D80,)</f>
        <v>0</v>
      </c>
      <c r="L80" s="31" t="n">
        <f aca="false">IF('Stammdaten - Schwimmer'!$D76&gt;DATE(2011,7,20),'Stammdaten - Schwimmer'!F76,)</f>
        <v>0</v>
      </c>
      <c r="M80" s="0" t="e">
        <f aca="false">_xlfn.RANK.EQ(L80,L$4:L$103,0)</f>
        <v>#REF!</v>
      </c>
      <c r="O80" s="31" t="n">
        <f aca="false">IF(AND('Stammdaten - Schwimmer'!$D76&lt;DATE(2011,7,20),'Stammdaten - Schwimmer'!$D76&gt;DATE(2007,7,19)),A80,)</f>
        <v>0</v>
      </c>
      <c r="P80" s="31" t="n">
        <f aca="false">IF(AND('Stammdaten - Schwimmer'!$D76&lt;DATE(2011,7,20),'Stammdaten - Schwimmer'!$D76&gt;DATE(2007,7,19)),B80,)</f>
        <v>0</v>
      </c>
      <c r="Q80" s="31" t="n">
        <f aca="false">IF(AND('Stammdaten - Schwimmer'!$D76&lt;DATE(2011,7,20),'Stammdaten - Schwimmer'!$D76&gt;DATE(2007,7,19)),C80,)</f>
        <v>0</v>
      </c>
      <c r="R80" s="32" t="n">
        <f aca="false">IF(AND('Stammdaten - Schwimmer'!$D76&lt;DATE(2011,7,20),'Stammdaten - Schwimmer'!$D76&gt;DATE(2007,7,19)),D80,)</f>
        <v>0</v>
      </c>
      <c r="S80" s="48" t="n">
        <f aca="false">IF(AND('Stammdaten - Schwimmer'!$D76&lt;DATE(2011,7,20),'Stammdaten - Schwimmer'!$D76&gt;DATE(2007,7,19)),'Stammdaten - Schwimmer'!F76,)</f>
        <v>0</v>
      </c>
      <c r="T80" s="0" t="e">
        <f aca="false">_xlfn.RANK.EQ(S80,S$4:S$103,0)</f>
        <v>#REF!</v>
      </c>
      <c r="V80" s="31" t="n">
        <f aca="false">IF('Stammdaten - Schwimmer'!$D76&lt;DATE(2007,7,20),A80,)</f>
        <v>74</v>
      </c>
      <c r="W80" s="31" t="str">
        <f aca="false">IF('Stammdaten - Schwimmer'!$D76&lt;DATE(2007,7,20),B80,)</f>
        <v>Schmid</v>
      </c>
      <c r="X80" s="31" t="str">
        <f aca="false">IF('Stammdaten - Schwimmer'!$D76&lt;DATE(2007,7,20),C80,)</f>
        <v>Katharina</v>
      </c>
      <c r="Y80" s="32" t="n">
        <f aca="false">IF('Stammdaten - Schwimmer'!$D76&lt;DATE(2007,7,20),D80,)</f>
        <v>44</v>
      </c>
      <c r="Z80" s="48" t="n">
        <f aca="false">IF('Stammdaten - Schwimmer'!$D76&lt;DATE(2007,7,20),'Stammdaten - Schwimmer'!F76,)</f>
        <v>44</v>
      </c>
      <c r="AA80" s="0" t="e">
        <f aca="false">_xlfn.RANK.EQ(Z80,Z$4:Z$103,0)</f>
        <v>#REF!</v>
      </c>
    </row>
    <row r="81" customFormat="false" ht="15" hidden="false" customHeight="false" outlineLevel="0" collapsed="false">
      <c r="A81" s="46" t="n">
        <f aca="false">'Stammdaten - Schwimmer'!A77</f>
        <v>75</v>
      </c>
      <c r="B81" s="47" t="str">
        <f aca="false">'Stammdaten - Schwimmer'!B77</f>
        <v>Buck</v>
      </c>
      <c r="C81" s="47" t="str">
        <f aca="false">'Stammdaten - Schwimmer'!C77</f>
        <v>Annika</v>
      </c>
      <c r="D81" s="32" t="n">
        <f aca="false">'Stammdaten - Schwimmer'!J77+'Stammdaten - Schwimmer'!N77+'Stammdaten - Schwimmer'!R77+'Stammdaten - Schwimmer'!V77+'Stammdaten - Schwimmer'!Z78</f>
        <v>110</v>
      </c>
      <c r="E81" s="48" t="n">
        <f aca="false">'Stammdaten - Schwimmer'!F77</f>
        <v>44</v>
      </c>
      <c r="H81" s="31" t="n">
        <f aca="false">IF('Stammdaten - Schwimmer'!D77&gt;DATE(2011,7,20),A81,)</f>
        <v>0</v>
      </c>
      <c r="I81" s="31" t="n">
        <f aca="false">IF('Stammdaten - Schwimmer'!$D77&gt;DATE(2011,7,20),B81,)</f>
        <v>0</v>
      </c>
      <c r="J81" s="31" t="n">
        <f aca="false">IF('Stammdaten - Schwimmer'!$D77&gt;DATE(2011,7,20),C81,)</f>
        <v>0</v>
      </c>
      <c r="K81" s="32" t="n">
        <f aca="false">IF('Stammdaten - Schwimmer'!$D77&gt;DATE(2011,7,20),D81,)</f>
        <v>0</v>
      </c>
      <c r="L81" s="31" t="n">
        <f aca="false">IF('Stammdaten - Schwimmer'!$D77&gt;DATE(2011,7,20),'Stammdaten - Schwimmer'!F77,)</f>
        <v>0</v>
      </c>
      <c r="M81" s="0" t="e">
        <f aca="false">_xlfn.RANK.EQ(L81,L$4:L$103,0)</f>
        <v>#REF!</v>
      </c>
      <c r="O81" s="31" t="n">
        <f aca="false">IF(AND('Stammdaten - Schwimmer'!$D77&lt;DATE(2011,7,20),'Stammdaten - Schwimmer'!$D77&gt;DATE(2007,7,19)),A81,)</f>
        <v>0</v>
      </c>
      <c r="P81" s="31" t="n">
        <f aca="false">IF(AND('Stammdaten - Schwimmer'!$D77&lt;DATE(2011,7,20),'Stammdaten - Schwimmer'!$D77&gt;DATE(2007,7,19)),B81,)</f>
        <v>0</v>
      </c>
      <c r="Q81" s="31" t="n">
        <f aca="false">IF(AND('Stammdaten - Schwimmer'!$D77&lt;DATE(2011,7,20),'Stammdaten - Schwimmer'!$D77&gt;DATE(2007,7,19)),C81,)</f>
        <v>0</v>
      </c>
      <c r="R81" s="32" t="n">
        <f aca="false">IF(AND('Stammdaten - Schwimmer'!$D77&lt;DATE(2011,7,20),'Stammdaten - Schwimmer'!$D77&gt;DATE(2007,7,19)),D81,)</f>
        <v>0</v>
      </c>
      <c r="S81" s="48" t="n">
        <f aca="false">IF(AND('Stammdaten - Schwimmer'!$D77&lt;DATE(2011,7,20),'Stammdaten - Schwimmer'!$D77&gt;DATE(2007,7,19)),'Stammdaten - Schwimmer'!F77,)</f>
        <v>0</v>
      </c>
      <c r="T81" s="0" t="e">
        <f aca="false">_xlfn.RANK.EQ(S81,S$4:S$103,0)</f>
        <v>#REF!</v>
      </c>
      <c r="V81" s="31" t="n">
        <f aca="false">IF('Stammdaten - Schwimmer'!$D77&lt;DATE(2007,7,20),A81,)</f>
        <v>75</v>
      </c>
      <c r="W81" s="31" t="str">
        <f aca="false">IF('Stammdaten - Schwimmer'!$D77&lt;DATE(2007,7,20),B81,)</f>
        <v>Buck</v>
      </c>
      <c r="X81" s="31" t="str">
        <f aca="false">IF('Stammdaten - Schwimmer'!$D77&lt;DATE(2007,7,20),C81,)</f>
        <v>Annika</v>
      </c>
      <c r="Y81" s="32" t="n">
        <f aca="false">IF('Stammdaten - Schwimmer'!$D77&lt;DATE(2007,7,20),D81,)</f>
        <v>110</v>
      </c>
      <c r="Z81" s="48" t="n">
        <f aca="false">IF('Stammdaten - Schwimmer'!$D77&lt;DATE(2007,7,20),'Stammdaten - Schwimmer'!F77,)</f>
        <v>44</v>
      </c>
      <c r="AA81" s="0" t="e">
        <f aca="false">_xlfn.RANK.EQ(Z81,Z$4:Z$103,0)</f>
        <v>#REF!</v>
      </c>
    </row>
    <row r="82" customFormat="false" ht="15" hidden="false" customHeight="false" outlineLevel="0" collapsed="false">
      <c r="A82" s="46" t="n">
        <f aca="false">'Stammdaten - Schwimmer'!A78</f>
        <v>76</v>
      </c>
      <c r="B82" s="47" t="str">
        <f aca="false">'Stammdaten - Schwimmer'!B78</f>
        <v>Wohlers</v>
      </c>
      <c r="C82" s="47" t="str">
        <f aca="false">'Stammdaten - Schwimmer'!C78</f>
        <v>Valentin</v>
      </c>
      <c r="D82" s="32" t="n">
        <f aca="false">'Stammdaten - Schwimmer'!J78+'Stammdaten - Schwimmer'!N78+'Stammdaten - Schwimmer'!R78+'Stammdaten - Schwimmer'!V78+'Stammdaten - Schwimmer'!Z79</f>
        <v>38</v>
      </c>
      <c r="E82" s="48" t="n">
        <f aca="false">'Stammdaten - Schwimmer'!F78</f>
        <v>76</v>
      </c>
      <c r="H82" s="31" t="n">
        <f aca="false">IF('Stammdaten - Schwimmer'!D78&gt;DATE(2011,7,20),A82,)</f>
        <v>76</v>
      </c>
      <c r="I82" s="31" t="str">
        <f aca="false">IF('Stammdaten - Schwimmer'!$D78&gt;DATE(2011,7,20),B82,)</f>
        <v>Wohlers</v>
      </c>
      <c r="J82" s="31" t="str">
        <f aca="false">IF('Stammdaten - Schwimmer'!$D78&gt;DATE(2011,7,20),C82,)</f>
        <v>Valentin</v>
      </c>
      <c r="K82" s="32" t="n">
        <f aca="false">IF('Stammdaten - Schwimmer'!$D78&gt;DATE(2011,7,20),D82,)</f>
        <v>38</v>
      </c>
      <c r="L82" s="31" t="n">
        <f aca="false">IF('Stammdaten - Schwimmer'!$D78&gt;DATE(2011,7,20),'Stammdaten - Schwimmer'!F78,)</f>
        <v>76</v>
      </c>
      <c r="M82" s="0" t="e">
        <f aca="false">_xlfn.RANK.EQ(L82,L$4:L$103,0)</f>
        <v>#REF!</v>
      </c>
      <c r="O82" s="31" t="n">
        <f aca="false">IF(AND('Stammdaten - Schwimmer'!$D78&lt;DATE(2011,7,20),'Stammdaten - Schwimmer'!$D78&gt;DATE(2007,7,19)),A82,)</f>
        <v>0</v>
      </c>
      <c r="P82" s="31" t="n">
        <f aca="false">IF(AND('Stammdaten - Schwimmer'!$D78&lt;DATE(2011,7,20),'Stammdaten - Schwimmer'!$D78&gt;DATE(2007,7,19)),B82,)</f>
        <v>0</v>
      </c>
      <c r="Q82" s="31" t="n">
        <f aca="false">IF(AND('Stammdaten - Schwimmer'!$D78&lt;DATE(2011,7,20),'Stammdaten - Schwimmer'!$D78&gt;DATE(2007,7,19)),C82,)</f>
        <v>0</v>
      </c>
      <c r="R82" s="32" t="n">
        <f aca="false">IF(AND('Stammdaten - Schwimmer'!$D78&lt;DATE(2011,7,20),'Stammdaten - Schwimmer'!$D78&gt;DATE(2007,7,19)),D82,)</f>
        <v>0</v>
      </c>
      <c r="S82" s="48" t="n">
        <f aca="false">IF(AND('Stammdaten - Schwimmer'!$D78&lt;DATE(2011,7,20),'Stammdaten - Schwimmer'!$D78&gt;DATE(2007,7,19)),'Stammdaten - Schwimmer'!F78,)</f>
        <v>0</v>
      </c>
      <c r="T82" s="0" t="e">
        <f aca="false">_xlfn.RANK.EQ(S82,S$4:S$103,0)</f>
        <v>#REF!</v>
      </c>
      <c r="V82" s="31" t="n">
        <f aca="false">IF('Stammdaten - Schwimmer'!$D78&lt;DATE(2007,7,20),A82,)</f>
        <v>0</v>
      </c>
      <c r="W82" s="31" t="n">
        <f aca="false">IF('Stammdaten - Schwimmer'!$D78&lt;DATE(2007,7,20),B82,)</f>
        <v>0</v>
      </c>
      <c r="X82" s="31" t="n">
        <f aca="false">IF('Stammdaten - Schwimmer'!$D78&lt;DATE(2007,7,20),C82,)</f>
        <v>0</v>
      </c>
      <c r="Y82" s="32" t="n">
        <f aca="false">IF('Stammdaten - Schwimmer'!$D78&lt;DATE(2007,7,20),D82,)</f>
        <v>0</v>
      </c>
      <c r="Z82" s="48" t="n">
        <f aca="false">IF('Stammdaten - Schwimmer'!$D78&lt;DATE(2007,7,20),'Stammdaten - Schwimmer'!F78,)</f>
        <v>0</v>
      </c>
      <c r="AA82" s="0" t="e">
        <f aca="false">_xlfn.RANK.EQ(Z82,Z$4:Z$103,0)</f>
        <v>#REF!</v>
      </c>
    </row>
    <row r="83" customFormat="false" ht="15" hidden="false" customHeight="false" outlineLevel="0" collapsed="false">
      <c r="A83" s="46" t="n">
        <f aca="false">'Stammdaten - Schwimmer'!A79</f>
        <v>77</v>
      </c>
      <c r="B83" s="47" t="str">
        <f aca="false">'Stammdaten - Schwimmer'!B79</f>
        <v>Rink</v>
      </c>
      <c r="C83" s="47" t="str">
        <f aca="false">'Stammdaten - Schwimmer'!C79</f>
        <v>Henrik</v>
      </c>
      <c r="D83" s="32" t="n">
        <f aca="false">'Stammdaten - Schwimmer'!J79+'Stammdaten - Schwimmer'!N79+'Stammdaten - Schwimmer'!R79+'Stammdaten - Schwimmer'!V79+'Stammdaten - Schwimmer'!Z80</f>
        <v>60</v>
      </c>
      <c r="E83" s="48" t="n">
        <f aca="false">'Stammdaten - Schwimmer'!F79</f>
        <v>48</v>
      </c>
      <c r="H83" s="31" t="n">
        <f aca="false">IF('Stammdaten - Schwimmer'!D79&gt;DATE(2011,7,20),A83,)</f>
        <v>77</v>
      </c>
      <c r="I83" s="31" t="str">
        <f aca="false">IF('Stammdaten - Schwimmer'!$D79&gt;DATE(2011,7,20),B83,)</f>
        <v>Rink</v>
      </c>
      <c r="J83" s="31" t="str">
        <f aca="false">IF('Stammdaten - Schwimmer'!$D79&gt;DATE(2011,7,20),C83,)</f>
        <v>Henrik</v>
      </c>
      <c r="K83" s="32" t="n">
        <f aca="false">IF('Stammdaten - Schwimmer'!$D79&gt;DATE(2011,7,20),D83,)</f>
        <v>60</v>
      </c>
      <c r="L83" s="31" t="n">
        <f aca="false">IF('Stammdaten - Schwimmer'!$D79&gt;DATE(2011,7,20),'Stammdaten - Schwimmer'!F79,)</f>
        <v>48</v>
      </c>
      <c r="M83" s="0" t="e">
        <f aca="false">_xlfn.RANK.EQ(L83,L$4:L$103,0)</f>
        <v>#REF!</v>
      </c>
      <c r="O83" s="31" t="n">
        <f aca="false">IF(AND('Stammdaten - Schwimmer'!$D79&lt;DATE(2011,7,20),'Stammdaten - Schwimmer'!$D79&gt;DATE(2007,7,19)),A83,)</f>
        <v>0</v>
      </c>
      <c r="P83" s="31" t="n">
        <f aca="false">IF(AND('Stammdaten - Schwimmer'!$D79&lt;DATE(2011,7,20),'Stammdaten - Schwimmer'!$D79&gt;DATE(2007,7,19)),B83,)</f>
        <v>0</v>
      </c>
      <c r="Q83" s="31" t="n">
        <f aca="false">IF(AND('Stammdaten - Schwimmer'!$D79&lt;DATE(2011,7,20),'Stammdaten - Schwimmer'!$D79&gt;DATE(2007,7,19)),C83,)</f>
        <v>0</v>
      </c>
      <c r="R83" s="32" t="n">
        <f aca="false">IF(AND('Stammdaten - Schwimmer'!$D79&lt;DATE(2011,7,20),'Stammdaten - Schwimmer'!$D79&gt;DATE(2007,7,19)),D83,)</f>
        <v>0</v>
      </c>
      <c r="S83" s="48" t="n">
        <f aca="false">IF(AND('Stammdaten - Schwimmer'!$D79&lt;DATE(2011,7,20),'Stammdaten - Schwimmer'!$D79&gt;DATE(2007,7,19)),'Stammdaten - Schwimmer'!F79,)</f>
        <v>0</v>
      </c>
      <c r="T83" s="0" t="e">
        <f aca="false">_xlfn.RANK.EQ(S83,S$4:S$103,0)</f>
        <v>#REF!</v>
      </c>
      <c r="V83" s="31" t="n">
        <f aca="false">IF('Stammdaten - Schwimmer'!$D79&lt;DATE(2007,7,20),A83,)</f>
        <v>0</v>
      </c>
      <c r="W83" s="31" t="n">
        <f aca="false">IF('Stammdaten - Schwimmer'!$D79&lt;DATE(2007,7,20),B83,)</f>
        <v>0</v>
      </c>
      <c r="X83" s="31" t="n">
        <f aca="false">IF('Stammdaten - Schwimmer'!$D79&lt;DATE(2007,7,20),C83,)</f>
        <v>0</v>
      </c>
      <c r="Y83" s="32" t="n">
        <f aca="false">IF('Stammdaten - Schwimmer'!$D79&lt;DATE(2007,7,20),D83,)</f>
        <v>0</v>
      </c>
      <c r="Z83" s="48" t="n">
        <f aca="false">IF('Stammdaten - Schwimmer'!$D79&lt;DATE(2007,7,20),'Stammdaten - Schwimmer'!F79,)</f>
        <v>0</v>
      </c>
      <c r="AA83" s="0" t="e">
        <f aca="false">_xlfn.RANK.EQ(Z83,Z$4:Z$103,0)</f>
        <v>#REF!</v>
      </c>
    </row>
    <row r="84" customFormat="false" ht="15" hidden="false" customHeight="false" outlineLevel="0" collapsed="false">
      <c r="A84" s="46" t="n">
        <f aca="false">'Stammdaten - Schwimmer'!A80</f>
        <v>78</v>
      </c>
      <c r="B84" s="47" t="str">
        <f aca="false">'Stammdaten - Schwimmer'!B80</f>
        <v>B</v>
      </c>
      <c r="C84" s="47" t="str">
        <f aca="false">'Stammdaten - Schwimmer'!C80</f>
        <v>Pascal</v>
      </c>
      <c r="D84" s="32" t="n">
        <f aca="false">'Stammdaten - Schwimmer'!J80+'Stammdaten - Schwimmer'!N80+'Stammdaten - Schwimmer'!R80+'Stammdaten - Schwimmer'!V80+'Stammdaten - Schwimmer'!Z81</f>
        <v>50</v>
      </c>
      <c r="E84" s="48" t="n">
        <f aca="false">'Stammdaten - Schwimmer'!F80</f>
        <v>50</v>
      </c>
      <c r="H84" s="31" t="n">
        <f aca="false">IF('Stammdaten - Schwimmer'!D80&gt;DATE(2011,7,20),A84,)</f>
        <v>0</v>
      </c>
      <c r="I84" s="31" t="n">
        <f aca="false">IF('Stammdaten - Schwimmer'!$D80&gt;DATE(2011,7,20),B84,)</f>
        <v>0</v>
      </c>
      <c r="J84" s="31" t="n">
        <f aca="false">IF('Stammdaten - Schwimmer'!$D80&gt;DATE(2011,7,20),C84,)</f>
        <v>0</v>
      </c>
      <c r="K84" s="32" t="n">
        <f aca="false">IF('Stammdaten - Schwimmer'!$D80&gt;DATE(2011,7,20),D84,)</f>
        <v>0</v>
      </c>
      <c r="L84" s="31" t="n">
        <f aca="false">IF('Stammdaten - Schwimmer'!$D80&gt;DATE(2011,7,20),'Stammdaten - Schwimmer'!F80,)</f>
        <v>0</v>
      </c>
      <c r="M84" s="0" t="e">
        <f aca="false">_xlfn.RANK.EQ(L84,L$4:L$103,0)</f>
        <v>#REF!</v>
      </c>
      <c r="O84" s="31" t="n">
        <f aca="false">IF(AND('Stammdaten - Schwimmer'!$D80&lt;DATE(2011,7,20),'Stammdaten - Schwimmer'!$D80&gt;DATE(2007,7,19)),A84,)</f>
        <v>0</v>
      </c>
      <c r="P84" s="31" t="n">
        <f aca="false">IF(AND('Stammdaten - Schwimmer'!$D80&lt;DATE(2011,7,20),'Stammdaten - Schwimmer'!$D80&gt;DATE(2007,7,19)),B84,)</f>
        <v>0</v>
      </c>
      <c r="Q84" s="31" t="n">
        <f aca="false">IF(AND('Stammdaten - Schwimmer'!$D80&lt;DATE(2011,7,20),'Stammdaten - Schwimmer'!$D80&gt;DATE(2007,7,19)),C84,)</f>
        <v>0</v>
      </c>
      <c r="R84" s="32" t="n">
        <f aca="false">IF(AND('Stammdaten - Schwimmer'!$D80&lt;DATE(2011,7,20),'Stammdaten - Schwimmer'!$D80&gt;DATE(2007,7,19)),D84,)</f>
        <v>0</v>
      </c>
      <c r="S84" s="48" t="n">
        <f aca="false">IF(AND('Stammdaten - Schwimmer'!$D80&lt;DATE(2011,7,20),'Stammdaten - Schwimmer'!$D80&gt;DATE(2007,7,19)),'Stammdaten - Schwimmer'!F80,)</f>
        <v>0</v>
      </c>
      <c r="T84" s="0" t="e">
        <f aca="false">_xlfn.RANK.EQ(S84,S$4:S$103,0)</f>
        <v>#REF!</v>
      </c>
      <c r="V84" s="31" t="n">
        <f aca="false">IF('Stammdaten - Schwimmer'!$D80&lt;DATE(2007,7,20),A84,)</f>
        <v>78</v>
      </c>
      <c r="W84" s="31" t="str">
        <f aca="false">IF('Stammdaten - Schwimmer'!$D80&lt;DATE(2007,7,20),B84,)</f>
        <v>B</v>
      </c>
      <c r="X84" s="31" t="str">
        <f aca="false">IF('Stammdaten - Schwimmer'!$D80&lt;DATE(2007,7,20),C84,)</f>
        <v>Pascal</v>
      </c>
      <c r="Y84" s="32" t="n">
        <f aca="false">IF('Stammdaten - Schwimmer'!$D80&lt;DATE(2007,7,20),D84,)</f>
        <v>50</v>
      </c>
      <c r="Z84" s="48" t="n">
        <f aca="false">IF('Stammdaten - Schwimmer'!$D80&lt;DATE(2007,7,20),'Stammdaten - Schwimmer'!F80,)</f>
        <v>50</v>
      </c>
      <c r="AA84" s="0" t="e">
        <f aca="false">_xlfn.RANK.EQ(Z84,Z$4:Z$103,0)</f>
        <v>#REF!</v>
      </c>
    </row>
    <row r="85" customFormat="false" ht="15" hidden="false" customHeight="false" outlineLevel="0" collapsed="false">
      <c r="A85" s="46" t="n">
        <f aca="false">'Stammdaten - Schwimmer'!A81</f>
        <v>79</v>
      </c>
      <c r="B85" s="47" t="str">
        <f aca="false">'Stammdaten - Schwimmer'!B81</f>
        <v>Fritz</v>
      </c>
      <c r="C85" s="47" t="str">
        <f aca="false">'Stammdaten - Schwimmer'!C81</f>
        <v>Lukas</v>
      </c>
      <c r="D85" s="32" t="n">
        <f aca="false">'Stammdaten - Schwimmer'!J81+'Stammdaten - Schwimmer'!N81+'Stammdaten - Schwimmer'!R81+'Stammdaten - Schwimmer'!V81+'Stammdaten - Schwimmer'!Z82</f>
        <v>230</v>
      </c>
      <c r="E85" s="48" t="n">
        <f aca="false">'Stammdaten - Schwimmer'!F81</f>
        <v>46</v>
      </c>
      <c r="H85" s="31" t="n">
        <f aca="false">IF('Stammdaten - Schwimmer'!D81&gt;DATE(2011,7,20),A85,)</f>
        <v>0</v>
      </c>
      <c r="I85" s="31" t="n">
        <f aca="false">IF('Stammdaten - Schwimmer'!$D81&gt;DATE(2011,7,20),B85,)</f>
        <v>0</v>
      </c>
      <c r="J85" s="31" t="n">
        <f aca="false">IF('Stammdaten - Schwimmer'!$D81&gt;DATE(2011,7,20),C85,)</f>
        <v>0</v>
      </c>
      <c r="K85" s="32" t="n">
        <f aca="false">IF('Stammdaten - Schwimmer'!$D81&gt;DATE(2011,7,20),D85,)</f>
        <v>0</v>
      </c>
      <c r="L85" s="31" t="n">
        <f aca="false">IF('Stammdaten - Schwimmer'!$D81&gt;DATE(2011,7,20),'Stammdaten - Schwimmer'!F81,)</f>
        <v>0</v>
      </c>
      <c r="M85" s="0" t="e">
        <f aca="false">_xlfn.RANK.EQ(L85,L$4:L$103,0)</f>
        <v>#REF!</v>
      </c>
      <c r="O85" s="31" t="n">
        <f aca="false">IF(AND('Stammdaten - Schwimmer'!$D81&lt;DATE(2011,7,20),'Stammdaten - Schwimmer'!$D81&gt;DATE(2007,7,19)),A85,)</f>
        <v>0</v>
      </c>
      <c r="P85" s="31" t="n">
        <f aca="false">IF(AND('Stammdaten - Schwimmer'!$D81&lt;DATE(2011,7,20),'Stammdaten - Schwimmer'!$D81&gt;DATE(2007,7,19)),B85,)</f>
        <v>0</v>
      </c>
      <c r="Q85" s="31" t="n">
        <f aca="false">IF(AND('Stammdaten - Schwimmer'!$D81&lt;DATE(2011,7,20),'Stammdaten - Schwimmer'!$D81&gt;DATE(2007,7,19)),C85,)</f>
        <v>0</v>
      </c>
      <c r="R85" s="32" t="n">
        <f aca="false">IF(AND('Stammdaten - Schwimmer'!$D81&lt;DATE(2011,7,20),'Stammdaten - Schwimmer'!$D81&gt;DATE(2007,7,19)),D85,)</f>
        <v>0</v>
      </c>
      <c r="S85" s="48" t="n">
        <f aca="false">IF(AND('Stammdaten - Schwimmer'!$D81&lt;DATE(2011,7,20),'Stammdaten - Schwimmer'!$D81&gt;DATE(2007,7,19)),'Stammdaten - Schwimmer'!F81,)</f>
        <v>0</v>
      </c>
      <c r="T85" s="0" t="e">
        <f aca="false">_xlfn.RANK.EQ(S85,S$4:S$103,0)</f>
        <v>#REF!</v>
      </c>
      <c r="V85" s="31" t="n">
        <f aca="false">IF('Stammdaten - Schwimmer'!$D81&lt;DATE(2007,7,20),A85,)</f>
        <v>79</v>
      </c>
      <c r="W85" s="31" t="str">
        <f aca="false">IF('Stammdaten - Schwimmer'!$D81&lt;DATE(2007,7,20),B85,)</f>
        <v>Fritz</v>
      </c>
      <c r="X85" s="31" t="str">
        <f aca="false">IF('Stammdaten - Schwimmer'!$D81&lt;DATE(2007,7,20),C85,)</f>
        <v>Lukas</v>
      </c>
      <c r="Y85" s="32" t="n">
        <f aca="false">IF('Stammdaten - Schwimmer'!$D81&lt;DATE(2007,7,20),D85,)</f>
        <v>230</v>
      </c>
      <c r="Z85" s="48" t="n">
        <f aca="false">IF('Stammdaten - Schwimmer'!$D81&lt;DATE(2007,7,20),'Stammdaten - Schwimmer'!F81,)</f>
        <v>46</v>
      </c>
      <c r="AA85" s="0" t="e">
        <f aca="false">_xlfn.RANK.EQ(Z85,Z$4:Z$103,0)</f>
        <v>#REF!</v>
      </c>
    </row>
    <row r="86" customFormat="false" ht="15" hidden="false" customHeight="false" outlineLevel="0" collapsed="false">
      <c r="A86" s="46" t="n">
        <f aca="false">'Stammdaten - Schwimmer'!A82</f>
        <v>80</v>
      </c>
      <c r="B86" s="47" t="str">
        <f aca="false">'Stammdaten - Schwimmer'!B82</f>
        <v>Schönefeld</v>
      </c>
      <c r="C86" s="47" t="str">
        <f aca="false">'Stammdaten - Schwimmer'!C82</f>
        <v>Frida Marie</v>
      </c>
      <c r="D86" s="32" t="n">
        <f aca="false">'Stammdaten - Schwimmer'!J82+'Stammdaten - Schwimmer'!N82+'Stammdaten - Schwimmer'!R82+'Stammdaten - Schwimmer'!V82+'Stammdaten - Schwimmer'!Z83</f>
        <v>32</v>
      </c>
      <c r="E86" s="48" t="n">
        <f aca="false">'Stammdaten - Schwimmer'!F82</f>
        <v>32</v>
      </c>
      <c r="H86" s="31" t="n">
        <f aca="false">IF('Stammdaten - Schwimmer'!D82&gt;DATE(2011,7,20),A86,)</f>
        <v>80</v>
      </c>
      <c r="I86" s="31" t="str">
        <f aca="false">IF('Stammdaten - Schwimmer'!$D82&gt;DATE(2011,7,20),B86,)</f>
        <v>Schönefeld</v>
      </c>
      <c r="J86" s="31" t="str">
        <f aca="false">IF('Stammdaten - Schwimmer'!$D82&gt;DATE(2011,7,20),C86,)</f>
        <v>Frida Marie</v>
      </c>
      <c r="K86" s="32" t="n">
        <f aca="false">IF('Stammdaten - Schwimmer'!$D82&gt;DATE(2011,7,20),D86,)</f>
        <v>32</v>
      </c>
      <c r="L86" s="31" t="n">
        <f aca="false">IF('Stammdaten - Schwimmer'!$D82&gt;DATE(2011,7,20),'Stammdaten - Schwimmer'!F82,)</f>
        <v>32</v>
      </c>
      <c r="M86" s="0" t="e">
        <f aca="false">_xlfn.RANK.EQ(L86,L$4:L$103,0)</f>
        <v>#REF!</v>
      </c>
      <c r="O86" s="31" t="n">
        <f aca="false">IF(AND('Stammdaten - Schwimmer'!$D82&lt;DATE(2011,7,20),'Stammdaten - Schwimmer'!$D82&gt;DATE(2007,7,19)),A86,)</f>
        <v>0</v>
      </c>
      <c r="P86" s="31" t="n">
        <f aca="false">IF(AND('Stammdaten - Schwimmer'!$D82&lt;DATE(2011,7,20),'Stammdaten - Schwimmer'!$D82&gt;DATE(2007,7,19)),B86,)</f>
        <v>0</v>
      </c>
      <c r="Q86" s="31" t="n">
        <f aca="false">IF(AND('Stammdaten - Schwimmer'!$D82&lt;DATE(2011,7,20),'Stammdaten - Schwimmer'!$D82&gt;DATE(2007,7,19)),C86,)</f>
        <v>0</v>
      </c>
      <c r="R86" s="32" t="n">
        <f aca="false">IF(AND('Stammdaten - Schwimmer'!$D82&lt;DATE(2011,7,20),'Stammdaten - Schwimmer'!$D82&gt;DATE(2007,7,19)),D86,)</f>
        <v>0</v>
      </c>
      <c r="S86" s="48" t="n">
        <f aca="false">IF(AND('Stammdaten - Schwimmer'!$D82&lt;DATE(2011,7,20),'Stammdaten - Schwimmer'!$D82&gt;DATE(2007,7,19)),'Stammdaten - Schwimmer'!F82,)</f>
        <v>0</v>
      </c>
      <c r="T86" s="0" t="e">
        <f aca="false">_xlfn.RANK.EQ(S86,S$4:S$103,0)</f>
        <v>#REF!</v>
      </c>
      <c r="V86" s="31" t="n">
        <f aca="false">IF('Stammdaten - Schwimmer'!$D82&lt;DATE(2007,7,20),A86,)</f>
        <v>0</v>
      </c>
      <c r="W86" s="31" t="n">
        <f aca="false">IF('Stammdaten - Schwimmer'!$D82&lt;DATE(2007,7,20),B86,)</f>
        <v>0</v>
      </c>
      <c r="X86" s="31" t="n">
        <f aca="false">IF('Stammdaten - Schwimmer'!$D82&lt;DATE(2007,7,20),C86,)</f>
        <v>0</v>
      </c>
      <c r="Y86" s="32" t="n">
        <f aca="false">IF('Stammdaten - Schwimmer'!$D82&lt;DATE(2007,7,20),D86,)</f>
        <v>0</v>
      </c>
      <c r="Z86" s="48" t="n">
        <f aca="false">IF('Stammdaten - Schwimmer'!$D82&lt;DATE(2007,7,20),'Stammdaten - Schwimmer'!F82,)</f>
        <v>0</v>
      </c>
      <c r="AA86" s="0" t="e">
        <f aca="false">_xlfn.RANK.EQ(Z86,Z$4:Z$103,0)</f>
        <v>#REF!</v>
      </c>
    </row>
    <row r="87" customFormat="false" ht="15" hidden="false" customHeight="false" outlineLevel="0" collapsed="false">
      <c r="A87" s="46" t="n">
        <f aca="false">'Stammdaten - Schwimmer'!A83</f>
        <v>81</v>
      </c>
      <c r="B87" s="47" t="str">
        <f aca="false">'Stammdaten - Schwimmer'!B83</f>
        <v>Mauer</v>
      </c>
      <c r="C87" s="47" t="str">
        <f aca="false">'Stammdaten - Schwimmer'!C83</f>
        <v>Mika</v>
      </c>
      <c r="D87" s="32" t="n">
        <f aca="false">'Stammdaten - Schwimmer'!J83+'Stammdaten - Schwimmer'!N83+'Stammdaten - Schwimmer'!R83+'Stammdaten - Schwimmer'!V83+'Stammdaten - Schwimmer'!Z84</f>
        <v>107</v>
      </c>
      <c r="E87" s="48" t="n">
        <f aca="false">'Stammdaten - Schwimmer'!F83</f>
        <v>124</v>
      </c>
      <c r="H87" s="31" t="n">
        <f aca="false">IF('Stammdaten - Schwimmer'!D83&gt;DATE(2011,7,20),A87,)</f>
        <v>81</v>
      </c>
      <c r="I87" s="31" t="str">
        <f aca="false">IF('Stammdaten - Schwimmer'!$D83&gt;DATE(2011,7,20),B87,)</f>
        <v>Mauer</v>
      </c>
      <c r="J87" s="31" t="str">
        <f aca="false">IF('Stammdaten - Schwimmer'!$D83&gt;DATE(2011,7,20),C87,)</f>
        <v>Mika</v>
      </c>
      <c r="K87" s="32" t="n">
        <f aca="false">IF('Stammdaten - Schwimmer'!$D83&gt;DATE(2011,7,20),D87,)</f>
        <v>107</v>
      </c>
      <c r="L87" s="31" t="n">
        <f aca="false">IF('Stammdaten - Schwimmer'!$D83&gt;DATE(2011,7,20),'Stammdaten - Schwimmer'!F83,)</f>
        <v>124</v>
      </c>
      <c r="M87" s="0" t="e">
        <f aca="false">_xlfn.RANK.EQ(L87,L$4:L$103,0)</f>
        <v>#REF!</v>
      </c>
      <c r="O87" s="31" t="n">
        <f aca="false">IF(AND('Stammdaten - Schwimmer'!$D83&lt;DATE(2011,7,20),'Stammdaten - Schwimmer'!$D83&gt;DATE(2007,7,19)),A87,)</f>
        <v>0</v>
      </c>
      <c r="P87" s="31" t="n">
        <f aca="false">IF(AND('Stammdaten - Schwimmer'!$D83&lt;DATE(2011,7,20),'Stammdaten - Schwimmer'!$D83&gt;DATE(2007,7,19)),B87,)</f>
        <v>0</v>
      </c>
      <c r="Q87" s="31" t="n">
        <f aca="false">IF(AND('Stammdaten - Schwimmer'!$D83&lt;DATE(2011,7,20),'Stammdaten - Schwimmer'!$D83&gt;DATE(2007,7,19)),C87,)</f>
        <v>0</v>
      </c>
      <c r="R87" s="32" t="n">
        <f aca="false">IF(AND('Stammdaten - Schwimmer'!$D83&lt;DATE(2011,7,20),'Stammdaten - Schwimmer'!$D83&gt;DATE(2007,7,19)),D87,)</f>
        <v>0</v>
      </c>
      <c r="S87" s="48" t="n">
        <f aca="false">IF(AND('Stammdaten - Schwimmer'!$D83&lt;DATE(2011,7,20),'Stammdaten - Schwimmer'!$D83&gt;DATE(2007,7,19)),'Stammdaten - Schwimmer'!F83,)</f>
        <v>0</v>
      </c>
      <c r="T87" s="0" t="e">
        <f aca="false">_xlfn.RANK.EQ(S87,S$4:S$103,0)</f>
        <v>#REF!</v>
      </c>
      <c r="V87" s="31" t="n">
        <f aca="false">IF('Stammdaten - Schwimmer'!$D83&lt;DATE(2007,7,20),A87,)</f>
        <v>0</v>
      </c>
      <c r="W87" s="31" t="n">
        <f aca="false">IF('Stammdaten - Schwimmer'!$D83&lt;DATE(2007,7,20),B87,)</f>
        <v>0</v>
      </c>
      <c r="X87" s="31" t="n">
        <f aca="false">IF('Stammdaten - Schwimmer'!$D83&lt;DATE(2007,7,20),C87,)</f>
        <v>0</v>
      </c>
      <c r="Y87" s="32" t="n">
        <f aca="false">IF('Stammdaten - Schwimmer'!$D83&lt;DATE(2007,7,20),D87,)</f>
        <v>0</v>
      </c>
      <c r="Z87" s="48" t="n">
        <f aca="false">IF('Stammdaten - Schwimmer'!$D83&lt;DATE(2007,7,20),'Stammdaten - Schwimmer'!F83,)</f>
        <v>0</v>
      </c>
      <c r="AA87" s="0" t="e">
        <f aca="false">_xlfn.RANK.EQ(Z87,Z$4:Z$103,0)</f>
        <v>#REF!</v>
      </c>
    </row>
    <row r="88" customFormat="false" ht="15" hidden="false" customHeight="false" outlineLevel="0" collapsed="false">
      <c r="A88" s="46" t="n">
        <f aca="false">'Stammdaten - Schwimmer'!A84</f>
        <v>82</v>
      </c>
      <c r="B88" s="47" t="str">
        <f aca="false">'Stammdaten - Schwimmer'!B84</f>
        <v>Veit</v>
      </c>
      <c r="C88" s="47" t="str">
        <f aca="false">'Stammdaten - Schwimmer'!C84</f>
        <v>Dorothea</v>
      </c>
      <c r="D88" s="32" t="n">
        <f aca="false">'Stammdaten - Schwimmer'!J84+'Stammdaten - Schwimmer'!N84+'Stammdaten - Schwimmer'!R84+'Stammdaten - Schwimmer'!V84+'Stammdaten - Schwimmer'!Z85</f>
        <v>52</v>
      </c>
      <c r="E88" s="48" t="n">
        <f aca="false">'Stammdaten - Schwimmer'!F84</f>
        <v>104</v>
      </c>
      <c r="H88" s="31" t="n">
        <f aca="false">IF('Stammdaten - Schwimmer'!D84&gt;DATE(2011,7,20),A88,)</f>
        <v>82</v>
      </c>
      <c r="I88" s="31" t="str">
        <f aca="false">IF('Stammdaten - Schwimmer'!$D84&gt;DATE(2011,7,20),B88,)</f>
        <v>Veit</v>
      </c>
      <c r="J88" s="31" t="str">
        <f aca="false">IF('Stammdaten - Schwimmer'!$D84&gt;DATE(2011,7,20),C88,)</f>
        <v>Dorothea</v>
      </c>
      <c r="K88" s="32" t="n">
        <f aca="false">IF('Stammdaten - Schwimmer'!$D84&gt;DATE(2011,7,20),D88,)</f>
        <v>52</v>
      </c>
      <c r="L88" s="31" t="n">
        <f aca="false">IF('Stammdaten - Schwimmer'!$D84&gt;DATE(2011,7,20),'Stammdaten - Schwimmer'!F84,)</f>
        <v>104</v>
      </c>
      <c r="M88" s="0" t="e">
        <f aca="false">_xlfn.RANK.EQ(L88,L$4:L$103,0)</f>
        <v>#REF!</v>
      </c>
      <c r="O88" s="31" t="n">
        <f aca="false">IF(AND('Stammdaten - Schwimmer'!$D84&lt;DATE(2011,7,20),'Stammdaten - Schwimmer'!$D84&gt;DATE(2007,7,19)),A88,)</f>
        <v>0</v>
      </c>
      <c r="P88" s="31" t="n">
        <f aca="false">IF(AND('Stammdaten - Schwimmer'!$D84&lt;DATE(2011,7,20),'Stammdaten - Schwimmer'!$D84&gt;DATE(2007,7,19)),B88,)</f>
        <v>0</v>
      </c>
      <c r="Q88" s="31" t="n">
        <f aca="false">IF(AND('Stammdaten - Schwimmer'!$D84&lt;DATE(2011,7,20),'Stammdaten - Schwimmer'!$D84&gt;DATE(2007,7,19)),C88,)</f>
        <v>0</v>
      </c>
      <c r="R88" s="32" t="n">
        <f aca="false">IF(AND('Stammdaten - Schwimmer'!$D84&lt;DATE(2011,7,20),'Stammdaten - Schwimmer'!$D84&gt;DATE(2007,7,19)),D88,)</f>
        <v>0</v>
      </c>
      <c r="S88" s="48" t="n">
        <f aca="false">IF(AND('Stammdaten - Schwimmer'!$D84&lt;DATE(2011,7,20),'Stammdaten - Schwimmer'!$D84&gt;DATE(2007,7,19)),'Stammdaten - Schwimmer'!F84,)</f>
        <v>0</v>
      </c>
      <c r="T88" s="0" t="e">
        <f aca="false">_xlfn.RANK.EQ(S88,S$4:S$103,0)</f>
        <v>#REF!</v>
      </c>
      <c r="V88" s="31" t="n">
        <f aca="false">IF('Stammdaten - Schwimmer'!$D84&lt;DATE(2007,7,20),A88,)</f>
        <v>0</v>
      </c>
      <c r="W88" s="31" t="n">
        <f aca="false">IF('Stammdaten - Schwimmer'!$D84&lt;DATE(2007,7,20),B88,)</f>
        <v>0</v>
      </c>
      <c r="X88" s="31" t="n">
        <f aca="false">IF('Stammdaten - Schwimmer'!$D84&lt;DATE(2007,7,20),C88,)</f>
        <v>0</v>
      </c>
      <c r="Y88" s="32" t="n">
        <f aca="false">IF('Stammdaten - Schwimmer'!$D84&lt;DATE(2007,7,20),D88,)</f>
        <v>0</v>
      </c>
      <c r="Z88" s="48" t="n">
        <f aca="false">IF('Stammdaten - Schwimmer'!$D84&lt;DATE(2007,7,20),'Stammdaten - Schwimmer'!F84,)</f>
        <v>0</v>
      </c>
      <c r="AA88" s="0" t="e">
        <f aca="false">_xlfn.RANK.EQ(Z88,Z$4:Z$103,0)</f>
        <v>#REF!</v>
      </c>
    </row>
    <row r="89" customFormat="false" ht="15" hidden="false" customHeight="false" outlineLevel="0" collapsed="false">
      <c r="A89" s="46" t="n">
        <f aca="false">'Stammdaten - Schwimmer'!A85</f>
        <v>83</v>
      </c>
      <c r="B89" s="47" t="str">
        <f aca="false">'Stammdaten - Schwimmer'!B85</f>
        <v>Heineke</v>
      </c>
      <c r="C89" s="47" t="str">
        <f aca="false">'Stammdaten - Schwimmer'!C85</f>
        <v>Jana</v>
      </c>
      <c r="D89" s="32" t="n">
        <f aca="false">'Stammdaten - Schwimmer'!J85+'Stammdaten - Schwimmer'!N85+'Stammdaten - Schwimmer'!R85+'Stammdaten - Schwimmer'!V85+'Stammdaten - Schwimmer'!Z86</f>
        <v>32</v>
      </c>
      <c r="E89" s="48" t="n">
        <f aca="false">'Stammdaten - Schwimmer'!F85</f>
        <v>64</v>
      </c>
      <c r="H89" s="31" t="n">
        <f aca="false">IF('Stammdaten - Schwimmer'!D85&gt;DATE(2011,7,20),A89,)</f>
        <v>0</v>
      </c>
      <c r="I89" s="31" t="n">
        <f aca="false">IF('Stammdaten - Schwimmer'!$D85&gt;DATE(2011,7,20),B89,)</f>
        <v>0</v>
      </c>
      <c r="J89" s="31" t="n">
        <f aca="false">IF('Stammdaten - Schwimmer'!$D85&gt;DATE(2011,7,20),C89,)</f>
        <v>0</v>
      </c>
      <c r="K89" s="32" t="n">
        <f aca="false">IF('Stammdaten - Schwimmer'!$D85&gt;DATE(2011,7,20),D89,)</f>
        <v>0</v>
      </c>
      <c r="L89" s="31" t="n">
        <f aca="false">IF('Stammdaten - Schwimmer'!$D85&gt;DATE(2011,7,20),'Stammdaten - Schwimmer'!F85,)</f>
        <v>0</v>
      </c>
      <c r="M89" s="0" t="e">
        <f aca="false">_xlfn.RANK.EQ(L89,L$4:L$103,0)</f>
        <v>#REF!</v>
      </c>
      <c r="O89" s="31" t="n">
        <f aca="false">IF(AND('Stammdaten - Schwimmer'!$D85&lt;DATE(2011,7,20),'Stammdaten - Schwimmer'!$D85&gt;DATE(2007,7,19)),A89,)</f>
        <v>83</v>
      </c>
      <c r="P89" s="31" t="str">
        <f aca="false">IF(AND('Stammdaten - Schwimmer'!$D85&lt;DATE(2011,7,20),'Stammdaten - Schwimmer'!$D85&gt;DATE(2007,7,19)),B89,)</f>
        <v>Heineke</v>
      </c>
      <c r="Q89" s="31" t="str">
        <f aca="false">IF(AND('Stammdaten - Schwimmer'!$D85&lt;DATE(2011,7,20),'Stammdaten - Schwimmer'!$D85&gt;DATE(2007,7,19)),C89,)</f>
        <v>Jana</v>
      </c>
      <c r="R89" s="32" t="n">
        <f aca="false">IF(AND('Stammdaten - Schwimmer'!$D85&lt;DATE(2011,7,20),'Stammdaten - Schwimmer'!$D85&gt;DATE(2007,7,19)),D89,)</f>
        <v>32</v>
      </c>
      <c r="S89" s="48" t="n">
        <f aca="false">IF(AND('Stammdaten - Schwimmer'!$D85&lt;DATE(2011,7,20),'Stammdaten - Schwimmer'!$D85&gt;DATE(2007,7,19)),'Stammdaten - Schwimmer'!F85,)</f>
        <v>64</v>
      </c>
      <c r="T89" s="0" t="e">
        <f aca="false">_xlfn.RANK.EQ(S89,S$4:S$103,0)</f>
        <v>#REF!</v>
      </c>
      <c r="V89" s="31" t="n">
        <f aca="false">IF('Stammdaten - Schwimmer'!$D85&lt;DATE(2007,7,20),A89,)</f>
        <v>0</v>
      </c>
      <c r="W89" s="31" t="n">
        <f aca="false">IF('Stammdaten - Schwimmer'!$D85&lt;DATE(2007,7,20),B89,)</f>
        <v>0</v>
      </c>
      <c r="X89" s="31" t="n">
        <f aca="false">IF('Stammdaten - Schwimmer'!$D85&lt;DATE(2007,7,20),C89,)</f>
        <v>0</v>
      </c>
      <c r="Y89" s="32" t="n">
        <f aca="false">IF('Stammdaten - Schwimmer'!$D85&lt;DATE(2007,7,20),D89,)</f>
        <v>0</v>
      </c>
      <c r="Z89" s="48" t="n">
        <f aca="false">IF('Stammdaten - Schwimmer'!$D85&lt;DATE(2007,7,20),'Stammdaten - Schwimmer'!F85,)</f>
        <v>0</v>
      </c>
      <c r="AA89" s="0" t="e">
        <f aca="false">_xlfn.RANK.EQ(Z89,Z$4:Z$103,0)</f>
        <v>#REF!</v>
      </c>
    </row>
    <row r="90" customFormat="false" ht="15" hidden="false" customHeight="false" outlineLevel="0" collapsed="false">
      <c r="A90" s="46" t="n">
        <f aca="false">'Stammdaten - Schwimmer'!A86</f>
        <v>84</v>
      </c>
      <c r="B90" s="47" t="str">
        <f aca="false">'Stammdaten - Schwimmer'!B86</f>
        <v>Mauer</v>
      </c>
      <c r="C90" s="47" t="str">
        <f aca="false">'Stammdaten - Schwimmer'!C86</f>
        <v>Jana</v>
      </c>
      <c r="D90" s="32" t="n">
        <f aca="false">'Stammdaten - Schwimmer'!J86+'Stammdaten - Schwimmer'!N86+'Stammdaten - Schwimmer'!R86+'Stammdaten - Schwimmer'!V86+'Stammdaten - Schwimmer'!Z87</f>
        <v>63</v>
      </c>
      <c r="E90" s="48" t="n">
        <f aca="false">'Stammdaten - Schwimmer'!F86</f>
        <v>42</v>
      </c>
      <c r="H90" s="31" t="n">
        <f aca="false">IF('Stammdaten - Schwimmer'!D86&gt;DATE(2011,7,20),A90,)</f>
        <v>84</v>
      </c>
      <c r="I90" s="31" t="str">
        <f aca="false">IF('Stammdaten - Schwimmer'!$D86&gt;DATE(2011,7,20),B90,)</f>
        <v>Mauer</v>
      </c>
      <c r="J90" s="31" t="str">
        <f aca="false">IF('Stammdaten - Schwimmer'!$D86&gt;DATE(2011,7,20),C90,)</f>
        <v>Jana</v>
      </c>
      <c r="K90" s="32" t="n">
        <f aca="false">IF('Stammdaten - Schwimmer'!$D86&gt;DATE(2011,7,20),D90,)</f>
        <v>63</v>
      </c>
      <c r="L90" s="31" t="n">
        <f aca="false">IF('Stammdaten - Schwimmer'!$D86&gt;DATE(2011,7,20),'Stammdaten - Schwimmer'!F86,)</f>
        <v>42</v>
      </c>
      <c r="M90" s="0" t="e">
        <f aca="false">_xlfn.RANK.EQ(L90,L$4:L$103,0)</f>
        <v>#REF!</v>
      </c>
      <c r="O90" s="31" t="n">
        <f aca="false">IF(AND('Stammdaten - Schwimmer'!$D86&lt;DATE(2011,7,20),'Stammdaten - Schwimmer'!$D86&gt;DATE(2007,7,19)),A90,)</f>
        <v>0</v>
      </c>
      <c r="P90" s="31" t="n">
        <f aca="false">IF(AND('Stammdaten - Schwimmer'!$D86&lt;DATE(2011,7,20),'Stammdaten - Schwimmer'!$D86&gt;DATE(2007,7,19)),B90,)</f>
        <v>0</v>
      </c>
      <c r="Q90" s="31" t="n">
        <f aca="false">IF(AND('Stammdaten - Schwimmer'!$D86&lt;DATE(2011,7,20),'Stammdaten - Schwimmer'!$D86&gt;DATE(2007,7,19)),C90,)</f>
        <v>0</v>
      </c>
      <c r="R90" s="32" t="n">
        <f aca="false">IF(AND('Stammdaten - Schwimmer'!$D86&lt;DATE(2011,7,20),'Stammdaten - Schwimmer'!$D86&gt;DATE(2007,7,19)),D90,)</f>
        <v>0</v>
      </c>
      <c r="S90" s="48" t="n">
        <f aca="false">IF(AND('Stammdaten - Schwimmer'!$D86&lt;DATE(2011,7,20),'Stammdaten - Schwimmer'!$D86&gt;DATE(2007,7,19)),'Stammdaten - Schwimmer'!F86,)</f>
        <v>0</v>
      </c>
      <c r="T90" s="0" t="e">
        <f aca="false">_xlfn.RANK.EQ(S90,S$4:S$103,0)</f>
        <v>#REF!</v>
      </c>
      <c r="V90" s="31" t="n">
        <f aca="false">IF('Stammdaten - Schwimmer'!$D86&lt;DATE(2007,7,20),A90,)</f>
        <v>0</v>
      </c>
      <c r="W90" s="31" t="n">
        <f aca="false">IF('Stammdaten - Schwimmer'!$D86&lt;DATE(2007,7,20),B90,)</f>
        <v>0</v>
      </c>
      <c r="X90" s="31" t="n">
        <f aca="false">IF('Stammdaten - Schwimmer'!$D86&lt;DATE(2007,7,20),C90,)</f>
        <v>0</v>
      </c>
      <c r="Y90" s="32" t="n">
        <f aca="false">IF('Stammdaten - Schwimmer'!$D86&lt;DATE(2007,7,20),D90,)</f>
        <v>0</v>
      </c>
      <c r="Z90" s="48" t="n">
        <f aca="false">IF('Stammdaten - Schwimmer'!$D86&lt;DATE(2007,7,20),'Stammdaten - Schwimmer'!F86,)</f>
        <v>0</v>
      </c>
      <c r="AA90" s="0" t="e">
        <f aca="false">_xlfn.RANK.EQ(Z90,Z$4:Z$103,0)</f>
        <v>#REF!</v>
      </c>
    </row>
    <row r="91" customFormat="false" ht="15" hidden="false" customHeight="false" outlineLevel="0" collapsed="false">
      <c r="A91" s="46" t="n">
        <f aca="false">'Stammdaten - Schwimmer'!A87</f>
        <v>85</v>
      </c>
      <c r="B91" s="47" t="str">
        <f aca="false">'Stammdaten - Schwimmer'!B87</f>
        <v>Fernandez</v>
      </c>
      <c r="C91" s="47" t="str">
        <f aca="false">'Stammdaten - Schwimmer'!C87</f>
        <v>Silvia Velesco</v>
      </c>
      <c r="D91" s="32" t="n">
        <f aca="false">'Stammdaten - Schwimmer'!J87+'Stammdaten - Schwimmer'!N87+'Stammdaten - Schwimmer'!R87+'Stammdaten - Schwimmer'!V87+'Stammdaten - Schwimmer'!Z88</f>
        <v>160</v>
      </c>
      <c r="E91" s="48" t="n">
        <f aca="false">'Stammdaten - Schwimmer'!F87</f>
        <v>32</v>
      </c>
      <c r="H91" s="31" t="n">
        <f aca="false">IF('Stammdaten - Schwimmer'!D87&gt;DATE(2011,7,20),A91,)</f>
        <v>0</v>
      </c>
      <c r="I91" s="31" t="n">
        <f aca="false">IF('Stammdaten - Schwimmer'!$D87&gt;DATE(2011,7,20),B91,)</f>
        <v>0</v>
      </c>
      <c r="J91" s="31" t="n">
        <f aca="false">IF('Stammdaten - Schwimmer'!$D87&gt;DATE(2011,7,20),C91,)</f>
        <v>0</v>
      </c>
      <c r="K91" s="32" t="n">
        <f aca="false">IF('Stammdaten - Schwimmer'!$D87&gt;DATE(2011,7,20),D91,)</f>
        <v>0</v>
      </c>
      <c r="L91" s="31" t="n">
        <f aca="false">IF('Stammdaten - Schwimmer'!$D87&gt;DATE(2011,7,20),'Stammdaten - Schwimmer'!F87,)</f>
        <v>0</v>
      </c>
      <c r="M91" s="0" t="e">
        <f aca="false">_xlfn.RANK.EQ(L91,L$4:L$103,0)</f>
        <v>#REF!</v>
      </c>
      <c r="O91" s="31" t="n">
        <f aca="false">IF(AND('Stammdaten - Schwimmer'!$D87&lt;DATE(2011,7,20),'Stammdaten - Schwimmer'!$D87&gt;DATE(2007,7,19)),A91,)</f>
        <v>0</v>
      </c>
      <c r="P91" s="31" t="n">
        <f aca="false">IF(AND('Stammdaten - Schwimmer'!$D87&lt;DATE(2011,7,20),'Stammdaten - Schwimmer'!$D87&gt;DATE(2007,7,19)),B91,)</f>
        <v>0</v>
      </c>
      <c r="Q91" s="31" t="n">
        <f aca="false">IF(AND('Stammdaten - Schwimmer'!$D87&lt;DATE(2011,7,20),'Stammdaten - Schwimmer'!$D87&gt;DATE(2007,7,19)),C91,)</f>
        <v>0</v>
      </c>
      <c r="R91" s="32" t="n">
        <f aca="false">IF(AND('Stammdaten - Schwimmer'!$D87&lt;DATE(2011,7,20),'Stammdaten - Schwimmer'!$D87&gt;DATE(2007,7,19)),D91,)</f>
        <v>0</v>
      </c>
      <c r="S91" s="48" t="n">
        <f aca="false">IF(AND('Stammdaten - Schwimmer'!$D87&lt;DATE(2011,7,20),'Stammdaten - Schwimmer'!$D87&gt;DATE(2007,7,19)),'Stammdaten - Schwimmer'!F87,)</f>
        <v>0</v>
      </c>
      <c r="T91" s="0" t="e">
        <f aca="false">_xlfn.RANK.EQ(S91,S$4:S$103,0)</f>
        <v>#REF!</v>
      </c>
      <c r="V91" s="31" t="n">
        <f aca="false">IF('Stammdaten - Schwimmer'!$D87&lt;DATE(2007,7,20),A91,)</f>
        <v>85</v>
      </c>
      <c r="W91" s="31" t="str">
        <f aca="false">IF('Stammdaten - Schwimmer'!$D87&lt;DATE(2007,7,20),B91,)</f>
        <v>Fernandez</v>
      </c>
      <c r="X91" s="31" t="str">
        <f aca="false">IF('Stammdaten - Schwimmer'!$D87&lt;DATE(2007,7,20),C91,)</f>
        <v>Silvia Velesco</v>
      </c>
      <c r="Y91" s="32" t="n">
        <f aca="false">IF('Stammdaten - Schwimmer'!$D87&lt;DATE(2007,7,20),D91,)</f>
        <v>160</v>
      </c>
      <c r="Z91" s="48" t="n">
        <f aca="false">IF('Stammdaten - Schwimmer'!$D87&lt;DATE(2007,7,20),'Stammdaten - Schwimmer'!F87,)</f>
        <v>32</v>
      </c>
      <c r="AA91" s="0" t="e">
        <f aca="false">_xlfn.RANK.EQ(Z91,Z$4:Z$103,0)</f>
        <v>#REF!</v>
      </c>
    </row>
    <row r="92" customFormat="false" ht="15" hidden="false" customHeight="false" outlineLevel="0" collapsed="false">
      <c r="A92" s="46" t="n">
        <f aca="false">'Stammdaten - Schwimmer'!A88</f>
        <v>86</v>
      </c>
      <c r="B92" s="47" t="str">
        <f aca="false">'Stammdaten - Schwimmer'!B88</f>
        <v>Collmer</v>
      </c>
      <c r="C92" s="47" t="str">
        <f aca="false">'Stammdaten - Schwimmer'!C88</f>
        <v>Andreas</v>
      </c>
      <c r="D92" s="32" t="n">
        <f aca="false">'Stammdaten - Schwimmer'!J88+'Stammdaten - Schwimmer'!N88+'Stammdaten - Schwimmer'!R88+'Stammdaten - Schwimmer'!V88+'Stammdaten - Schwimmer'!Z89</f>
        <v>130</v>
      </c>
      <c r="E92" s="48" t="n">
        <f aca="false">'Stammdaten - Schwimmer'!F88</f>
        <v>52</v>
      </c>
      <c r="H92" s="31" t="n">
        <f aca="false">IF('Stammdaten - Schwimmer'!D88&gt;DATE(2011,7,20),A92,)</f>
        <v>0</v>
      </c>
      <c r="I92" s="31" t="n">
        <f aca="false">IF('Stammdaten - Schwimmer'!$D88&gt;DATE(2011,7,20),B92,)</f>
        <v>0</v>
      </c>
      <c r="J92" s="31" t="n">
        <f aca="false">IF('Stammdaten - Schwimmer'!$D88&gt;DATE(2011,7,20),C92,)</f>
        <v>0</v>
      </c>
      <c r="K92" s="32" t="n">
        <f aca="false">IF('Stammdaten - Schwimmer'!$D88&gt;DATE(2011,7,20),D92,)</f>
        <v>0</v>
      </c>
      <c r="L92" s="31" t="n">
        <f aca="false">IF('Stammdaten - Schwimmer'!$D88&gt;DATE(2011,7,20),'Stammdaten - Schwimmer'!F88,)</f>
        <v>0</v>
      </c>
      <c r="M92" s="0" t="e">
        <f aca="false">_xlfn.RANK.EQ(L92,L$4:L$103,0)</f>
        <v>#REF!</v>
      </c>
      <c r="O92" s="31" t="n">
        <f aca="false">IF(AND('Stammdaten - Schwimmer'!$D88&lt;DATE(2011,7,20),'Stammdaten - Schwimmer'!$D88&gt;DATE(2007,7,19)),A92,)</f>
        <v>0</v>
      </c>
      <c r="P92" s="31" t="n">
        <f aca="false">IF(AND('Stammdaten - Schwimmer'!$D88&lt;DATE(2011,7,20),'Stammdaten - Schwimmer'!$D88&gt;DATE(2007,7,19)),B92,)</f>
        <v>0</v>
      </c>
      <c r="Q92" s="31" t="n">
        <f aca="false">IF(AND('Stammdaten - Schwimmer'!$D88&lt;DATE(2011,7,20),'Stammdaten - Schwimmer'!$D88&gt;DATE(2007,7,19)),C92,)</f>
        <v>0</v>
      </c>
      <c r="R92" s="32" t="n">
        <f aca="false">IF(AND('Stammdaten - Schwimmer'!$D88&lt;DATE(2011,7,20),'Stammdaten - Schwimmer'!$D88&gt;DATE(2007,7,19)),D92,)</f>
        <v>0</v>
      </c>
      <c r="S92" s="48" t="n">
        <f aca="false">IF(AND('Stammdaten - Schwimmer'!$D88&lt;DATE(2011,7,20),'Stammdaten - Schwimmer'!$D88&gt;DATE(2007,7,19)),'Stammdaten - Schwimmer'!F88,)</f>
        <v>0</v>
      </c>
      <c r="T92" s="0" t="e">
        <f aca="false">_xlfn.RANK.EQ(S92,S$4:S$103,0)</f>
        <v>#REF!</v>
      </c>
      <c r="V92" s="31" t="n">
        <f aca="false">IF('Stammdaten - Schwimmer'!$D88&lt;DATE(2007,7,20),A92,)</f>
        <v>86</v>
      </c>
      <c r="W92" s="31" t="str">
        <f aca="false">IF('Stammdaten - Schwimmer'!$D88&lt;DATE(2007,7,20),B92,)</f>
        <v>Collmer</v>
      </c>
      <c r="X92" s="31" t="str">
        <f aca="false">IF('Stammdaten - Schwimmer'!$D88&lt;DATE(2007,7,20),C92,)</f>
        <v>Andreas</v>
      </c>
      <c r="Y92" s="32" t="n">
        <f aca="false">IF('Stammdaten - Schwimmer'!$D88&lt;DATE(2007,7,20),D92,)</f>
        <v>130</v>
      </c>
      <c r="Z92" s="48" t="n">
        <f aca="false">IF('Stammdaten - Schwimmer'!$D88&lt;DATE(2007,7,20),'Stammdaten - Schwimmer'!F88,)</f>
        <v>52</v>
      </c>
      <c r="AA92" s="0" t="e">
        <f aca="false">_xlfn.RANK.EQ(Z92,Z$4:Z$103,0)</f>
        <v>#REF!</v>
      </c>
    </row>
    <row r="93" customFormat="false" ht="15" hidden="false" customHeight="false" outlineLevel="0" collapsed="false">
      <c r="A93" s="46" t="n">
        <f aca="false">'Stammdaten - Schwimmer'!A89</f>
        <v>87</v>
      </c>
      <c r="B93" s="47" t="str">
        <f aca="false">'Stammdaten - Schwimmer'!B89</f>
        <v>Tutsch</v>
      </c>
      <c r="C93" s="47" t="str">
        <f aca="false">'Stammdaten - Schwimmer'!C89</f>
        <v>Linda</v>
      </c>
      <c r="D93" s="32" t="n">
        <f aca="false">'Stammdaten - Schwimmer'!J89+'Stammdaten - Schwimmer'!N89+'Stammdaten - Schwimmer'!R89+'Stammdaten - Schwimmer'!V89+'Stammdaten - Schwimmer'!Z90</f>
        <v>126</v>
      </c>
      <c r="E93" s="48" t="n">
        <f aca="false">'Stammdaten - Schwimmer'!F89</f>
        <v>84</v>
      </c>
      <c r="H93" s="31" t="n">
        <f aca="false">IF('Stammdaten - Schwimmer'!D89&gt;DATE(2011,7,20),A93,)</f>
        <v>87</v>
      </c>
      <c r="I93" s="31" t="str">
        <f aca="false">IF('Stammdaten - Schwimmer'!$D89&gt;DATE(2011,7,20),B93,)</f>
        <v>Tutsch</v>
      </c>
      <c r="J93" s="31" t="str">
        <f aca="false">IF('Stammdaten - Schwimmer'!$D89&gt;DATE(2011,7,20),C93,)</f>
        <v>Linda</v>
      </c>
      <c r="K93" s="32" t="n">
        <f aca="false">IF('Stammdaten - Schwimmer'!$D89&gt;DATE(2011,7,20),D93,)</f>
        <v>126</v>
      </c>
      <c r="L93" s="31" t="n">
        <f aca="false">IF('Stammdaten - Schwimmer'!$D89&gt;DATE(2011,7,20),'Stammdaten - Schwimmer'!F89,)</f>
        <v>84</v>
      </c>
      <c r="M93" s="0" t="e">
        <f aca="false">_xlfn.RANK.EQ(L93,L$4:L$103,0)</f>
        <v>#REF!</v>
      </c>
      <c r="O93" s="31" t="n">
        <f aca="false">IF(AND('Stammdaten - Schwimmer'!$D89&lt;DATE(2011,7,20),'Stammdaten - Schwimmer'!$D89&gt;DATE(2007,7,19)),A93,)</f>
        <v>0</v>
      </c>
      <c r="P93" s="31" t="n">
        <f aca="false">IF(AND('Stammdaten - Schwimmer'!$D89&lt;DATE(2011,7,20),'Stammdaten - Schwimmer'!$D89&gt;DATE(2007,7,19)),B93,)</f>
        <v>0</v>
      </c>
      <c r="Q93" s="31" t="n">
        <f aca="false">IF(AND('Stammdaten - Schwimmer'!$D89&lt;DATE(2011,7,20),'Stammdaten - Schwimmer'!$D89&gt;DATE(2007,7,19)),C93,)</f>
        <v>0</v>
      </c>
      <c r="R93" s="32" t="n">
        <f aca="false">IF(AND('Stammdaten - Schwimmer'!$D89&lt;DATE(2011,7,20),'Stammdaten - Schwimmer'!$D89&gt;DATE(2007,7,19)),D93,)</f>
        <v>0</v>
      </c>
      <c r="S93" s="48" t="n">
        <f aca="false">IF(AND('Stammdaten - Schwimmer'!$D89&lt;DATE(2011,7,20),'Stammdaten - Schwimmer'!$D89&gt;DATE(2007,7,19)),'Stammdaten - Schwimmer'!F89,)</f>
        <v>0</v>
      </c>
      <c r="T93" s="0" t="e">
        <f aca="false">_xlfn.RANK.EQ(S93,S$4:S$103,0)</f>
        <v>#REF!</v>
      </c>
      <c r="V93" s="31" t="n">
        <f aca="false">IF('Stammdaten - Schwimmer'!$D89&lt;DATE(2007,7,20),A93,)</f>
        <v>0</v>
      </c>
      <c r="W93" s="31" t="n">
        <f aca="false">IF('Stammdaten - Schwimmer'!$D89&lt;DATE(2007,7,20),B93,)</f>
        <v>0</v>
      </c>
      <c r="X93" s="31" t="n">
        <f aca="false">IF('Stammdaten - Schwimmer'!$D89&lt;DATE(2007,7,20),C93,)</f>
        <v>0</v>
      </c>
      <c r="Y93" s="32" t="n">
        <f aca="false">IF('Stammdaten - Schwimmer'!$D89&lt;DATE(2007,7,20),D93,)</f>
        <v>0</v>
      </c>
      <c r="Z93" s="48" t="n">
        <f aca="false">IF('Stammdaten - Schwimmer'!$D89&lt;DATE(2007,7,20),'Stammdaten - Schwimmer'!F89,)</f>
        <v>0</v>
      </c>
      <c r="AA93" s="0" t="e">
        <f aca="false">_xlfn.RANK.EQ(Z93,Z$4:Z$103,0)</f>
        <v>#REF!</v>
      </c>
    </row>
    <row r="94" customFormat="false" ht="15" hidden="false" customHeight="false" outlineLevel="0" collapsed="false">
      <c r="A94" s="46" t="n">
        <f aca="false">'Stammdaten - Schwimmer'!A90</f>
        <v>88</v>
      </c>
      <c r="B94" s="47" t="str">
        <f aca="false">'Stammdaten - Schwimmer'!B90</f>
        <v>Tutsch</v>
      </c>
      <c r="C94" s="47" t="str">
        <f aca="false">'Stammdaten - Schwimmer'!C90</f>
        <v>Daniel</v>
      </c>
      <c r="D94" s="32" t="n">
        <f aca="false">'Stammdaten - Schwimmer'!J90+'Stammdaten - Schwimmer'!N90+'Stammdaten - Schwimmer'!R90+'Stammdaten - Schwimmer'!V90+'Stammdaten - Schwimmer'!Z91</f>
        <v>126</v>
      </c>
      <c r="E94" s="48" t="n">
        <f aca="false">'Stammdaten - Schwimmer'!F90</f>
        <v>84</v>
      </c>
      <c r="H94" s="31" t="n">
        <f aca="false">IF('Stammdaten - Schwimmer'!D90&gt;DATE(2011,7,20),A94,)</f>
        <v>88</v>
      </c>
      <c r="I94" s="31" t="str">
        <f aca="false">IF('Stammdaten - Schwimmer'!$D90&gt;DATE(2011,7,20),B94,)</f>
        <v>Tutsch</v>
      </c>
      <c r="J94" s="31" t="str">
        <f aca="false">IF('Stammdaten - Schwimmer'!$D90&gt;DATE(2011,7,20),C94,)</f>
        <v>Daniel</v>
      </c>
      <c r="K94" s="32" t="n">
        <f aca="false">IF('Stammdaten - Schwimmer'!$D90&gt;DATE(2011,7,20),D94,)</f>
        <v>126</v>
      </c>
      <c r="L94" s="31" t="n">
        <f aca="false">IF('Stammdaten - Schwimmer'!$D90&gt;DATE(2011,7,20),'Stammdaten - Schwimmer'!F90,)</f>
        <v>84</v>
      </c>
      <c r="M94" s="0" t="e">
        <f aca="false">_xlfn.RANK.EQ(L94,L$4:L$103,0)</f>
        <v>#REF!</v>
      </c>
      <c r="O94" s="31" t="n">
        <f aca="false">IF(AND('Stammdaten - Schwimmer'!$D90&lt;DATE(2011,7,20),'Stammdaten - Schwimmer'!$D90&gt;DATE(2007,7,19)),A94,)</f>
        <v>0</v>
      </c>
      <c r="P94" s="31" t="n">
        <f aca="false">IF(AND('Stammdaten - Schwimmer'!$D90&lt;DATE(2011,7,20),'Stammdaten - Schwimmer'!$D90&gt;DATE(2007,7,19)),B94,)</f>
        <v>0</v>
      </c>
      <c r="Q94" s="31" t="n">
        <f aca="false">IF(AND('Stammdaten - Schwimmer'!$D90&lt;DATE(2011,7,20),'Stammdaten - Schwimmer'!$D90&gt;DATE(2007,7,19)),C94,)</f>
        <v>0</v>
      </c>
      <c r="R94" s="32" t="n">
        <f aca="false">IF(AND('Stammdaten - Schwimmer'!$D90&lt;DATE(2011,7,20),'Stammdaten - Schwimmer'!$D90&gt;DATE(2007,7,19)),D94,)</f>
        <v>0</v>
      </c>
      <c r="S94" s="48" t="n">
        <f aca="false">IF(AND('Stammdaten - Schwimmer'!$D90&lt;DATE(2011,7,20),'Stammdaten - Schwimmer'!$D90&gt;DATE(2007,7,19)),'Stammdaten - Schwimmer'!F90,)</f>
        <v>0</v>
      </c>
      <c r="T94" s="0" t="e">
        <f aca="false">_xlfn.RANK.EQ(S94,S$4:S$103,0)</f>
        <v>#REF!</v>
      </c>
      <c r="V94" s="31" t="n">
        <f aca="false">IF('Stammdaten - Schwimmer'!$D90&lt;DATE(2007,7,20),A94,)</f>
        <v>0</v>
      </c>
      <c r="W94" s="31" t="n">
        <f aca="false">IF('Stammdaten - Schwimmer'!$D90&lt;DATE(2007,7,20),B94,)</f>
        <v>0</v>
      </c>
      <c r="X94" s="31" t="n">
        <f aca="false">IF('Stammdaten - Schwimmer'!$D90&lt;DATE(2007,7,20),C94,)</f>
        <v>0</v>
      </c>
      <c r="Y94" s="32" t="n">
        <f aca="false">IF('Stammdaten - Schwimmer'!$D90&lt;DATE(2007,7,20),D94,)</f>
        <v>0</v>
      </c>
      <c r="Z94" s="48" t="n">
        <f aca="false">IF('Stammdaten - Schwimmer'!$D90&lt;DATE(2007,7,20),'Stammdaten - Schwimmer'!F90,)</f>
        <v>0</v>
      </c>
      <c r="AA94" s="0" t="e">
        <f aca="false">_xlfn.RANK.EQ(Z94,Z$4:Z$103,0)</f>
        <v>#REF!</v>
      </c>
    </row>
    <row r="95" customFormat="false" ht="15" hidden="false" customHeight="false" outlineLevel="0" collapsed="false">
      <c r="A95" s="46" t="n">
        <f aca="false">'Stammdaten - Schwimmer'!A91</f>
        <v>89</v>
      </c>
      <c r="B95" s="47" t="str">
        <f aca="false">'Stammdaten - Schwimmer'!B91</f>
        <v>Sommerfeld</v>
      </c>
      <c r="C95" s="47" t="str">
        <f aca="false">'Stammdaten - Schwimmer'!C91</f>
        <v>Andreas</v>
      </c>
      <c r="D95" s="32" t="n">
        <f aca="false">'Stammdaten - Schwimmer'!J91+'Stammdaten - Schwimmer'!N91+'Stammdaten - Schwimmer'!R91+'Stammdaten - Schwimmer'!V91+'Stammdaten - Schwimmer'!Z92</f>
        <v>0</v>
      </c>
      <c r="E95" s="48" t="n">
        <f aca="false">'Stammdaten - Schwimmer'!F91</f>
        <v>42</v>
      </c>
      <c r="H95" s="31" t="n">
        <f aca="false">IF('Stammdaten - Schwimmer'!D91&gt;DATE(2011,7,20),A95,)</f>
        <v>0</v>
      </c>
      <c r="I95" s="31" t="n">
        <f aca="false">IF('Stammdaten - Schwimmer'!$D91&gt;DATE(2011,7,20),B95,)</f>
        <v>0</v>
      </c>
      <c r="J95" s="31" t="n">
        <f aca="false">IF('Stammdaten - Schwimmer'!$D91&gt;DATE(2011,7,20),C95,)</f>
        <v>0</v>
      </c>
      <c r="K95" s="32" t="n">
        <f aca="false">IF('Stammdaten - Schwimmer'!$D91&gt;DATE(2011,7,20),D95,)</f>
        <v>0</v>
      </c>
      <c r="L95" s="31" t="n">
        <f aca="false">IF('Stammdaten - Schwimmer'!$D91&gt;DATE(2011,7,20),'Stammdaten - Schwimmer'!F91,)</f>
        <v>0</v>
      </c>
      <c r="M95" s="0" t="e">
        <f aca="false">_xlfn.RANK.EQ(L95,L$4:L$103,0)</f>
        <v>#REF!</v>
      </c>
      <c r="O95" s="31" t="n">
        <f aca="false">IF(AND('Stammdaten - Schwimmer'!$D91&lt;DATE(2011,7,20),'Stammdaten - Schwimmer'!$D91&gt;DATE(2007,7,19)),A95,)</f>
        <v>0</v>
      </c>
      <c r="P95" s="31" t="n">
        <f aca="false">IF(AND('Stammdaten - Schwimmer'!$D91&lt;DATE(2011,7,20),'Stammdaten - Schwimmer'!$D91&gt;DATE(2007,7,19)),B95,)</f>
        <v>0</v>
      </c>
      <c r="Q95" s="31" t="n">
        <f aca="false">IF(AND('Stammdaten - Schwimmer'!$D91&lt;DATE(2011,7,20),'Stammdaten - Schwimmer'!$D91&gt;DATE(2007,7,19)),C95,)</f>
        <v>0</v>
      </c>
      <c r="R95" s="32" t="n">
        <f aca="false">IF(AND('Stammdaten - Schwimmer'!$D91&lt;DATE(2011,7,20),'Stammdaten - Schwimmer'!$D91&gt;DATE(2007,7,19)),D95,)</f>
        <v>0</v>
      </c>
      <c r="S95" s="48" t="n">
        <f aca="false">IF(AND('Stammdaten - Schwimmer'!$D91&lt;DATE(2011,7,20),'Stammdaten - Schwimmer'!$D91&gt;DATE(2007,7,19)),'Stammdaten - Schwimmer'!F91,)</f>
        <v>0</v>
      </c>
      <c r="T95" s="0" t="e">
        <f aca="false">_xlfn.RANK.EQ(S95,S$4:S$103,0)</f>
        <v>#REF!</v>
      </c>
      <c r="V95" s="31" t="n">
        <f aca="false">IF('Stammdaten - Schwimmer'!$D91&lt;DATE(2007,7,20),A95,)</f>
        <v>89</v>
      </c>
      <c r="W95" s="31" t="str">
        <f aca="false">IF('Stammdaten - Schwimmer'!$D91&lt;DATE(2007,7,20),B95,)</f>
        <v>Sommerfeld</v>
      </c>
      <c r="X95" s="31" t="str">
        <f aca="false">IF('Stammdaten - Schwimmer'!$D91&lt;DATE(2007,7,20),C95,)</f>
        <v>Andreas</v>
      </c>
      <c r="Y95" s="32" t="n">
        <f aca="false">IF('Stammdaten - Schwimmer'!$D91&lt;DATE(2007,7,20),D95,)</f>
        <v>0</v>
      </c>
      <c r="Z95" s="48" t="n">
        <f aca="false">IF('Stammdaten - Schwimmer'!$D91&lt;DATE(2007,7,20),'Stammdaten - Schwimmer'!F91,)</f>
        <v>42</v>
      </c>
      <c r="AA95" s="0" t="e">
        <f aca="false">_xlfn.RANK.EQ(Z95,Z$4:Z$103,0)</f>
        <v>#REF!</v>
      </c>
    </row>
    <row r="96" customFormat="false" ht="15" hidden="false" customHeight="false" outlineLevel="0" collapsed="false">
      <c r="A96" s="46" t="n">
        <f aca="false">'Stammdaten - Schwimmer'!A92</f>
        <v>90</v>
      </c>
      <c r="B96" s="47" t="str">
        <f aca="false">'Stammdaten - Schwimmer'!B92</f>
        <v>Warlitz</v>
      </c>
      <c r="C96" s="47" t="str">
        <f aca="false">'Stammdaten - Schwimmer'!C92</f>
        <v>Eleanor</v>
      </c>
      <c r="D96" s="32" t="n">
        <f aca="false">'Stammdaten - Schwimmer'!J92+'Stammdaten - Schwimmer'!N92+'Stammdaten - Schwimmer'!R92+'Stammdaten - Schwimmer'!V92+'Stammdaten - Schwimmer'!Z93</f>
        <v>0</v>
      </c>
      <c r="E96" s="48" t="n">
        <f aca="false">'Stammdaten - Schwimmer'!F92</f>
        <v>44</v>
      </c>
      <c r="H96" s="31" t="n">
        <f aca="false">IF('Stammdaten - Schwimmer'!D92&gt;DATE(2011,7,20),A96,)</f>
        <v>0</v>
      </c>
      <c r="I96" s="31" t="n">
        <f aca="false">IF('Stammdaten - Schwimmer'!$D92&gt;DATE(2011,7,20),B96,)</f>
        <v>0</v>
      </c>
      <c r="J96" s="31" t="n">
        <f aca="false">IF('Stammdaten - Schwimmer'!$D92&gt;DATE(2011,7,20),C96,)</f>
        <v>0</v>
      </c>
      <c r="K96" s="32" t="n">
        <f aca="false">IF('Stammdaten - Schwimmer'!$D92&gt;DATE(2011,7,20),D96,)</f>
        <v>0</v>
      </c>
      <c r="L96" s="31" t="n">
        <f aca="false">IF('Stammdaten - Schwimmer'!$D92&gt;DATE(2011,7,20),'Stammdaten - Schwimmer'!F92,)</f>
        <v>0</v>
      </c>
      <c r="M96" s="0" t="e">
        <f aca="false">_xlfn.RANK.EQ(L96,L$4:L$103,0)</f>
        <v>#REF!</v>
      </c>
      <c r="O96" s="31" t="n">
        <f aca="false">IF(AND('Stammdaten - Schwimmer'!$D92&lt;DATE(2011,7,20),'Stammdaten - Schwimmer'!$D92&gt;DATE(2007,7,19)),A96,)</f>
        <v>0</v>
      </c>
      <c r="P96" s="31" t="n">
        <f aca="false">IF(AND('Stammdaten - Schwimmer'!$D92&lt;DATE(2011,7,20),'Stammdaten - Schwimmer'!$D92&gt;DATE(2007,7,19)),B96,)</f>
        <v>0</v>
      </c>
      <c r="Q96" s="31" t="n">
        <f aca="false">IF(AND('Stammdaten - Schwimmer'!$D92&lt;DATE(2011,7,20),'Stammdaten - Schwimmer'!$D92&gt;DATE(2007,7,19)),C96,)</f>
        <v>0</v>
      </c>
      <c r="R96" s="32" t="n">
        <f aca="false">IF(AND('Stammdaten - Schwimmer'!$D92&lt;DATE(2011,7,20),'Stammdaten - Schwimmer'!$D92&gt;DATE(2007,7,19)),D96,)</f>
        <v>0</v>
      </c>
      <c r="S96" s="48" t="n">
        <f aca="false">IF(AND('Stammdaten - Schwimmer'!$D92&lt;DATE(2011,7,20),'Stammdaten - Schwimmer'!$D92&gt;DATE(2007,7,19)),'Stammdaten - Schwimmer'!F92,)</f>
        <v>0</v>
      </c>
      <c r="T96" s="0" t="e">
        <f aca="false">_xlfn.RANK.EQ(S96,S$4:S$103,0)</f>
        <v>#REF!</v>
      </c>
      <c r="V96" s="31" t="n">
        <f aca="false">IF('Stammdaten - Schwimmer'!$D92&lt;DATE(2007,7,20),A96,)</f>
        <v>90</v>
      </c>
      <c r="W96" s="31" t="str">
        <f aca="false">IF('Stammdaten - Schwimmer'!$D92&lt;DATE(2007,7,20),B96,)</f>
        <v>Warlitz</v>
      </c>
      <c r="X96" s="31" t="str">
        <f aca="false">IF('Stammdaten - Schwimmer'!$D92&lt;DATE(2007,7,20),C96,)</f>
        <v>Eleanor</v>
      </c>
      <c r="Y96" s="32" t="n">
        <f aca="false">IF('Stammdaten - Schwimmer'!$D92&lt;DATE(2007,7,20),D96,)</f>
        <v>0</v>
      </c>
      <c r="Z96" s="48" t="n">
        <f aca="false">IF('Stammdaten - Schwimmer'!$D92&lt;DATE(2007,7,20),'Stammdaten - Schwimmer'!F92,)</f>
        <v>44</v>
      </c>
      <c r="AA96" s="0" t="e">
        <f aca="false">_xlfn.RANK.EQ(Z96,Z$4:Z$103,0)</f>
        <v>#REF!</v>
      </c>
    </row>
    <row r="97" customFormat="false" ht="15" hidden="false" customHeight="false" outlineLevel="0" collapsed="false">
      <c r="A97" s="46" t="n">
        <f aca="false">'Stammdaten - Schwimmer'!A93</f>
        <v>91</v>
      </c>
      <c r="B97" s="47" t="str">
        <f aca="false">'Stammdaten - Schwimmer'!B93</f>
        <v>Veit</v>
      </c>
      <c r="C97" s="47" t="str">
        <f aca="false">'Stammdaten - Schwimmer'!C93</f>
        <v>Konstantin</v>
      </c>
      <c r="D97" s="32" t="n">
        <f aca="false">'Stammdaten - Schwimmer'!J93+'Stammdaten - Schwimmer'!N93+'Stammdaten - Schwimmer'!R93+'Stammdaten - Schwimmer'!V93+'Stammdaten - Schwimmer'!Z94</f>
        <v>50</v>
      </c>
      <c r="E97" s="48" t="n">
        <f aca="false">'Stammdaten - Schwimmer'!F93</f>
        <v>50</v>
      </c>
      <c r="H97" s="31" t="n">
        <f aca="false">IF('Stammdaten - Schwimmer'!D93&gt;DATE(2011,7,20),A97,)</f>
        <v>91</v>
      </c>
      <c r="I97" s="31" t="str">
        <f aca="false">IF('Stammdaten - Schwimmer'!$D93&gt;DATE(2011,7,20),B97,)</f>
        <v>Veit</v>
      </c>
      <c r="J97" s="31" t="str">
        <f aca="false">IF('Stammdaten - Schwimmer'!$D93&gt;DATE(2011,7,20),C97,)</f>
        <v>Konstantin</v>
      </c>
      <c r="K97" s="32" t="n">
        <f aca="false">IF('Stammdaten - Schwimmer'!$D93&gt;DATE(2011,7,20),D97,)</f>
        <v>50</v>
      </c>
      <c r="L97" s="31" t="n">
        <f aca="false">IF('Stammdaten - Schwimmer'!$D93&gt;DATE(2011,7,20),'Stammdaten - Schwimmer'!F93,)</f>
        <v>50</v>
      </c>
      <c r="M97" s="0" t="e">
        <f aca="false">_xlfn.RANK.EQ(L97,L$4:L$103,0)</f>
        <v>#REF!</v>
      </c>
      <c r="O97" s="31" t="n">
        <f aca="false">IF(AND('Stammdaten - Schwimmer'!$D93&lt;DATE(2011,7,20),'Stammdaten - Schwimmer'!$D93&gt;DATE(2007,7,19)),A97,)</f>
        <v>0</v>
      </c>
      <c r="P97" s="31" t="n">
        <f aca="false">IF(AND('Stammdaten - Schwimmer'!$D93&lt;DATE(2011,7,20),'Stammdaten - Schwimmer'!$D93&gt;DATE(2007,7,19)),B97,)</f>
        <v>0</v>
      </c>
      <c r="Q97" s="31" t="n">
        <f aca="false">IF(AND('Stammdaten - Schwimmer'!$D93&lt;DATE(2011,7,20),'Stammdaten - Schwimmer'!$D93&gt;DATE(2007,7,19)),C97,)</f>
        <v>0</v>
      </c>
      <c r="R97" s="32" t="n">
        <f aca="false">IF(AND('Stammdaten - Schwimmer'!$D93&lt;DATE(2011,7,20),'Stammdaten - Schwimmer'!$D93&gt;DATE(2007,7,19)),D97,)</f>
        <v>0</v>
      </c>
      <c r="S97" s="48" t="n">
        <f aca="false">IF(AND('Stammdaten - Schwimmer'!$D93&lt;DATE(2011,7,20),'Stammdaten - Schwimmer'!$D93&gt;DATE(2007,7,19)),'Stammdaten - Schwimmer'!F93,)</f>
        <v>0</v>
      </c>
      <c r="T97" s="0" t="e">
        <f aca="false">_xlfn.RANK.EQ(S97,S$4:S$103,0)</f>
        <v>#REF!</v>
      </c>
      <c r="V97" s="31" t="n">
        <f aca="false">IF('Stammdaten - Schwimmer'!$D93&lt;DATE(2007,7,20),A97,)</f>
        <v>0</v>
      </c>
      <c r="W97" s="31" t="n">
        <f aca="false">IF('Stammdaten - Schwimmer'!$D93&lt;DATE(2007,7,20),B97,)</f>
        <v>0</v>
      </c>
      <c r="X97" s="31" t="n">
        <f aca="false">IF('Stammdaten - Schwimmer'!$D93&lt;DATE(2007,7,20),C97,)</f>
        <v>0</v>
      </c>
      <c r="Y97" s="32" t="n">
        <f aca="false">IF('Stammdaten - Schwimmer'!$D93&lt;DATE(2007,7,20),D97,)</f>
        <v>0</v>
      </c>
      <c r="Z97" s="48" t="n">
        <f aca="false">IF('Stammdaten - Schwimmer'!$D93&lt;DATE(2007,7,20),'Stammdaten - Schwimmer'!F93,)</f>
        <v>0</v>
      </c>
      <c r="AA97" s="0" t="e">
        <f aca="false">_xlfn.RANK.EQ(Z97,Z$4:Z$103,0)</f>
        <v>#REF!</v>
      </c>
    </row>
    <row r="98" customFormat="false" ht="15" hidden="false" customHeight="false" outlineLevel="0" collapsed="false">
      <c r="A98" s="46" t="n">
        <f aca="false">'Stammdaten - Schwimmer'!A94</f>
        <v>92</v>
      </c>
      <c r="B98" s="47" t="str">
        <f aca="false">'Stammdaten - Schwimmer'!B94</f>
        <v>Nanjack</v>
      </c>
      <c r="C98" s="47" t="str">
        <f aca="false">'Stammdaten - Schwimmer'!C94</f>
        <v>Mariims</v>
      </c>
      <c r="D98" s="32" t="n">
        <f aca="false">'Stammdaten - Schwimmer'!J94+'Stammdaten - Schwimmer'!N94+'Stammdaten - Schwimmer'!R94+'Stammdaten - Schwimmer'!V94+'Stammdaten - Schwimmer'!Z95</f>
        <v>0</v>
      </c>
      <c r="E98" s="48" t="n">
        <f aca="false">'Stammdaten - Schwimmer'!F94</f>
        <v>22</v>
      </c>
      <c r="H98" s="31" t="n">
        <f aca="false">IF('Stammdaten - Schwimmer'!D94&gt;DATE(2011,7,20),A98,)</f>
        <v>0</v>
      </c>
      <c r="I98" s="31" t="n">
        <f aca="false">IF('Stammdaten - Schwimmer'!$D94&gt;DATE(2011,7,20),B98,)</f>
        <v>0</v>
      </c>
      <c r="J98" s="31" t="n">
        <f aca="false">IF('Stammdaten - Schwimmer'!$D94&gt;DATE(2011,7,20),C98,)</f>
        <v>0</v>
      </c>
      <c r="K98" s="32" t="n">
        <f aca="false">IF('Stammdaten - Schwimmer'!$D94&gt;DATE(2011,7,20),D98,)</f>
        <v>0</v>
      </c>
      <c r="L98" s="31" t="n">
        <f aca="false">IF('Stammdaten - Schwimmer'!$D94&gt;DATE(2011,7,20),'Stammdaten - Schwimmer'!F94,)</f>
        <v>0</v>
      </c>
      <c r="M98" s="0" t="e">
        <f aca="false">_xlfn.RANK.EQ(L98,L$4:L$103,0)</f>
        <v>#REF!</v>
      </c>
      <c r="O98" s="31" t="n">
        <f aca="false">IF(AND('Stammdaten - Schwimmer'!$D94&lt;DATE(2011,7,20),'Stammdaten - Schwimmer'!$D94&gt;DATE(2007,7,19)),A98,)</f>
        <v>0</v>
      </c>
      <c r="P98" s="31" t="n">
        <f aca="false">IF(AND('Stammdaten - Schwimmer'!$D94&lt;DATE(2011,7,20),'Stammdaten - Schwimmer'!$D94&gt;DATE(2007,7,19)),B98,)</f>
        <v>0</v>
      </c>
      <c r="Q98" s="31" t="n">
        <f aca="false">IF(AND('Stammdaten - Schwimmer'!$D94&lt;DATE(2011,7,20),'Stammdaten - Schwimmer'!$D94&gt;DATE(2007,7,19)),C98,)</f>
        <v>0</v>
      </c>
      <c r="R98" s="32" t="n">
        <f aca="false">IF(AND('Stammdaten - Schwimmer'!$D94&lt;DATE(2011,7,20),'Stammdaten - Schwimmer'!$D94&gt;DATE(2007,7,19)),D98,)</f>
        <v>0</v>
      </c>
      <c r="S98" s="48" t="n">
        <f aca="false">IF(AND('Stammdaten - Schwimmer'!$D94&lt;DATE(2011,7,20),'Stammdaten - Schwimmer'!$D94&gt;DATE(2007,7,19)),'Stammdaten - Schwimmer'!F94,)</f>
        <v>0</v>
      </c>
      <c r="T98" s="0" t="e">
        <f aca="false">_xlfn.RANK.EQ(S98,S$4:S$103,0)</f>
        <v>#REF!</v>
      </c>
      <c r="V98" s="31" t="n">
        <f aca="false">IF('Stammdaten - Schwimmer'!$D94&lt;DATE(2007,7,20),A98,)</f>
        <v>92</v>
      </c>
      <c r="W98" s="31" t="str">
        <f aca="false">IF('Stammdaten - Schwimmer'!$D94&lt;DATE(2007,7,20),B98,)</f>
        <v>Nanjack</v>
      </c>
      <c r="X98" s="31" t="str">
        <f aca="false">IF('Stammdaten - Schwimmer'!$D94&lt;DATE(2007,7,20),C98,)</f>
        <v>Mariims</v>
      </c>
      <c r="Y98" s="32" t="n">
        <f aca="false">IF('Stammdaten - Schwimmer'!$D94&lt;DATE(2007,7,20),D98,)</f>
        <v>0</v>
      </c>
      <c r="Z98" s="48" t="n">
        <f aca="false">IF('Stammdaten - Schwimmer'!$D94&lt;DATE(2007,7,20),'Stammdaten - Schwimmer'!F94,)</f>
        <v>22</v>
      </c>
      <c r="AA98" s="0" t="e">
        <f aca="false">_xlfn.RANK.EQ(Z98,Z$4:Z$103,0)</f>
        <v>#REF!</v>
      </c>
    </row>
    <row r="99" customFormat="false" ht="15" hidden="false" customHeight="false" outlineLevel="0" collapsed="false">
      <c r="A99" s="46" t="n">
        <f aca="false">'Stammdaten - Schwimmer'!A95</f>
        <v>93</v>
      </c>
      <c r="B99" s="47" t="str">
        <f aca="false">'Stammdaten - Schwimmer'!B95</f>
        <v>Weber-Bleyle</v>
      </c>
      <c r="C99" s="47" t="str">
        <f aca="false">'Stammdaten - Schwimmer'!C95</f>
        <v>Christina</v>
      </c>
      <c r="D99" s="32" t="n">
        <f aca="false">'Stammdaten - Schwimmer'!J95+'Stammdaten - Schwimmer'!N95+'Stammdaten - Schwimmer'!R95+'Stammdaten - Schwimmer'!V95+'Stammdaten - Schwimmer'!Z96</f>
        <v>0</v>
      </c>
      <c r="E99" s="48" t="n">
        <f aca="false">'Stammdaten - Schwimmer'!F95</f>
        <v>48</v>
      </c>
      <c r="H99" s="31" t="n">
        <f aca="false">IF('Stammdaten - Schwimmer'!D95&gt;DATE(2011,7,20),A99,)</f>
        <v>0</v>
      </c>
      <c r="I99" s="31" t="n">
        <f aca="false">IF('Stammdaten - Schwimmer'!$D95&gt;DATE(2011,7,20),B99,)</f>
        <v>0</v>
      </c>
      <c r="J99" s="31" t="n">
        <f aca="false">IF('Stammdaten - Schwimmer'!$D95&gt;DATE(2011,7,20),C99,)</f>
        <v>0</v>
      </c>
      <c r="K99" s="32" t="n">
        <f aca="false">IF('Stammdaten - Schwimmer'!$D95&gt;DATE(2011,7,20),D99,)</f>
        <v>0</v>
      </c>
      <c r="L99" s="31" t="n">
        <f aca="false">IF('Stammdaten - Schwimmer'!$D95&gt;DATE(2011,7,20),'Stammdaten - Schwimmer'!F95,)</f>
        <v>0</v>
      </c>
      <c r="M99" s="0" t="e">
        <f aca="false">_xlfn.RANK.EQ(L99,L$4:L$103,0)</f>
        <v>#REF!</v>
      </c>
      <c r="O99" s="31" t="n">
        <f aca="false">IF(AND('Stammdaten - Schwimmer'!$D95&lt;DATE(2011,7,20),'Stammdaten - Schwimmer'!$D95&gt;DATE(2007,7,19)),A99,)</f>
        <v>0</v>
      </c>
      <c r="P99" s="31" t="n">
        <f aca="false">IF(AND('Stammdaten - Schwimmer'!$D95&lt;DATE(2011,7,20),'Stammdaten - Schwimmer'!$D95&gt;DATE(2007,7,19)),B99,)</f>
        <v>0</v>
      </c>
      <c r="Q99" s="31" t="n">
        <f aca="false">IF(AND('Stammdaten - Schwimmer'!$D95&lt;DATE(2011,7,20),'Stammdaten - Schwimmer'!$D95&gt;DATE(2007,7,19)),C99,)</f>
        <v>0</v>
      </c>
      <c r="R99" s="32" t="n">
        <f aca="false">IF(AND('Stammdaten - Schwimmer'!$D95&lt;DATE(2011,7,20),'Stammdaten - Schwimmer'!$D95&gt;DATE(2007,7,19)),D99,)</f>
        <v>0</v>
      </c>
      <c r="S99" s="48" t="n">
        <f aca="false">IF(AND('Stammdaten - Schwimmer'!$D95&lt;DATE(2011,7,20),'Stammdaten - Schwimmer'!$D95&gt;DATE(2007,7,19)),'Stammdaten - Schwimmer'!F95,)</f>
        <v>0</v>
      </c>
      <c r="T99" s="0" t="e">
        <f aca="false">_xlfn.RANK.EQ(S99,S$4:S$103,0)</f>
        <v>#REF!</v>
      </c>
      <c r="V99" s="31" t="n">
        <f aca="false">IF('Stammdaten - Schwimmer'!$D95&lt;DATE(2007,7,20),A99,)</f>
        <v>93</v>
      </c>
      <c r="W99" s="31" t="str">
        <f aca="false">IF('Stammdaten - Schwimmer'!$D95&lt;DATE(2007,7,20),B99,)</f>
        <v>Weber-Bleyle</v>
      </c>
      <c r="X99" s="31" t="str">
        <f aca="false">IF('Stammdaten - Schwimmer'!$D95&lt;DATE(2007,7,20),C99,)</f>
        <v>Christina</v>
      </c>
      <c r="Y99" s="32" t="n">
        <f aca="false">IF('Stammdaten - Schwimmer'!$D95&lt;DATE(2007,7,20),D99,)</f>
        <v>0</v>
      </c>
      <c r="Z99" s="48" t="n">
        <f aca="false">IF('Stammdaten - Schwimmer'!$D95&lt;DATE(2007,7,20),'Stammdaten - Schwimmer'!F95,)</f>
        <v>48</v>
      </c>
      <c r="AA99" s="0" t="e">
        <f aca="false">_xlfn.RANK.EQ(Z99,Z$4:Z$103,0)</f>
        <v>#REF!</v>
      </c>
    </row>
    <row r="100" customFormat="false" ht="15" hidden="false" customHeight="false" outlineLevel="0" collapsed="false">
      <c r="A100" s="46" t="n">
        <f aca="false">'Stammdaten - Schwimmer'!A96</f>
        <v>94</v>
      </c>
      <c r="B100" s="47" t="str">
        <f aca="false">'Stammdaten - Schwimmer'!B96</f>
        <v>Kaiser</v>
      </c>
      <c r="C100" s="47" t="str">
        <f aca="false">'Stammdaten - Schwimmer'!C96</f>
        <v>Denis</v>
      </c>
      <c r="D100" s="32" t="n">
        <f aca="false">'Stammdaten - Schwimmer'!J96+'Stammdaten - Schwimmer'!N96+'Stammdaten - Schwimmer'!R96+'Stammdaten - Schwimmer'!V96+'Stammdaten - Schwimmer'!Z97</f>
        <v>37</v>
      </c>
      <c r="E100" s="48" t="n">
        <f aca="false">'Stammdaten - Schwimmer'!F96</f>
        <v>34</v>
      </c>
      <c r="H100" s="31" t="n">
        <f aca="false">IF('Stammdaten - Schwimmer'!D96&gt;DATE(2011,7,20),A100,)</f>
        <v>0</v>
      </c>
      <c r="I100" s="31" t="n">
        <f aca="false">IF('Stammdaten - Schwimmer'!$D96&gt;DATE(2011,7,20),B100,)</f>
        <v>0</v>
      </c>
      <c r="J100" s="31" t="n">
        <f aca="false">IF('Stammdaten - Schwimmer'!$D96&gt;DATE(2011,7,20),C100,)</f>
        <v>0</v>
      </c>
      <c r="K100" s="32" t="n">
        <f aca="false">IF('Stammdaten - Schwimmer'!$D96&gt;DATE(2011,7,20),D100,)</f>
        <v>0</v>
      </c>
      <c r="L100" s="31" t="n">
        <f aca="false">IF('Stammdaten - Schwimmer'!$D96&gt;DATE(2011,7,20),'Stammdaten - Schwimmer'!F96,)</f>
        <v>0</v>
      </c>
      <c r="M100" s="0" t="e">
        <f aca="false">_xlfn.RANK.EQ(L100,L$4:L$103,0)</f>
        <v>#REF!</v>
      </c>
      <c r="O100" s="31" t="n">
        <f aca="false">IF(AND('Stammdaten - Schwimmer'!$D96&lt;DATE(2011,7,20),'Stammdaten - Schwimmer'!$D96&gt;DATE(2007,7,19)),A100,)</f>
        <v>94</v>
      </c>
      <c r="P100" s="31" t="str">
        <f aca="false">IF(AND('Stammdaten - Schwimmer'!$D96&lt;DATE(2011,7,20),'Stammdaten - Schwimmer'!$D96&gt;DATE(2007,7,19)),B100,)</f>
        <v>Kaiser</v>
      </c>
      <c r="Q100" s="31" t="str">
        <f aca="false">IF(AND('Stammdaten - Schwimmer'!$D96&lt;DATE(2011,7,20),'Stammdaten - Schwimmer'!$D96&gt;DATE(2007,7,19)),C100,)</f>
        <v>Denis</v>
      </c>
      <c r="R100" s="32" t="n">
        <f aca="false">IF(AND('Stammdaten - Schwimmer'!$D96&lt;DATE(2011,7,20),'Stammdaten - Schwimmer'!$D96&gt;DATE(2007,7,19)),D100,)</f>
        <v>37</v>
      </c>
      <c r="S100" s="48" t="n">
        <f aca="false">IF(AND('Stammdaten - Schwimmer'!$D96&lt;DATE(2011,7,20),'Stammdaten - Schwimmer'!$D96&gt;DATE(2007,7,19)),'Stammdaten - Schwimmer'!F96,)</f>
        <v>34</v>
      </c>
      <c r="T100" s="0" t="e">
        <f aca="false">_xlfn.RANK.EQ(S100,S$4:S$103,0)</f>
        <v>#REF!</v>
      </c>
      <c r="V100" s="31" t="n">
        <f aca="false">IF('Stammdaten - Schwimmer'!$D96&lt;DATE(2007,7,20),A100,)</f>
        <v>0</v>
      </c>
      <c r="W100" s="31" t="n">
        <f aca="false">IF('Stammdaten - Schwimmer'!$D96&lt;DATE(2007,7,20),B100,)</f>
        <v>0</v>
      </c>
      <c r="X100" s="31" t="n">
        <f aca="false">IF('Stammdaten - Schwimmer'!$D96&lt;DATE(2007,7,20),C100,)</f>
        <v>0</v>
      </c>
      <c r="Y100" s="32" t="n">
        <f aca="false">IF('Stammdaten - Schwimmer'!$D96&lt;DATE(2007,7,20),D100,)</f>
        <v>0</v>
      </c>
      <c r="Z100" s="48" t="n">
        <f aca="false">IF('Stammdaten - Schwimmer'!$D96&lt;DATE(2007,7,20),'Stammdaten - Schwimmer'!F96,)</f>
        <v>0</v>
      </c>
      <c r="AA100" s="0" t="e">
        <f aca="false">_xlfn.RANK.EQ(Z100,Z$4:Z$103,0)</f>
        <v>#REF!</v>
      </c>
    </row>
    <row r="101" customFormat="false" ht="15" hidden="false" customHeight="false" outlineLevel="0" collapsed="false">
      <c r="A101" s="46" t="n">
        <f aca="false">'Stammdaten - Schwimmer'!A97</f>
        <v>95</v>
      </c>
      <c r="B101" s="47" t="str">
        <f aca="false">'Stammdaten - Schwimmer'!B97</f>
        <v>Kaiser</v>
      </c>
      <c r="C101" s="47" t="str">
        <f aca="false">'Stammdaten - Schwimmer'!C97</f>
        <v>Vitalis</v>
      </c>
      <c r="D101" s="32" t="n">
        <f aca="false">'Stammdaten - Schwimmer'!J97+'Stammdaten - Schwimmer'!N97+'Stammdaten - Schwimmer'!R97+'Stammdaten - Schwimmer'!V97+'Stammdaten - Schwimmer'!Z98</f>
        <v>32</v>
      </c>
      <c r="E101" s="48" t="n">
        <f aca="false">'Stammdaten - Schwimmer'!F97</f>
        <v>24</v>
      </c>
      <c r="H101" s="31" t="n">
        <f aca="false">IF('Stammdaten - Schwimmer'!D97&gt;DATE(2011,7,20),A101,)</f>
        <v>0</v>
      </c>
      <c r="I101" s="31" t="n">
        <f aca="false">IF('Stammdaten - Schwimmer'!$D97&gt;DATE(2011,7,20),B101,)</f>
        <v>0</v>
      </c>
      <c r="J101" s="31" t="n">
        <f aca="false">IF('Stammdaten - Schwimmer'!$D97&gt;DATE(2011,7,20),C101,)</f>
        <v>0</v>
      </c>
      <c r="K101" s="32" t="n">
        <f aca="false">IF('Stammdaten - Schwimmer'!$D97&gt;DATE(2011,7,20),D101,)</f>
        <v>0</v>
      </c>
      <c r="L101" s="31" t="n">
        <f aca="false">IF('Stammdaten - Schwimmer'!$D97&gt;DATE(2011,7,20),'Stammdaten - Schwimmer'!F97,)</f>
        <v>0</v>
      </c>
      <c r="M101" s="0" t="e">
        <f aca="false">_xlfn.RANK.EQ(L101,L$4:L$103,0)</f>
        <v>#REF!</v>
      </c>
      <c r="O101" s="31" t="n">
        <f aca="false">IF(AND('Stammdaten - Schwimmer'!$D97&lt;DATE(2011,7,20),'Stammdaten - Schwimmer'!$D97&gt;DATE(2007,7,19)),A101,)</f>
        <v>0</v>
      </c>
      <c r="P101" s="31" t="n">
        <f aca="false">IF(AND('Stammdaten - Schwimmer'!$D97&lt;DATE(2011,7,20),'Stammdaten - Schwimmer'!$D97&gt;DATE(2007,7,19)),B101,)</f>
        <v>0</v>
      </c>
      <c r="Q101" s="31" t="n">
        <f aca="false">IF(AND('Stammdaten - Schwimmer'!$D97&lt;DATE(2011,7,20),'Stammdaten - Schwimmer'!$D97&gt;DATE(2007,7,19)),C101,)</f>
        <v>0</v>
      </c>
      <c r="R101" s="32" t="n">
        <f aca="false">IF(AND('Stammdaten - Schwimmer'!$D97&lt;DATE(2011,7,20),'Stammdaten - Schwimmer'!$D97&gt;DATE(2007,7,19)),D101,)</f>
        <v>0</v>
      </c>
      <c r="S101" s="48" t="n">
        <f aca="false">IF(AND('Stammdaten - Schwimmer'!$D97&lt;DATE(2011,7,20),'Stammdaten - Schwimmer'!$D97&gt;DATE(2007,7,19)),'Stammdaten - Schwimmer'!F97,)</f>
        <v>0</v>
      </c>
      <c r="T101" s="0" t="e">
        <f aca="false">_xlfn.RANK.EQ(S101,S$4:S$103,0)</f>
        <v>#REF!</v>
      </c>
      <c r="V101" s="31" t="n">
        <f aca="false">IF('Stammdaten - Schwimmer'!$D97&lt;DATE(2007,7,20),A101,)</f>
        <v>95</v>
      </c>
      <c r="W101" s="31" t="str">
        <f aca="false">IF('Stammdaten - Schwimmer'!$D97&lt;DATE(2007,7,20),B101,)</f>
        <v>Kaiser</v>
      </c>
      <c r="X101" s="31" t="str">
        <f aca="false">IF('Stammdaten - Schwimmer'!$D97&lt;DATE(2007,7,20),C101,)</f>
        <v>Vitalis</v>
      </c>
      <c r="Y101" s="32" t="n">
        <f aca="false">IF('Stammdaten - Schwimmer'!$D97&lt;DATE(2007,7,20),D101,)</f>
        <v>32</v>
      </c>
      <c r="Z101" s="48" t="n">
        <f aca="false">IF('Stammdaten - Schwimmer'!$D97&lt;DATE(2007,7,20),'Stammdaten - Schwimmer'!F97,)</f>
        <v>24</v>
      </c>
      <c r="AA101" s="0" t="e">
        <f aca="false">_xlfn.RANK.EQ(Z101,Z$4:Z$103,0)</f>
        <v>#REF!</v>
      </c>
    </row>
    <row r="102" customFormat="false" ht="15" hidden="false" customHeight="false" outlineLevel="0" collapsed="false">
      <c r="A102" s="46" t="n">
        <f aca="false">'Stammdaten - Schwimmer'!A98</f>
        <v>96</v>
      </c>
      <c r="B102" s="47" t="str">
        <f aca="false">'Stammdaten - Schwimmer'!B98</f>
        <v>Schule</v>
      </c>
      <c r="C102" s="47" t="str">
        <f aca="false">'Stammdaten - Schwimmer'!C98</f>
        <v>Malik</v>
      </c>
      <c r="D102" s="32" t="n">
        <f aca="false">'Stammdaten - Schwimmer'!J98+'Stammdaten - Schwimmer'!N98+'Stammdaten - Schwimmer'!R98+'Stammdaten - Schwimmer'!V98+'Stammdaten - Schwimmer'!Z99</f>
        <v>0</v>
      </c>
      <c r="E102" s="48" t="n">
        <f aca="false">'Stammdaten - Schwimmer'!F98</f>
        <v>36</v>
      </c>
      <c r="H102" s="31" t="n">
        <f aca="false">IF('Stammdaten - Schwimmer'!D98&gt;DATE(2011,7,20),A102,)</f>
        <v>96</v>
      </c>
      <c r="I102" s="31" t="str">
        <f aca="false">IF('Stammdaten - Schwimmer'!$D98&gt;DATE(2011,7,20),B102,)</f>
        <v>Schule</v>
      </c>
      <c r="J102" s="31" t="str">
        <f aca="false">IF('Stammdaten - Schwimmer'!$D98&gt;DATE(2011,7,20),C102,)</f>
        <v>Malik</v>
      </c>
      <c r="K102" s="32" t="n">
        <f aca="false">IF('Stammdaten - Schwimmer'!$D98&gt;DATE(2011,7,20),D102,)</f>
        <v>0</v>
      </c>
      <c r="L102" s="31" t="n">
        <f aca="false">IF('Stammdaten - Schwimmer'!$D98&gt;DATE(2011,7,20),'Stammdaten - Schwimmer'!F98,)</f>
        <v>36</v>
      </c>
      <c r="M102" s="0" t="e">
        <f aca="false">_xlfn.RANK.EQ(L102,L$4:L$103,0)</f>
        <v>#REF!</v>
      </c>
      <c r="O102" s="31" t="n">
        <f aca="false">IF(AND('Stammdaten - Schwimmer'!$D98&lt;DATE(2011,7,20),'Stammdaten - Schwimmer'!$D98&gt;DATE(2007,7,19)),A102,)</f>
        <v>0</v>
      </c>
      <c r="P102" s="31" t="n">
        <f aca="false">IF(AND('Stammdaten - Schwimmer'!$D98&lt;DATE(2011,7,20),'Stammdaten - Schwimmer'!$D98&gt;DATE(2007,7,19)),B102,)</f>
        <v>0</v>
      </c>
      <c r="Q102" s="31" t="n">
        <f aca="false">IF(AND('Stammdaten - Schwimmer'!$D98&lt;DATE(2011,7,20),'Stammdaten - Schwimmer'!$D98&gt;DATE(2007,7,19)),C102,)</f>
        <v>0</v>
      </c>
      <c r="R102" s="32" t="n">
        <f aca="false">IF(AND('Stammdaten - Schwimmer'!$D98&lt;DATE(2011,7,20),'Stammdaten - Schwimmer'!$D98&gt;DATE(2007,7,19)),D102,)</f>
        <v>0</v>
      </c>
      <c r="S102" s="48" t="n">
        <f aca="false">IF(AND('Stammdaten - Schwimmer'!$D98&lt;DATE(2011,7,20),'Stammdaten - Schwimmer'!$D98&gt;DATE(2007,7,19)),'Stammdaten - Schwimmer'!F98,)</f>
        <v>0</v>
      </c>
      <c r="T102" s="0" t="e">
        <f aca="false">_xlfn.RANK.EQ(S102,S$4:S$103,0)</f>
        <v>#REF!</v>
      </c>
      <c r="V102" s="31" t="n">
        <f aca="false">IF('Stammdaten - Schwimmer'!$D98&lt;DATE(2007,7,20),A102,)</f>
        <v>0</v>
      </c>
      <c r="W102" s="31" t="n">
        <f aca="false">IF('Stammdaten - Schwimmer'!$D98&lt;DATE(2007,7,20),B102,)</f>
        <v>0</v>
      </c>
      <c r="X102" s="31" t="n">
        <f aca="false">IF('Stammdaten - Schwimmer'!$D98&lt;DATE(2007,7,20),C102,)</f>
        <v>0</v>
      </c>
      <c r="Y102" s="32" t="n">
        <f aca="false">IF('Stammdaten - Schwimmer'!$D98&lt;DATE(2007,7,20),D102,)</f>
        <v>0</v>
      </c>
      <c r="Z102" s="48" t="n">
        <f aca="false">IF('Stammdaten - Schwimmer'!$D98&lt;DATE(2007,7,20),'Stammdaten - Schwimmer'!F98,)</f>
        <v>0</v>
      </c>
      <c r="AA102" s="0" t="e">
        <f aca="false">_xlfn.RANK.EQ(Z102,Z$4:Z$103,0)</f>
        <v>#REF!</v>
      </c>
    </row>
    <row r="103" customFormat="false" ht="15" hidden="false" customHeight="false" outlineLevel="0" collapsed="false">
      <c r="A103" s="46" t="n">
        <f aca="false">'Stammdaten - Schwimmer'!A99</f>
        <v>97</v>
      </c>
      <c r="B103" s="47" t="str">
        <f aca="false">'Stammdaten - Schwimmer'!B99</f>
        <v>Graf</v>
      </c>
      <c r="C103" s="47" t="str">
        <f aca="false">'Stammdaten - Schwimmer'!C99</f>
        <v>Alexander</v>
      </c>
      <c r="D103" s="32" t="n">
        <f aca="false">'Stammdaten - Schwimmer'!J99+'Stammdaten - Schwimmer'!N99+'Stammdaten - Schwimmer'!R99+'Stammdaten - Schwimmer'!V99+'Stammdaten - Schwimmer'!Z100</f>
        <v>12</v>
      </c>
      <c r="E103" s="48" t="n">
        <f aca="false">'Stammdaten - Schwimmer'!F99</f>
        <v>24</v>
      </c>
      <c r="H103" s="31" t="n">
        <f aca="false">IF('Stammdaten - Schwimmer'!D99&gt;DATE(2011,7,20),A103,)</f>
        <v>0</v>
      </c>
      <c r="I103" s="31" t="n">
        <f aca="false">IF('Stammdaten - Schwimmer'!$D99&gt;DATE(2011,7,20),B103,)</f>
        <v>0</v>
      </c>
      <c r="J103" s="31" t="n">
        <f aca="false">IF('Stammdaten - Schwimmer'!$D99&gt;DATE(2011,7,20),C103,)</f>
        <v>0</v>
      </c>
      <c r="K103" s="32" t="n">
        <f aca="false">IF('Stammdaten - Schwimmer'!$D99&gt;DATE(2011,7,20),D103,)</f>
        <v>0</v>
      </c>
      <c r="L103" s="31" t="n">
        <f aca="false">IF('Stammdaten - Schwimmer'!$D99&gt;DATE(2011,7,20),'Stammdaten - Schwimmer'!F99,)</f>
        <v>0</v>
      </c>
      <c r="M103" s="0" t="e">
        <f aca="false">_xlfn.RANK.EQ(L103,L$4:L$103,0)</f>
        <v>#REF!</v>
      </c>
      <c r="O103" s="31" t="n">
        <f aca="false">IF(AND('Stammdaten - Schwimmer'!$D99&lt;DATE(2011,7,20),'Stammdaten - Schwimmer'!$D99&gt;DATE(2007,7,19)),A103,)</f>
        <v>0</v>
      </c>
      <c r="P103" s="31" t="n">
        <f aca="false">IF(AND('Stammdaten - Schwimmer'!$D99&lt;DATE(2011,7,20),'Stammdaten - Schwimmer'!$D99&gt;DATE(2007,7,19)),B103,)</f>
        <v>0</v>
      </c>
      <c r="Q103" s="31" t="n">
        <f aca="false">IF(AND('Stammdaten - Schwimmer'!$D99&lt;DATE(2011,7,20),'Stammdaten - Schwimmer'!$D99&gt;DATE(2007,7,19)),C103,)</f>
        <v>0</v>
      </c>
      <c r="R103" s="32" t="n">
        <f aca="false">IF(AND('Stammdaten - Schwimmer'!$D99&lt;DATE(2011,7,20),'Stammdaten - Schwimmer'!$D99&gt;DATE(2007,7,19)),D103,)</f>
        <v>0</v>
      </c>
      <c r="S103" s="48" t="n">
        <f aca="false">IF(AND('Stammdaten - Schwimmer'!$D99&lt;DATE(2011,7,20),'Stammdaten - Schwimmer'!$D99&gt;DATE(2007,7,19)),'Stammdaten - Schwimmer'!F99,)</f>
        <v>0</v>
      </c>
      <c r="T103" s="0" t="e">
        <f aca="false">_xlfn.RANK.EQ(S103,S$4:S$103,0)</f>
        <v>#REF!</v>
      </c>
      <c r="V103" s="31" t="n">
        <f aca="false">IF('Stammdaten - Schwimmer'!$D99&lt;DATE(2007,7,20),A103,)</f>
        <v>97</v>
      </c>
      <c r="W103" s="31" t="str">
        <f aca="false">IF('Stammdaten - Schwimmer'!$D99&lt;DATE(2007,7,20),B103,)</f>
        <v>Graf</v>
      </c>
      <c r="X103" s="31" t="str">
        <f aca="false">IF('Stammdaten - Schwimmer'!$D99&lt;DATE(2007,7,20),C103,)</f>
        <v>Alexander</v>
      </c>
      <c r="Y103" s="32" t="n">
        <f aca="false">IF('Stammdaten - Schwimmer'!$D99&lt;DATE(2007,7,20),D103,)</f>
        <v>12</v>
      </c>
      <c r="Z103" s="48" t="n">
        <f aca="false">IF('Stammdaten - Schwimmer'!$D99&lt;DATE(2007,7,20),'Stammdaten - Schwimmer'!F99,)</f>
        <v>24</v>
      </c>
      <c r="AA103" s="0" t="e">
        <f aca="false">_xlfn.RANK.EQ(Z103,Z$4:Z$103,0)</f>
        <v>#REF!</v>
      </c>
    </row>
    <row r="104" customFormat="false" ht="15" hidden="false" customHeight="false" outlineLevel="0" collapsed="false">
      <c r="D104" s="2" t="e">
        <f aca="false">SUM(D4:D103)</f>
        <v>#REF!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0.6796875" defaultRowHeight="15" customHeight="false" zeroHeight="false" outlineLevelRow="0" outlineLevelCol="0"/>
  <cols>
    <col collapsed="false" customWidth="true" hidden="false" outlineLevel="0" max="2" min="2" style="0" width="23.29"/>
    <col collapsed="false" customWidth="true" hidden="false" outlineLevel="0" max="3" min="3" style="0" width="20.42"/>
    <col collapsed="false" customWidth="true" hidden="false" outlineLevel="0" max="4" min="4" style="2" width="11.43"/>
    <col collapsed="false" customWidth="true" hidden="false" outlineLevel="0" max="5" min="5" style="1" width="11.43"/>
    <col collapsed="false" customWidth="true" hidden="false" outlineLevel="0" max="15" min="15" style="0" width="23.42"/>
    <col collapsed="false" customWidth="true" hidden="false" outlineLevel="0" max="16" min="16" style="0" width="22"/>
    <col collapsed="false" customWidth="true" hidden="false" outlineLevel="0" max="17" min="17" style="1" width="11.43"/>
    <col collapsed="false" customWidth="true" hidden="false" outlineLevel="0" max="18" min="18" style="0" width="15.85"/>
  </cols>
  <sheetData>
    <row r="1" customFormat="false" ht="15" hidden="false" customHeight="false" outlineLevel="0" collapsed="false">
      <c r="A1" s="0" t="s">
        <v>199</v>
      </c>
      <c r="D1" s="1"/>
    </row>
    <row r="2" customFormat="false" ht="15" hidden="false" customHeight="false" outlineLevel="0" collapsed="false">
      <c r="D2" s="1"/>
    </row>
    <row r="3" customFormat="false" ht="28.35" hidden="false" customHeight="false" outlineLevel="0" collapsed="false">
      <c r="A3" s="49" t="s">
        <v>2</v>
      </c>
      <c r="B3" s="49" t="s">
        <v>87</v>
      </c>
      <c r="C3" s="49" t="s">
        <v>88</v>
      </c>
      <c r="D3" s="49" t="s">
        <v>187</v>
      </c>
    </row>
    <row r="4" customFormat="false" ht="15" hidden="false" customHeight="false" outlineLevel="0" collapsed="false">
      <c r="A4" s="31" t="n">
        <f aca="false">'Stammdaten - Sponsoren'!A4</f>
        <v>1001</v>
      </c>
      <c r="B4" s="50" t="str">
        <f aca="false">'Stammdaten - Sponsoren'!B4</f>
        <v>Förderverein ETB</v>
      </c>
      <c r="C4" s="50" t="str">
        <f aca="false">'Stammdaten - Sponsoren'!C4</f>
        <v>Thomas Schmid</v>
      </c>
      <c r="D4" s="32" t="n">
        <f aca="false">SUMIF('Stammdaten - Schwimmer'!G$4:G$99,'Stammdaten - Sponsoren'!A4,'Stammdaten - Schwimmer'!J$4:J$99)+SUMIF('Stammdaten - Schwimmer'!K$4:K$99,'Stammdaten - Sponsoren'!A4,'Stammdaten - Schwimmer'!N$4:N$99)+SUMIF('Stammdaten - Schwimmer'!O$4:O$99,'Stammdaten - Sponsoren'!A4,'Stammdaten - Schwimmer'!R$4:R$99)+SUMIF('Stammdaten - Schwimmer'!S$4:S$99,'Stammdaten - Sponsoren'!A4,'Stammdaten - Schwimmer'!V$4:V$99)</f>
        <v>0</v>
      </c>
    </row>
    <row r="5" customFormat="false" ht="15" hidden="false" customHeight="false" outlineLevel="0" collapsed="false">
      <c r="A5" s="31" t="n">
        <f aca="false">'Stammdaten - Sponsoren'!A5</f>
        <v>1002</v>
      </c>
      <c r="B5" s="50" t="str">
        <f aca="false">'Stammdaten - Sponsoren'!B5</f>
        <v>DLRG OG VAI</v>
      </c>
      <c r="C5" s="50" t="str">
        <f aca="false">'Stammdaten - Sponsoren'!C5</f>
        <v>Thomas Schmid</v>
      </c>
      <c r="D5" s="32" t="n">
        <f aca="false">SUMIF('Stammdaten - Schwimmer'!G$4:G$99,'Stammdaten - Sponsoren'!A5,'Stammdaten - Schwimmer'!J$4:J$99)+SUMIF('Stammdaten - Schwimmer'!K$4:K$99,'Stammdaten - Sponsoren'!A5,'Stammdaten - Schwimmer'!N$4:N$99)+SUMIF('Stammdaten - Schwimmer'!O$4:O$99,'Stammdaten - Sponsoren'!A5,'Stammdaten - Schwimmer'!R$4:R$99)+SUMIF('Stammdaten - Schwimmer'!S$4:S$99,'Stammdaten - Sponsoren'!A5,'Stammdaten - Schwimmer'!V$4:V$99)+SUMIF('Stammdaten - Schwimmer'!W$4:W$99,'Stammdaten - Sponsoren'!A5,'Stammdaten - Schwimmer'!Z$4:Z$99)</f>
        <v>224</v>
      </c>
    </row>
    <row r="6" customFormat="false" ht="28.35" hidden="false" customHeight="false" outlineLevel="0" collapsed="false">
      <c r="A6" s="31" t="n">
        <f aca="false">'Stammdaten - Sponsoren'!A6</f>
        <v>1003</v>
      </c>
      <c r="B6" s="50" t="str">
        <f aca="false">'Stammdaten - Sponsoren'!B6</f>
        <v>TVV 
Schwimmabteilung</v>
      </c>
      <c r="C6" s="50" t="str">
        <f aca="false">'Stammdaten - Sponsoren'!C6</f>
        <v>Tim Bauer</v>
      </c>
      <c r="D6" s="32" t="n">
        <f aca="false">SUMIF('Stammdaten - Schwimmer'!G$4:G$99,'Stammdaten - Sponsoren'!A6,'Stammdaten - Schwimmer'!J$4:J$99)+SUMIF('Stammdaten - Schwimmer'!K$4:K$99,'Stammdaten - Sponsoren'!A6,'Stammdaten - Schwimmer'!N$4:N$99)+SUMIF('Stammdaten - Schwimmer'!O$4:O$99,'Stammdaten - Sponsoren'!A6,'Stammdaten - Schwimmer'!R$4:R$99)+SUMIF('Stammdaten - Schwimmer'!S$4:S$99,'Stammdaten - Sponsoren'!A6,'Stammdaten - Schwimmer'!V$4:V$99)+SUMIF('Stammdaten - Schwimmer'!W$4:W$99,'Stammdaten - Sponsoren'!A6,'Stammdaten - Schwimmer'!Z$4:Z$99)</f>
        <v>400</v>
      </c>
      <c r="N6" s="51"/>
      <c r="O6" s="51"/>
      <c r="P6" s="51"/>
      <c r="R6" s="51"/>
    </row>
    <row r="7" customFormat="false" ht="15" hidden="false" customHeight="false" outlineLevel="0" collapsed="false">
      <c r="A7" s="31" t="n">
        <f aca="false">'Stammdaten - Sponsoren'!A7</f>
        <v>1004</v>
      </c>
      <c r="B7" s="50" t="str">
        <f aca="false">'Stammdaten - Sponsoren'!B7</f>
        <v>Symmetree GmbH</v>
      </c>
      <c r="C7" s="50" t="str">
        <f aca="false">'Stammdaten - Sponsoren'!C7</f>
        <v>James Hartman</v>
      </c>
      <c r="D7" s="32" t="n">
        <f aca="false">SUMIF('Stammdaten - Schwimmer'!G$4:G$99,'Stammdaten - Sponsoren'!A7,'Stammdaten - Schwimmer'!J$4:J$99)+SUMIF('Stammdaten - Schwimmer'!K$4:K$99,'Stammdaten - Sponsoren'!A7,'Stammdaten - Schwimmer'!N$4:N$99)+SUMIF('Stammdaten - Schwimmer'!O$4:O$99,'Stammdaten - Sponsoren'!A7,'Stammdaten - Schwimmer'!R$4:R$99)+SUMIF('Stammdaten - Schwimmer'!S$4:S$99,'Stammdaten - Sponsoren'!A7,'Stammdaten - Schwimmer'!V$4:V$99)+SUMIF('Stammdaten - Schwimmer'!W$4:W$99,'Stammdaten - Sponsoren'!A7,'Stammdaten - Schwimmer'!Z$4:Z$99)</f>
        <v>25</v>
      </c>
    </row>
    <row r="8" customFormat="false" ht="15" hidden="false" customHeight="false" outlineLevel="0" collapsed="false">
      <c r="A8" s="31" t="n">
        <f aca="false">'Stammdaten - Sponsoren'!A8</f>
        <v>1005</v>
      </c>
      <c r="B8" s="50" t="str">
        <f aca="false">'Stammdaten - Sponsoren'!B8</f>
        <v>Kanuclub CJD kaltenstein</v>
      </c>
      <c r="C8" s="50" t="str">
        <f aca="false">'Stammdaten - Sponsoren'!C8</f>
        <v>Michael Fischer</v>
      </c>
      <c r="D8" s="32" t="n">
        <f aca="false">SUMIF('Stammdaten - Schwimmer'!G$4:G$99,'Stammdaten - Sponsoren'!A8,'Stammdaten - Schwimmer'!J$4:J$99)+SUMIF('Stammdaten - Schwimmer'!K$4:K$99,'Stammdaten - Sponsoren'!A8,'Stammdaten - Schwimmer'!N$4:N$99)+SUMIF('Stammdaten - Schwimmer'!O$4:O$99,'Stammdaten - Sponsoren'!A8,'Stammdaten - Schwimmer'!R$4:R$99)+SUMIF('Stammdaten - Schwimmer'!S$4:S$99,'Stammdaten - Sponsoren'!A8,'Stammdaten - Schwimmer'!V$4:V$99)+SUMIF('Stammdaten - Schwimmer'!W$4:W$99,'Stammdaten - Sponsoren'!A8,'Stammdaten - Schwimmer'!Z$4:Z$99)</f>
        <v>146</v>
      </c>
    </row>
    <row r="9" customFormat="false" ht="15" hidden="false" customHeight="false" outlineLevel="0" collapsed="false">
      <c r="A9" s="31" t="n">
        <f aca="false">'Stammdaten - Sponsoren'!A11</f>
        <v>1022</v>
      </c>
      <c r="B9" s="31" t="str">
        <f aca="false">'Stammdaten - Sponsoren'!B11</f>
        <v>Seel</v>
      </c>
      <c r="C9" s="31" t="str">
        <f aca="false">'Stammdaten - Sponsoren'!C11</f>
        <v>Rita</v>
      </c>
      <c r="D9" s="32" t="n">
        <f aca="false">SUMIF('Stammdaten - Schwimmer'!G$4:G$99,'Stammdaten - Sponsoren'!A11,'Stammdaten - Schwimmer'!J$4:J$99)+SUMIF('Stammdaten - Schwimmer'!K$4:K$99,'Stammdaten - Sponsoren'!A11,'Stammdaten - Schwimmer'!N$4:N$99)+SUMIF('Stammdaten - Schwimmer'!O$4:O$99,'Stammdaten - Sponsoren'!A11,'Stammdaten - Schwimmer'!R$4:R$99)+SUMIF('Stammdaten - Schwimmer'!S$4:S$99,'Stammdaten - Sponsoren'!A11,'Stammdaten - Schwimmer'!V$4:V$99)+SUMIF('Stammdaten - Schwimmer'!W$4:W$99,'Stammdaten - Sponsoren'!A11,'Stammdaten - Schwimmer'!Z$4:Z$99)</f>
        <v>112</v>
      </c>
      <c r="N9" s="26"/>
      <c r="O9" s="1"/>
      <c r="P9" s="1"/>
      <c r="Q9" s="26"/>
      <c r="R9" s="26"/>
      <c r="S9" s="26"/>
      <c r="T9" s="51"/>
      <c r="U9" s="26"/>
    </row>
    <row r="10" customFormat="false" ht="15" hidden="false" customHeight="false" outlineLevel="0" collapsed="false">
      <c r="A10" s="31" t="n">
        <f aca="false">'Stammdaten - Sponsoren'!A12</f>
        <v>1023</v>
      </c>
      <c r="B10" s="31" t="str">
        <f aca="false">'Stammdaten - Sponsoren'!B12</f>
        <v>Kombächer </v>
      </c>
      <c r="C10" s="31" t="str">
        <f aca="false">'Stammdaten - Sponsoren'!C12</f>
        <v>Dagmar</v>
      </c>
      <c r="D10" s="32" t="n">
        <f aca="false">SUMIF('Stammdaten - Schwimmer'!G$4:G$99,'Stammdaten - Sponsoren'!A12,'Stammdaten - Schwimmer'!J$4:J$99)+SUMIF('Stammdaten - Schwimmer'!K$4:K$99,'Stammdaten - Sponsoren'!A12,'Stammdaten - Schwimmer'!N$4:N$99)+SUMIF('Stammdaten - Schwimmer'!O$4:O$99,'Stammdaten - Sponsoren'!A12,'Stammdaten - Schwimmer'!R$4:R$99)+SUMIF('Stammdaten - Schwimmer'!S$4:S$99,'Stammdaten - Sponsoren'!A12,'Stammdaten - Schwimmer'!V$4:V$99)+SUMIF('Stammdaten - Schwimmer'!W$4:W$99,'Stammdaten - Sponsoren'!A12,'Stammdaten - Schwimmer'!Z$4:Z$99)</f>
        <v>112</v>
      </c>
      <c r="N10" s="26"/>
      <c r="O10" s="1"/>
      <c r="P10" s="1"/>
      <c r="Q10" s="26"/>
      <c r="R10" s="26"/>
      <c r="S10" s="26"/>
      <c r="T10" s="51"/>
      <c r="U10" s="26"/>
    </row>
    <row r="11" customFormat="false" ht="15" hidden="false" customHeight="false" outlineLevel="0" collapsed="false">
      <c r="A11" s="31" t="n">
        <f aca="false">'Stammdaten - Sponsoren'!A13</f>
        <v>1024</v>
      </c>
      <c r="B11" s="31" t="str">
        <f aca="false">'Stammdaten - Sponsoren'!B13</f>
        <v>Häcker</v>
      </c>
      <c r="C11" s="31" t="str">
        <f aca="false">'Stammdaten - Sponsoren'!C13</f>
        <v>Rudi</v>
      </c>
      <c r="D11" s="32" t="n">
        <f aca="false">SUMIF('Stammdaten - Schwimmer'!G$4:G$99,'Stammdaten - Sponsoren'!A13,'Stammdaten - Schwimmer'!J$4:J$99)+SUMIF('Stammdaten - Schwimmer'!K$4:K$99,'Stammdaten - Sponsoren'!A13,'Stammdaten - Schwimmer'!N$4:N$99)+SUMIF('Stammdaten - Schwimmer'!O$4:O$99,'Stammdaten - Sponsoren'!A13,'Stammdaten - Schwimmer'!R$4:R$99)+SUMIF('Stammdaten - Schwimmer'!S$4:S$99,'Stammdaten - Sponsoren'!A13,'Stammdaten - Schwimmer'!V$4:V$99)+SUMIF('Stammdaten - Schwimmer'!W$4:W$99,'Stammdaten - Sponsoren'!A13,'Stammdaten - Schwimmer'!Z$4:Z$99)</f>
        <v>112</v>
      </c>
      <c r="N11" s="26"/>
      <c r="O11" s="1"/>
      <c r="P11" s="1"/>
      <c r="Q11" s="26"/>
      <c r="R11" s="26"/>
      <c r="S11" s="26"/>
      <c r="T11" s="51"/>
      <c r="U11" s="26"/>
    </row>
    <row r="12" customFormat="false" ht="15" hidden="false" customHeight="false" outlineLevel="0" collapsed="false">
      <c r="A12" s="31" t="n">
        <f aca="false">'Stammdaten - Sponsoren'!A14</f>
        <v>1034</v>
      </c>
      <c r="B12" s="31" t="str">
        <f aca="false">'Stammdaten - Sponsoren'!B14</f>
        <v>Ludwig</v>
      </c>
      <c r="C12" s="31" t="str">
        <f aca="false">'Stammdaten - Sponsoren'!C14</f>
        <v>Martin</v>
      </c>
      <c r="D12" s="32" t="n">
        <f aca="false">SUMIF('Stammdaten - Schwimmer'!G$4:G$99,'Stammdaten - Sponsoren'!A14,'Stammdaten - Schwimmer'!J$4:J$99)+SUMIF('Stammdaten - Schwimmer'!K$4:K$99,'Stammdaten - Sponsoren'!A14,'Stammdaten - Schwimmer'!N$4:N$99)+SUMIF('Stammdaten - Schwimmer'!O$4:O$99,'Stammdaten - Sponsoren'!A14,'Stammdaten - Schwimmer'!R$4:R$99)+SUMIF('Stammdaten - Schwimmer'!S$4:S$99,'Stammdaten - Sponsoren'!A14,'Stammdaten - Schwimmer'!V$4:V$99)+SUMIF('Stammdaten - Schwimmer'!W$4:W$99,'Stammdaten - Sponsoren'!A14,'Stammdaten - Schwimmer'!Z$4:Z$99)</f>
        <v>54</v>
      </c>
      <c r="N12" s="26"/>
      <c r="O12" s="1"/>
      <c r="P12" s="1"/>
      <c r="Q12" s="26"/>
      <c r="R12" s="26"/>
      <c r="S12" s="26"/>
      <c r="T12" s="51"/>
      <c r="U12" s="26"/>
    </row>
    <row r="13" customFormat="false" ht="15" hidden="false" customHeight="false" outlineLevel="0" collapsed="false">
      <c r="A13" s="31" t="n">
        <f aca="false">'Stammdaten - Sponsoren'!A15</f>
        <v>1108</v>
      </c>
      <c r="B13" s="50" t="str">
        <f aca="false">'Stammdaten - Sponsoren'!B15</f>
        <v>Zimmermann</v>
      </c>
      <c r="C13" s="50" t="str">
        <f aca="false">'Stammdaten - Sponsoren'!C15</f>
        <v>Inge</v>
      </c>
      <c r="D13" s="32" t="n">
        <f aca="false">SUMIF('Stammdaten - Schwimmer'!G$4:G$99,'Stammdaten - Sponsoren'!A15,'Stammdaten - Schwimmer'!J$4:J$99)+SUMIF('Stammdaten - Schwimmer'!K$4:K$99,'Stammdaten - Sponsoren'!A15,'Stammdaten - Schwimmer'!N$4:N$99)+SUMIF('Stammdaten - Schwimmer'!O$4:O$99,'Stammdaten - Sponsoren'!A15,'Stammdaten - Schwimmer'!R$4:R$99)+SUMIF('Stammdaten - Schwimmer'!S$4:S$99,'Stammdaten - Sponsoren'!A15,'Stammdaten - Schwimmer'!V$4:V$99)+SUMIF('Stammdaten - Schwimmer'!W$4:W$99,'Stammdaten - Sponsoren'!A15,'Stammdaten - Schwimmer'!Z$4:Z$99)</f>
        <v>20</v>
      </c>
      <c r="S13" s="5"/>
      <c r="T13" s="5"/>
      <c r="U13" s="5"/>
    </row>
    <row r="14" customFormat="false" ht="15" hidden="false" customHeight="false" outlineLevel="0" collapsed="false">
      <c r="A14" s="31" t="n">
        <f aca="false">'Stammdaten - Sponsoren'!A16</f>
        <v>1109</v>
      </c>
      <c r="B14" s="50" t="str">
        <f aca="false">'Stammdaten - Sponsoren'!B16</f>
        <v>Klich</v>
      </c>
      <c r="C14" s="50" t="str">
        <f aca="false">'Stammdaten - Sponsoren'!C16</f>
        <v>Karin</v>
      </c>
      <c r="D14" s="32" t="n">
        <f aca="false">SUMIF('Stammdaten - Schwimmer'!G$4:G$99,'Stammdaten - Sponsoren'!A16,'Stammdaten - Schwimmer'!J$4:J$99)+SUMIF('Stammdaten - Schwimmer'!K$4:K$99,'Stammdaten - Sponsoren'!A16,'Stammdaten - Schwimmer'!N$4:N$99)+SUMIF('Stammdaten - Schwimmer'!O$4:O$99,'Stammdaten - Sponsoren'!A16,'Stammdaten - Schwimmer'!R$4:R$99)+SUMIF('Stammdaten - Schwimmer'!S$4:S$99,'Stammdaten - Sponsoren'!A16,'Stammdaten - Schwimmer'!V$4:V$99)+SUMIF('Stammdaten - Schwimmer'!W$4:W$99,'Stammdaten - Sponsoren'!A16,'Stammdaten - Schwimmer'!Z$4:Z$99)</f>
        <v>20</v>
      </c>
    </row>
    <row r="15" customFormat="false" ht="15" hidden="false" customHeight="false" outlineLevel="0" collapsed="false">
      <c r="A15" s="31" t="n">
        <f aca="false">'Stammdaten - Sponsoren'!A17</f>
        <v>1110</v>
      </c>
      <c r="B15" s="50" t="str">
        <f aca="false">'Stammdaten - Sponsoren'!B7</f>
        <v>Symmetree GmbH</v>
      </c>
      <c r="C15" s="50" t="str">
        <f aca="false">'Stammdaten - Sponsoren'!C7</f>
        <v>James Hartman</v>
      </c>
      <c r="D15" s="32" t="n">
        <f aca="false">SUMIF('Stammdaten - Schwimmer'!G$4:G$99,'Stammdaten - Sponsoren'!A17,'Stammdaten - Schwimmer'!J$4:J$99)+SUMIF('Stammdaten - Schwimmer'!K$4:K$99,'Stammdaten - Sponsoren'!A17,'Stammdaten - Schwimmer'!N$4:N$99)+SUMIF('Stammdaten - Schwimmer'!O$4:O$99,'Stammdaten - Sponsoren'!A17,'Stammdaten - Schwimmer'!R$4:R$99)+SUMIF('Stammdaten - Schwimmer'!S$4:S$99,'Stammdaten - Sponsoren'!A17,'Stammdaten - Schwimmer'!V$4:V$99)+SUMIF('Stammdaten - Schwimmer'!W$4:W$99,'Stammdaten - Sponsoren'!A17,'Stammdaten - Schwimmer'!Z$4:Z$99)</f>
        <v>19</v>
      </c>
    </row>
    <row r="16" customFormat="false" ht="15" hidden="false" customHeight="false" outlineLevel="0" collapsed="false">
      <c r="A16" s="31" t="n">
        <f aca="false">'Stammdaten - Sponsoren'!A18</f>
        <v>1111</v>
      </c>
      <c r="B16" s="50" t="str">
        <f aca="false">'Stammdaten - Sponsoren'!B18</f>
        <v>Fischer</v>
      </c>
      <c r="C16" s="50" t="str">
        <f aca="false">'Stammdaten - Sponsoren'!C18</f>
        <v>Michael Fischer</v>
      </c>
      <c r="D16" s="32" t="n">
        <f aca="false">SUMIF('Stammdaten - Schwimmer'!G$4:G$99,'Stammdaten - Sponsoren'!A18,'Stammdaten - Schwimmer'!J$4:J$99)+SUMIF('Stammdaten - Schwimmer'!K$4:K$99,'Stammdaten - Sponsoren'!A18,'Stammdaten - Schwimmer'!N$4:N$99)+SUMIF('Stammdaten - Schwimmer'!O$4:O$99,'Stammdaten - Sponsoren'!A18,'Stammdaten - Schwimmer'!R$4:R$99)+SUMIF('Stammdaten - Schwimmer'!S$4:S$99,'Stammdaten - Sponsoren'!A18,'Stammdaten - Schwimmer'!V$4:V$99)+SUMIF('Stammdaten - Schwimmer'!W$4:W$99,'Stammdaten - Sponsoren'!A18,'Stammdaten - Schwimmer'!Z$4:Z$99)</f>
        <v>76</v>
      </c>
    </row>
    <row r="17" customFormat="false" ht="15" hidden="false" customHeight="false" outlineLevel="0" collapsed="false">
      <c r="A17" s="31" t="n">
        <f aca="false">'Stammdaten - Sponsoren'!A19</f>
        <v>1115</v>
      </c>
      <c r="B17" s="50" t="str">
        <f aca="false">'Stammdaten - Sponsoren'!B19</f>
        <v>Faigle</v>
      </c>
      <c r="C17" s="50" t="str">
        <f aca="false">'Stammdaten - Sponsoren'!C19</f>
        <v>Gustav</v>
      </c>
      <c r="D17" s="32" t="n">
        <f aca="false">SUMIF('Stammdaten - Schwimmer'!G$4:G$99,'Stammdaten - Sponsoren'!A19,'Stammdaten - Schwimmer'!J$4:J$99)+SUMIF('Stammdaten - Schwimmer'!K$4:K$99,'Stammdaten - Sponsoren'!A19,'Stammdaten - Schwimmer'!N$4:N$99)+SUMIF('Stammdaten - Schwimmer'!O$4:O$99,'Stammdaten - Sponsoren'!A19,'Stammdaten - Schwimmer'!R$4:R$99)+SUMIF('Stammdaten - Schwimmer'!S$4:S$99,'Stammdaten - Sponsoren'!A19,'Stammdaten - Schwimmer'!V$4:V$99)+SUMIF('Stammdaten - Schwimmer'!W$4:W$99,'Stammdaten - Sponsoren'!A19,'Stammdaten - Schwimmer'!Z$4:Z$99)</f>
        <v>25</v>
      </c>
    </row>
    <row r="18" customFormat="false" ht="15" hidden="false" customHeight="false" outlineLevel="0" collapsed="false">
      <c r="A18" s="31" t="n">
        <f aca="false">'Stammdaten - Sponsoren'!A20</f>
        <v>1117</v>
      </c>
      <c r="B18" s="50" t="str">
        <f aca="false">'Stammdaten - Sponsoren'!B20</f>
        <v>Schmid</v>
      </c>
      <c r="C18" s="50" t="str">
        <f aca="false">'Stammdaten - Sponsoren'!C20</f>
        <v>Christina</v>
      </c>
      <c r="D18" s="32" t="n">
        <f aca="false">SUMIF('Stammdaten - Schwimmer'!G$4:G$99,'Stammdaten - Sponsoren'!A20,'Stammdaten - Schwimmer'!J$4:J$99)+SUMIF('Stammdaten - Schwimmer'!K$4:K$99,'Stammdaten - Sponsoren'!A20,'Stammdaten - Schwimmer'!N$4:N$99)+SUMIF('Stammdaten - Schwimmer'!O$4:O$99,'Stammdaten - Sponsoren'!A20,'Stammdaten - Schwimmer'!R$4:R$99)+SUMIF('Stammdaten - Schwimmer'!S$4:S$99,'Stammdaten - Sponsoren'!A20,'Stammdaten - Schwimmer'!V$4:V$99)+SUMIF('Stammdaten - Schwimmer'!W$4:W$99,'Stammdaten - Sponsoren'!A20,'Stammdaten - Schwimmer'!Z$4:Z$99)</f>
        <v>22</v>
      </c>
    </row>
    <row r="19" customFormat="false" ht="15" hidden="false" customHeight="false" outlineLevel="0" collapsed="false">
      <c r="A19" s="31" t="n">
        <f aca="false">'Stammdaten - Sponsoren'!A21</f>
        <v>1118</v>
      </c>
      <c r="B19" s="50" t="str">
        <f aca="false">'Stammdaten - Sponsoren'!B21</f>
        <v>Schüle </v>
      </c>
      <c r="C19" s="50" t="str">
        <f aca="false">'Stammdaten - Sponsoren'!C21</f>
        <v>Else</v>
      </c>
      <c r="D19" s="32" t="n">
        <f aca="false">SUMIF('Stammdaten - Schwimmer'!G$4:G$99,'Stammdaten - Sponsoren'!A21,'Stammdaten - Schwimmer'!J$4:J$99)+SUMIF('Stammdaten - Schwimmer'!K$4:K$99,'Stammdaten - Sponsoren'!A21,'Stammdaten - Schwimmer'!N$4:N$99)+SUMIF('Stammdaten - Schwimmer'!O$4:O$99,'Stammdaten - Sponsoren'!A21,'Stammdaten - Schwimmer'!R$4:R$99)+SUMIF('Stammdaten - Schwimmer'!S$4:S$99,'Stammdaten - Sponsoren'!A21,'Stammdaten - Schwimmer'!V$4:V$99)+SUMIF('Stammdaten - Schwimmer'!W$4:W$99,'Stammdaten - Sponsoren'!A21,'Stammdaten - Schwimmer'!Z$4:Z$99)</f>
        <v>44</v>
      </c>
      <c r="N19" s="51"/>
      <c r="R19" s="51"/>
      <c r="S19" s="51"/>
      <c r="T19" s="51"/>
      <c r="U19" s="51"/>
    </row>
    <row r="20" customFormat="false" ht="15" hidden="false" customHeight="false" outlineLevel="0" collapsed="false">
      <c r="A20" s="31" t="n">
        <f aca="false">'Stammdaten - Sponsoren'!A22</f>
        <v>1119</v>
      </c>
      <c r="B20" s="50" t="str">
        <f aca="false">'Stammdaten - Sponsoren'!B22</f>
        <v>Buell</v>
      </c>
      <c r="C20" s="50" t="str">
        <f aca="false">'Stammdaten - Sponsoren'!C22</f>
        <v>Dorothee</v>
      </c>
      <c r="D20" s="32" t="n">
        <f aca="false">SUMIF('Stammdaten - Schwimmer'!G$4:G$99,'Stammdaten - Sponsoren'!A22,'Stammdaten - Schwimmer'!J$4:J$99)+SUMIF('Stammdaten - Schwimmer'!K$4:K$99,'Stammdaten - Sponsoren'!A22,'Stammdaten - Schwimmer'!N$4:N$99)+SUMIF('Stammdaten - Schwimmer'!O$4:O$99,'Stammdaten - Sponsoren'!A22,'Stammdaten - Schwimmer'!R$4:R$99)+SUMIF('Stammdaten - Schwimmer'!S$4:S$99,'Stammdaten - Sponsoren'!A22,'Stammdaten - Schwimmer'!V$4:V$99)+SUMIF('Stammdaten - Schwimmer'!W$4:W$99,'Stammdaten - Sponsoren'!A22,'Stammdaten - Schwimmer'!Z$4:Z$99)</f>
        <v>44</v>
      </c>
      <c r="S20" s="5"/>
      <c r="T20" s="5"/>
      <c r="U20" s="5"/>
    </row>
    <row r="21" customFormat="false" ht="15" hidden="false" customHeight="false" outlineLevel="0" collapsed="false">
      <c r="A21" s="31" t="n">
        <f aca="false">'Stammdaten - Sponsoren'!A23</f>
        <v>1121</v>
      </c>
      <c r="B21" s="50" t="str">
        <f aca="false">'Stammdaten - Sponsoren'!B23</f>
        <v>Wohlers</v>
      </c>
      <c r="C21" s="50" t="str">
        <f aca="false">'Stammdaten - Sponsoren'!C23</f>
        <v>Jan</v>
      </c>
      <c r="D21" s="32" t="n">
        <f aca="false">SUMIF('Stammdaten - Schwimmer'!G$4:G$99,'Stammdaten - Sponsoren'!A23,'Stammdaten - Schwimmer'!J$4:J$99)+SUMIF('Stammdaten - Schwimmer'!K$4:K$99,'Stammdaten - Sponsoren'!A23,'Stammdaten - Schwimmer'!N$4:N$99)+SUMIF('Stammdaten - Schwimmer'!O$4:O$99,'Stammdaten - Sponsoren'!A23,'Stammdaten - Schwimmer'!R$4:R$99)+SUMIF('Stammdaten - Schwimmer'!S$4:S$99,'Stammdaten - Sponsoren'!A23,'Stammdaten - Schwimmer'!V$4:V$99)+SUMIF('Stammdaten - Schwimmer'!W$4:W$99,'Stammdaten - Sponsoren'!A23,'Stammdaten - Schwimmer'!Z$4:Z$99)</f>
        <v>38</v>
      </c>
      <c r="S21" s="5"/>
      <c r="T21" s="5"/>
      <c r="U21" s="5"/>
    </row>
    <row r="22" customFormat="false" ht="15" hidden="false" customHeight="false" outlineLevel="0" collapsed="false">
      <c r="A22" s="31" t="n">
        <f aca="false">'Stammdaten - Sponsoren'!A24</f>
        <v>1123</v>
      </c>
      <c r="B22" s="50" t="str">
        <f aca="false">'Stammdaten - Sponsoren'!B24</f>
        <v>Fritz</v>
      </c>
      <c r="C22" s="50" t="str">
        <f aca="false">'Stammdaten - Sponsoren'!C24</f>
        <v>Lukas</v>
      </c>
      <c r="D22" s="32" t="n">
        <f aca="false">SUMIF('Stammdaten - Schwimmer'!G$4:G$99,'Stammdaten - Sponsoren'!A24,'Stammdaten - Schwimmer'!J$4:J$99)+SUMIF('Stammdaten - Schwimmer'!K$4:K$99,'Stammdaten - Sponsoren'!A24,'Stammdaten - Schwimmer'!N$4:N$99)+SUMIF('Stammdaten - Schwimmer'!O$4:O$99,'Stammdaten - Sponsoren'!A24,'Stammdaten - Schwimmer'!R$4:R$99)+SUMIF('Stammdaten - Schwimmer'!S$4:S$99,'Stammdaten - Sponsoren'!A24,'Stammdaten - Schwimmer'!V$4:V$99)+SUMIF('Stammdaten - Schwimmer'!W$4:W$99,'Stammdaten - Sponsoren'!A24,'Stammdaten - Schwimmer'!Z$4:Z$99)</f>
        <v>230</v>
      </c>
      <c r="S22" s="5"/>
      <c r="T22" s="5"/>
      <c r="U22" s="5"/>
    </row>
    <row r="23" customFormat="false" ht="15" hidden="false" customHeight="false" outlineLevel="0" collapsed="false">
      <c r="A23" s="31" t="n">
        <f aca="false">'Stammdaten - Sponsoren'!A25</f>
        <v>1124</v>
      </c>
      <c r="B23" s="50" t="str">
        <f aca="false">'Stammdaten - Sponsoren'!B25</f>
        <v>Franz</v>
      </c>
      <c r="C23" s="50" t="str">
        <f aca="false">'Stammdaten - Sponsoren'!C25</f>
        <v>Franziska</v>
      </c>
      <c r="D23" s="32" t="n">
        <f aca="false">SUMIF('Stammdaten - Schwimmer'!G$4:G$99,'Stammdaten - Sponsoren'!A25,'Stammdaten - Schwimmer'!J$4:J$99)+SUMIF('Stammdaten - Schwimmer'!K$4:K$99,'Stammdaten - Sponsoren'!A25,'Stammdaten - Schwimmer'!N$4:N$99)+SUMIF('Stammdaten - Schwimmer'!O$4:O$99,'Stammdaten - Sponsoren'!A25,'Stammdaten - Schwimmer'!R$4:R$99)+SUMIF('Stammdaten - Schwimmer'!S$4:S$99,'Stammdaten - Sponsoren'!A25,'Stammdaten - Schwimmer'!V$4:V$99)+SUMIF('Stammdaten - Schwimmer'!W$4:W$99,'Stammdaten - Sponsoren'!A25,'Stammdaten - Schwimmer'!Z$4:Z$99)</f>
        <v>32</v>
      </c>
      <c r="J23" s="1"/>
      <c r="S23" s="5"/>
      <c r="T23" s="5"/>
      <c r="U23" s="5"/>
    </row>
    <row r="24" customFormat="false" ht="15" hidden="false" customHeight="false" outlineLevel="0" collapsed="false">
      <c r="A24" s="31" t="n">
        <f aca="false">'Stammdaten - Sponsoren'!A26</f>
        <v>1126</v>
      </c>
      <c r="B24" s="50" t="str">
        <f aca="false">'Stammdaten - Sponsoren'!B26</f>
        <v>Mauer</v>
      </c>
      <c r="C24" s="50" t="str">
        <f aca="false">'Stammdaten - Sponsoren'!C26</f>
        <v>familie</v>
      </c>
      <c r="D24" s="32" t="n">
        <f aca="false">SUMIF('Stammdaten - Schwimmer'!G$4:G$99,'Stammdaten - Sponsoren'!A26,'Stammdaten - Schwimmer'!J$4:J$99)+SUMIF('Stammdaten - Schwimmer'!K$4:K$99,'Stammdaten - Sponsoren'!A26,'Stammdaten - Schwimmer'!N$4:N$99)+SUMIF('Stammdaten - Schwimmer'!O$4:O$99,'Stammdaten - Sponsoren'!A26,'Stammdaten - Schwimmer'!R$4:R$99)+SUMIF('Stammdaten - Schwimmer'!S$4:S$99,'Stammdaten - Sponsoren'!A26,'Stammdaten - Schwimmer'!V$4:V$99)+SUMIF('Stammdaten - Schwimmer'!W$4:W$99,'Stammdaten - Sponsoren'!A26,'Stammdaten - Schwimmer'!Z$4:Z$99)</f>
        <v>87</v>
      </c>
      <c r="J24" s="1"/>
      <c r="S24" s="5"/>
      <c r="T24" s="5"/>
      <c r="U24" s="5"/>
    </row>
    <row r="25" customFormat="false" ht="15" hidden="false" customHeight="false" outlineLevel="0" collapsed="false">
      <c r="A25" s="31" t="n">
        <f aca="false">'Stammdaten - Sponsoren'!A27</f>
        <v>1127</v>
      </c>
      <c r="B25" s="50" t="str">
        <f aca="false">'Stammdaten - Sponsoren'!B27</f>
        <v>Collmer</v>
      </c>
      <c r="C25" s="50" t="str">
        <f aca="false">'Stammdaten - Sponsoren'!C27</f>
        <v>Andreas</v>
      </c>
      <c r="D25" s="32" t="n">
        <f aca="false">SUMIF('Stammdaten - Schwimmer'!G$4:G$99,'Stammdaten - Sponsoren'!A27,'Stammdaten - Schwimmer'!J$4:J$99)+SUMIF('Stammdaten - Schwimmer'!K$4:K$99,'Stammdaten - Sponsoren'!A27,'Stammdaten - Schwimmer'!N$4:N$99)+SUMIF('Stammdaten - Schwimmer'!O$4:O$99,'Stammdaten - Sponsoren'!A27,'Stammdaten - Schwimmer'!R$4:R$99)+SUMIF('Stammdaten - Schwimmer'!S$4:S$99,'Stammdaten - Sponsoren'!A27,'Stammdaten - Schwimmer'!V$4:V$99)+SUMIF('Stammdaten - Schwimmer'!W$4:W$99,'Stammdaten - Sponsoren'!A27,'Stammdaten - Schwimmer'!Z$4:Z$99)</f>
        <v>160</v>
      </c>
      <c r="J25" s="1"/>
    </row>
    <row r="26" customFormat="false" ht="15" hidden="false" customHeight="false" outlineLevel="0" collapsed="false">
      <c r="A26" s="31" t="n">
        <f aca="false">'Stammdaten - Sponsoren'!A28</f>
        <v>1128</v>
      </c>
      <c r="B26" s="50" t="str">
        <f aca="false">'Stammdaten - Sponsoren'!B28</f>
        <v>Valesco</v>
      </c>
      <c r="C26" s="50" t="str">
        <f aca="false">'Stammdaten - Sponsoren'!C28</f>
        <v>Silvia</v>
      </c>
      <c r="D26" s="32" t="n">
        <f aca="false">SUMIF('Stammdaten - Schwimmer'!G$4:G$99,'Stammdaten - Sponsoren'!A28,'Stammdaten - Schwimmer'!J$4:J$99)+SUMIF('Stammdaten - Schwimmer'!K$4:K$99,'Stammdaten - Sponsoren'!A28,'Stammdaten - Schwimmer'!N$4:N$99)+SUMIF('Stammdaten - Schwimmer'!O$4:O$99,'Stammdaten - Sponsoren'!A28,'Stammdaten - Schwimmer'!R$4:R$99)+SUMIF('Stammdaten - Schwimmer'!S$4:S$99,'Stammdaten - Sponsoren'!A28,'Stammdaten - Schwimmer'!V$4:V$99)+SUMIF('Stammdaten - Schwimmer'!W$4:W$99,'Stammdaten - Sponsoren'!A28,'Stammdaten - Schwimmer'!Z$4:Z$99)</f>
        <v>130</v>
      </c>
      <c r="J26" s="1"/>
    </row>
    <row r="27" customFormat="false" ht="15" hidden="false" customHeight="false" outlineLevel="0" collapsed="false">
      <c r="A27" s="31" t="n">
        <f aca="false">'Stammdaten - Sponsoren'!A29</f>
        <v>1129</v>
      </c>
      <c r="B27" s="50" t="str">
        <f aca="false">'Stammdaten - Sponsoren'!B29</f>
        <v>Tutsch</v>
      </c>
      <c r="C27" s="50" t="str">
        <f aca="false">'Stammdaten - Sponsoren'!C29</f>
        <v>Daniel</v>
      </c>
      <c r="D27" s="32" t="n">
        <f aca="false">SUMIF('Stammdaten - Schwimmer'!G$4:G$99,'Stammdaten - Sponsoren'!A29,'Stammdaten - Schwimmer'!J$4:J$99)+SUMIF('Stammdaten - Schwimmer'!K$4:K$99,'Stammdaten - Sponsoren'!A29,'Stammdaten - Schwimmer'!N$4:N$99)+SUMIF('Stammdaten - Schwimmer'!O$4:O$99,'Stammdaten - Sponsoren'!A29,'Stammdaten - Schwimmer'!R$4:R$99)+SUMIF('Stammdaten - Schwimmer'!S$4:S$99,'Stammdaten - Sponsoren'!A29,'Stammdaten - Schwimmer'!V$4:V$99)+SUMIF('Stammdaten - Schwimmer'!W$4:W$99,'Stammdaten - Sponsoren'!A29,'Stammdaten - Schwimmer'!Z$4:Z$99)</f>
        <v>168</v>
      </c>
      <c r="J27" s="1"/>
    </row>
    <row r="28" customFormat="false" ht="15" hidden="false" customHeight="false" outlineLevel="0" collapsed="false">
      <c r="A28" s="31" t="n">
        <f aca="false">'Stammdaten - Sponsoren'!A30</f>
        <v>1130</v>
      </c>
      <c r="B28" s="50" t="str">
        <f aca="false">'Stammdaten - Sponsoren'!B30</f>
        <v>Weingartner</v>
      </c>
      <c r="C28" s="50" t="str">
        <f aca="false">'Stammdaten - Sponsoren'!C30</f>
        <v>Sibyllle</v>
      </c>
      <c r="D28" s="32" t="n">
        <f aca="false">SUMIF('Stammdaten - Schwimmer'!G$4:G$99,'Stammdaten - Sponsoren'!A30,'Stammdaten - Schwimmer'!J$4:J$99)+SUMIF('Stammdaten - Schwimmer'!K$4:K$99,'Stammdaten - Sponsoren'!A30,'Stammdaten - Schwimmer'!N$4:N$99)+SUMIF('Stammdaten - Schwimmer'!O$4:O$99,'Stammdaten - Sponsoren'!A30,'Stammdaten - Schwimmer'!R$4:R$99)+SUMIF('Stammdaten - Schwimmer'!S$4:S$99,'Stammdaten - Sponsoren'!A30,'Stammdaten - Schwimmer'!V$4:V$99)+SUMIF('Stammdaten - Schwimmer'!W$4:W$99,'Stammdaten - Sponsoren'!A30,'Stammdaten - Schwimmer'!Z$4:Z$99)</f>
        <v>50</v>
      </c>
      <c r="J28" s="1"/>
    </row>
    <row r="29" customFormat="false" ht="15" hidden="false" customHeight="false" outlineLevel="0" collapsed="false">
      <c r="A29" s="31" t="n">
        <f aca="false">'Stammdaten - Sponsoren'!A31</f>
        <v>1131</v>
      </c>
      <c r="B29" s="50" t="str">
        <f aca="false">'Stammdaten - Sponsoren'!B31</f>
        <v>Glaser</v>
      </c>
      <c r="C29" s="50" t="n">
        <f aca="false">'Stammdaten - Sponsoren'!C31</f>
        <v>0</v>
      </c>
      <c r="D29" s="32" t="n">
        <f aca="false">SUMIF('Stammdaten - Schwimmer'!G$4:G$99,'Stammdaten - Sponsoren'!A31,'Stammdaten - Schwimmer'!J$4:J$99)+SUMIF('Stammdaten - Schwimmer'!K$4:K$99,'Stammdaten - Sponsoren'!A31,'Stammdaten - Schwimmer'!N$4:N$99)+SUMIF('Stammdaten - Schwimmer'!O$4:O$99,'Stammdaten - Sponsoren'!A31,'Stammdaten - Schwimmer'!R$4:R$99)+SUMIF('Stammdaten - Schwimmer'!S$4:S$99,'Stammdaten - Sponsoren'!A31,'Stammdaten - Schwimmer'!V$4:V$99)+SUMIF('Stammdaten - Schwimmer'!W$4:W$99,'Stammdaten - Sponsoren'!A31,'Stammdaten - Schwimmer'!Z$4:Z$99)</f>
        <v>10</v>
      </c>
      <c r="J29" s="1"/>
    </row>
    <row r="30" customFormat="false" ht="15" hidden="false" customHeight="false" outlineLevel="0" collapsed="false">
      <c r="A30" s="31" t="n">
        <f aca="false">'Stammdaten - Sponsoren'!A32</f>
        <v>1132</v>
      </c>
      <c r="B30" s="50" t="str">
        <f aca="false">'Stammdaten - Sponsoren'!B32</f>
        <v>Irion</v>
      </c>
      <c r="C30" s="50" t="str">
        <f aca="false">'Stammdaten - Sponsoren'!C32</f>
        <v>Christoph</v>
      </c>
      <c r="D30" s="32" t="n">
        <f aca="false">SUMIF('Stammdaten - Schwimmer'!G$4:G$104,'Stammdaten - Sponsoren'!A32,'Stammdaten - Schwimmer'!J$4:J$104)+SUMIF('Stammdaten - Schwimmer'!K$4:K$104,'Stammdaten - Sponsoren'!A32,'Stammdaten - Schwimmer'!N$4:N$104)+SUMIF('Stammdaten - Schwimmer'!O$4:O$104,'Stammdaten - Sponsoren'!A32,'Stammdaten - Schwimmer'!R$4:R$104)+SUMIF('Stammdaten - Schwimmer'!S$4:S$104,'Stammdaten - Sponsoren'!A32,'Stammdaten - Schwimmer'!V$4:V$104)+SUMIF('Stammdaten - Schwimmer'!W$4:W$104,'Stammdaten - Sponsoren'!A32,'Stammdaten - Schwimmer'!Z$4:Z$104)</f>
        <v>96</v>
      </c>
      <c r="J30" s="1"/>
    </row>
    <row r="31" customFormat="false" ht="15" hidden="false" customHeight="false" outlineLevel="0" collapsed="false">
      <c r="A31" s="31" t="n">
        <f aca="false">'Stammdaten - Sponsoren'!A33</f>
        <v>1133</v>
      </c>
      <c r="B31" s="50" t="str">
        <f aca="false">'Stammdaten - Sponsoren'!B33</f>
        <v>Hornbach-Kasswm</v>
      </c>
      <c r="C31" s="50" t="n">
        <f aca="false">'Stammdaten - Sponsoren'!C33</f>
        <v>0</v>
      </c>
      <c r="D31" s="32" t="n">
        <f aca="false">SUMIF('Stammdaten - Schwimmer'!G$4:G$99,'Stammdaten - Sponsoren'!A33,'Stammdaten - Schwimmer'!J$4:J$99)+SUMIF('Stammdaten - Schwimmer'!K$4:K$99,'Stammdaten - Sponsoren'!A33,'Stammdaten - Schwimmer'!N$4:N$99)+SUMIF('Stammdaten - Schwimmer'!O$4:O$99,'Stammdaten - Sponsoren'!A33,'Stammdaten - Schwimmer'!R$4:R$99)+SUMIF('Stammdaten - Schwimmer'!S$4:S$99,'Stammdaten - Sponsoren'!A33,'Stammdaten - Schwimmer'!V$4:V$99)+SUMIF('Stammdaten - Schwimmer'!W$4:W$99,'Stammdaten - Sponsoren'!A33,'Stammdaten - Schwimmer'!Z$4:Z$99)</f>
        <v>40</v>
      </c>
      <c r="J31" s="1"/>
    </row>
    <row r="32" customFormat="false" ht="15" hidden="false" customHeight="false" outlineLevel="0" collapsed="false">
      <c r="A32" s="31"/>
      <c r="B32" s="50"/>
      <c r="C32" s="52"/>
      <c r="D32" s="53"/>
      <c r="J32" s="1"/>
    </row>
    <row r="33" customFormat="false" ht="15" hidden="false" customHeight="false" outlineLevel="0" collapsed="false">
      <c r="A33" s="31"/>
      <c r="B33" s="50"/>
      <c r="C33" s="50" t="s">
        <v>200</v>
      </c>
      <c r="D33" s="32" t="n">
        <f aca="false">SUM(D4:D32)</f>
        <v>2496</v>
      </c>
      <c r="J33" s="1"/>
    </row>
    <row r="34" customFormat="false" ht="15" hidden="false" customHeight="false" outlineLevel="0" collapsed="false">
      <c r="A34" s="31"/>
      <c r="B34" s="50"/>
      <c r="C34" s="50"/>
      <c r="D34" s="32"/>
      <c r="J34" s="1"/>
    </row>
    <row r="35" customFormat="false" ht="15" hidden="false" customHeight="false" outlineLevel="0" collapsed="false">
      <c r="A35" s="31"/>
      <c r="B35" s="50"/>
      <c r="C35" s="50"/>
      <c r="D35" s="32"/>
      <c r="J35" s="1"/>
    </row>
    <row r="36" customFormat="false" ht="15" hidden="false" customHeight="false" outlineLevel="0" collapsed="false">
      <c r="A36" s="31"/>
      <c r="B36" s="50"/>
      <c r="C36" s="50"/>
      <c r="D36" s="32"/>
      <c r="J36" s="1"/>
    </row>
    <row r="37" customFormat="false" ht="15" hidden="false" customHeight="false" outlineLevel="0" collapsed="false">
      <c r="A37" s="31"/>
      <c r="B37" s="50"/>
      <c r="C37" s="50"/>
      <c r="D37" s="32"/>
      <c r="J37" s="1"/>
    </row>
    <row r="38" customFormat="false" ht="15" hidden="false" customHeight="false" outlineLevel="0" collapsed="false">
      <c r="A38" s="31"/>
      <c r="B38" s="50"/>
      <c r="C38" s="50"/>
      <c r="D38" s="32"/>
      <c r="J38" s="1"/>
    </row>
    <row r="39" customFormat="false" ht="15" hidden="false" customHeight="false" outlineLevel="0" collapsed="false">
      <c r="A39" s="31"/>
      <c r="B39" s="50"/>
      <c r="C39" s="50"/>
      <c r="D39" s="32"/>
      <c r="J39" s="1"/>
    </row>
    <row r="40" customFormat="false" ht="15" hidden="false" customHeight="false" outlineLevel="0" collapsed="false">
      <c r="A40" s="31"/>
      <c r="B40" s="50"/>
      <c r="C40" s="50"/>
      <c r="D40" s="32"/>
      <c r="J40" s="1"/>
    </row>
    <row r="41" customFormat="false" ht="15" hidden="false" customHeight="false" outlineLevel="0" collapsed="false">
      <c r="A41" s="31"/>
      <c r="B41" s="50"/>
      <c r="C41" s="50"/>
      <c r="D41" s="32"/>
      <c r="J41" s="1"/>
    </row>
    <row r="42" customFormat="false" ht="15" hidden="false" customHeight="false" outlineLevel="0" collapsed="false">
      <c r="A42" s="31"/>
      <c r="B42" s="50"/>
      <c r="C42" s="50"/>
      <c r="D42" s="32"/>
      <c r="J42" s="1"/>
    </row>
    <row r="43" customFormat="false" ht="15" hidden="false" customHeight="false" outlineLevel="0" collapsed="false">
      <c r="A43" s="31"/>
      <c r="B43" s="50"/>
      <c r="C43" s="50"/>
      <c r="D43" s="32"/>
      <c r="J43" s="1"/>
    </row>
    <row r="44" customFormat="false" ht="15" hidden="false" customHeight="false" outlineLevel="0" collapsed="false">
      <c r="A44" s="31"/>
      <c r="B44" s="50"/>
      <c r="C44" s="50"/>
      <c r="D44" s="32"/>
      <c r="J44" s="1"/>
    </row>
    <row r="45" customFormat="false" ht="15" hidden="false" customHeight="false" outlineLevel="0" collapsed="false">
      <c r="A45" s="31"/>
      <c r="B45" s="50"/>
      <c r="C45" s="50"/>
      <c r="D45" s="32"/>
      <c r="J45" s="1"/>
    </row>
    <row r="46" customFormat="false" ht="15" hidden="false" customHeight="false" outlineLevel="0" collapsed="false">
      <c r="A46" s="31"/>
      <c r="B46" s="50"/>
      <c r="C46" s="50"/>
      <c r="D46" s="32"/>
      <c r="J46" s="1"/>
    </row>
    <row r="47" customFormat="false" ht="15" hidden="false" customHeight="false" outlineLevel="0" collapsed="false">
      <c r="A47" s="31"/>
      <c r="B47" s="50"/>
      <c r="C47" s="50"/>
      <c r="D47" s="32"/>
      <c r="J47" s="1"/>
    </row>
    <row r="48" customFormat="false" ht="15" hidden="false" customHeight="false" outlineLevel="0" collapsed="false">
      <c r="A48" s="31"/>
      <c r="B48" s="50"/>
      <c r="C48" s="50"/>
      <c r="D48" s="32"/>
      <c r="J48" s="1"/>
    </row>
    <row r="49" customFormat="false" ht="15" hidden="false" customHeight="false" outlineLevel="0" collapsed="false">
      <c r="A49" s="31"/>
      <c r="B49" s="50"/>
      <c r="C49" s="50"/>
      <c r="D49" s="32"/>
      <c r="J49" s="1"/>
    </row>
    <row r="50" customFormat="false" ht="15" hidden="false" customHeight="false" outlineLevel="0" collapsed="false">
      <c r="A50" s="31"/>
      <c r="B50" s="50"/>
      <c r="C50" s="50"/>
      <c r="D50" s="32"/>
      <c r="J50" s="1"/>
    </row>
    <row r="51" customFormat="false" ht="15" hidden="false" customHeight="false" outlineLevel="0" collapsed="false">
      <c r="A51" s="31"/>
      <c r="B51" s="50"/>
      <c r="C51" s="50"/>
      <c r="D51" s="32"/>
      <c r="J51" s="1"/>
    </row>
    <row r="52" customFormat="false" ht="15" hidden="false" customHeight="false" outlineLevel="0" collapsed="false">
      <c r="A52" s="31"/>
      <c r="B52" s="50"/>
      <c r="C52" s="50"/>
      <c r="D52" s="32"/>
      <c r="J52" s="1"/>
    </row>
    <row r="53" customFormat="false" ht="15" hidden="false" customHeight="false" outlineLevel="0" collapsed="false">
      <c r="A53" s="31"/>
      <c r="B53" s="50"/>
      <c r="C53" s="50"/>
      <c r="D53" s="32"/>
      <c r="J53" s="1"/>
    </row>
    <row r="54" customFormat="false" ht="15" hidden="false" customHeight="false" outlineLevel="0" collapsed="false">
      <c r="A54" s="31"/>
      <c r="B54" s="50"/>
      <c r="C54" s="50"/>
      <c r="D54" s="32"/>
      <c r="J54" s="1"/>
    </row>
    <row r="55" customFormat="false" ht="15" hidden="false" customHeight="false" outlineLevel="0" collapsed="false">
      <c r="A55" s="31"/>
      <c r="B55" s="50"/>
      <c r="C55" s="50"/>
      <c r="D55" s="32"/>
      <c r="J55" s="1"/>
    </row>
    <row r="56" customFormat="false" ht="15" hidden="false" customHeight="false" outlineLevel="0" collapsed="false">
      <c r="A56" s="31"/>
      <c r="B56" s="50"/>
      <c r="C56" s="50"/>
      <c r="D56" s="32"/>
      <c r="J56" s="1"/>
    </row>
    <row r="57" customFormat="false" ht="15" hidden="false" customHeight="false" outlineLevel="0" collapsed="false">
      <c r="A57" s="31"/>
      <c r="B57" s="50"/>
      <c r="C57" s="50"/>
      <c r="D57" s="32"/>
      <c r="J57" s="1"/>
    </row>
    <row r="58" customFormat="false" ht="15" hidden="false" customHeight="false" outlineLevel="0" collapsed="false">
      <c r="A58" s="31"/>
      <c r="B58" s="50"/>
      <c r="C58" s="50"/>
      <c r="D58" s="32"/>
      <c r="J58" s="1"/>
    </row>
    <row r="59" customFormat="false" ht="15" hidden="false" customHeight="false" outlineLevel="0" collapsed="false">
      <c r="A59" s="31"/>
      <c r="B59" s="50"/>
      <c r="C59" s="50"/>
      <c r="D59" s="32"/>
      <c r="J59" s="1"/>
    </row>
    <row r="60" customFormat="false" ht="15" hidden="false" customHeight="false" outlineLevel="0" collapsed="false">
      <c r="A60" s="31"/>
      <c r="B60" s="50"/>
      <c r="C60" s="50"/>
      <c r="D60" s="32"/>
      <c r="J60" s="1"/>
    </row>
    <row r="61" customFormat="false" ht="15" hidden="false" customHeight="false" outlineLevel="0" collapsed="false">
      <c r="A61" s="31"/>
      <c r="B61" s="50"/>
      <c r="C61" s="50"/>
      <c r="D61" s="32"/>
      <c r="J61" s="1"/>
    </row>
    <row r="62" customFormat="false" ht="15" hidden="false" customHeight="false" outlineLevel="0" collapsed="false">
      <c r="A62" s="31"/>
      <c r="B62" s="50"/>
      <c r="C62" s="50"/>
      <c r="D62" s="32"/>
      <c r="J62" s="1"/>
    </row>
    <row r="63" customFormat="false" ht="15" hidden="false" customHeight="false" outlineLevel="0" collapsed="false">
      <c r="A63" s="31"/>
      <c r="B63" s="50"/>
      <c r="C63" s="50"/>
      <c r="D63" s="32"/>
      <c r="J63" s="1"/>
    </row>
    <row r="64" customFormat="false" ht="15" hidden="false" customHeight="false" outlineLevel="0" collapsed="false">
      <c r="A64" s="31"/>
      <c r="B64" s="50"/>
      <c r="C64" s="50"/>
      <c r="D64" s="32"/>
      <c r="J64" s="1"/>
    </row>
    <row r="65" customFormat="false" ht="15" hidden="false" customHeight="false" outlineLevel="0" collapsed="false">
      <c r="A65" s="31"/>
      <c r="B65" s="50"/>
      <c r="C65" s="50"/>
      <c r="D65" s="32"/>
      <c r="J65" s="1"/>
    </row>
    <row r="66" customFormat="false" ht="15" hidden="false" customHeight="false" outlineLevel="0" collapsed="false">
      <c r="A66" s="31"/>
      <c r="B66" s="50"/>
      <c r="C66" s="50"/>
      <c r="D66" s="32"/>
    </row>
    <row r="67" customFormat="false" ht="15" hidden="false" customHeight="false" outlineLevel="0" collapsed="false">
      <c r="A67" s="31"/>
      <c r="B67" s="50"/>
      <c r="C67" s="50"/>
      <c r="D67" s="32"/>
    </row>
    <row r="68" customFormat="false" ht="15" hidden="false" customHeight="false" outlineLevel="0" collapsed="false">
      <c r="A68" s="31"/>
      <c r="B68" s="50"/>
      <c r="C68" s="50"/>
      <c r="D68" s="32"/>
    </row>
    <row r="69" customFormat="false" ht="15" hidden="false" customHeight="false" outlineLevel="0" collapsed="false">
      <c r="A69" s="31"/>
      <c r="B69" s="50"/>
      <c r="C69" s="50"/>
      <c r="D69" s="32"/>
    </row>
    <row r="70" customFormat="false" ht="15" hidden="false" customHeight="false" outlineLevel="0" collapsed="false">
      <c r="A70" s="31"/>
      <c r="B70" s="50"/>
      <c r="C70" s="50"/>
      <c r="D70" s="32"/>
    </row>
    <row r="71" customFormat="false" ht="15" hidden="false" customHeight="false" outlineLevel="0" collapsed="false">
      <c r="A71" s="31"/>
      <c r="B71" s="50"/>
      <c r="C71" s="50"/>
      <c r="D71" s="32"/>
    </row>
    <row r="72" customFormat="false" ht="15" hidden="false" customHeight="false" outlineLevel="0" collapsed="false">
      <c r="A72" s="31"/>
      <c r="B72" s="50"/>
      <c r="C72" s="50"/>
      <c r="D72" s="32"/>
    </row>
    <row r="73" customFormat="false" ht="15" hidden="false" customHeight="false" outlineLevel="0" collapsed="false">
      <c r="A73" s="31"/>
      <c r="B73" s="50"/>
      <c r="C73" s="50"/>
      <c r="D73" s="32"/>
    </row>
    <row r="74" customFormat="false" ht="15" hidden="false" customHeight="false" outlineLevel="0" collapsed="false">
      <c r="A74" s="31"/>
      <c r="B74" s="50"/>
      <c r="C74" s="50"/>
      <c r="D74" s="32"/>
    </row>
    <row r="75" customFormat="false" ht="15" hidden="false" customHeight="false" outlineLevel="0" collapsed="false">
      <c r="A75" s="31"/>
      <c r="B75" s="50"/>
      <c r="C75" s="50"/>
      <c r="D75" s="32"/>
    </row>
    <row r="76" customFormat="false" ht="15" hidden="false" customHeight="false" outlineLevel="0" collapsed="false">
      <c r="A76" s="31"/>
      <c r="B76" s="50"/>
      <c r="C76" s="50"/>
      <c r="D76" s="32"/>
    </row>
    <row r="77" customFormat="false" ht="15" hidden="false" customHeight="false" outlineLevel="0" collapsed="false">
      <c r="A77" s="31"/>
      <c r="B77" s="50"/>
      <c r="C77" s="50"/>
      <c r="D77" s="32"/>
    </row>
    <row r="78" customFormat="false" ht="15" hidden="false" customHeight="false" outlineLevel="0" collapsed="false">
      <c r="A78" s="31"/>
      <c r="B78" s="50"/>
      <c r="C78" s="50"/>
      <c r="D78" s="32"/>
    </row>
    <row r="79" customFormat="false" ht="15" hidden="false" customHeight="false" outlineLevel="0" collapsed="false">
      <c r="A79" s="31"/>
      <c r="B79" s="50"/>
      <c r="C79" s="50"/>
      <c r="D79" s="32"/>
    </row>
    <row r="80" customFormat="false" ht="15" hidden="false" customHeight="false" outlineLevel="0" collapsed="false">
      <c r="A80" s="31"/>
      <c r="B80" s="50"/>
      <c r="C80" s="50"/>
      <c r="D80" s="32"/>
    </row>
    <row r="81" customFormat="false" ht="15" hidden="false" customHeight="false" outlineLevel="0" collapsed="false">
      <c r="A81" s="31"/>
      <c r="B81" s="50"/>
      <c r="C81" s="50"/>
      <c r="D81" s="32"/>
    </row>
    <row r="82" customFormat="false" ht="15" hidden="false" customHeight="false" outlineLevel="0" collapsed="false">
      <c r="A82" s="31"/>
      <c r="B82" s="50"/>
      <c r="C82" s="50"/>
      <c r="D82" s="32"/>
    </row>
    <row r="83" customFormat="false" ht="15" hidden="false" customHeight="false" outlineLevel="0" collapsed="false">
      <c r="A83" s="31"/>
      <c r="B83" s="50"/>
      <c r="C83" s="50"/>
      <c r="D83" s="32"/>
    </row>
    <row r="84" customFormat="false" ht="15" hidden="false" customHeight="false" outlineLevel="0" collapsed="false">
      <c r="A84" s="31"/>
      <c r="B84" s="50"/>
      <c r="C84" s="50"/>
      <c r="D84" s="32"/>
    </row>
    <row r="85" customFormat="false" ht="15" hidden="false" customHeight="false" outlineLevel="0" collapsed="false">
      <c r="A85" s="31"/>
      <c r="B85" s="50"/>
      <c r="C85" s="50"/>
      <c r="D85" s="32"/>
    </row>
    <row r="86" customFormat="false" ht="15" hidden="false" customHeight="false" outlineLevel="0" collapsed="false">
      <c r="A86" s="31"/>
      <c r="B86" s="50"/>
      <c r="C86" s="50"/>
      <c r="D86" s="32"/>
    </row>
    <row r="87" customFormat="false" ht="15" hidden="false" customHeight="false" outlineLevel="0" collapsed="false">
      <c r="A87" s="31"/>
      <c r="B87" s="50"/>
      <c r="C87" s="50"/>
      <c r="D87" s="32"/>
    </row>
    <row r="88" customFormat="false" ht="15" hidden="false" customHeight="false" outlineLevel="0" collapsed="false">
      <c r="A88" s="31"/>
      <c r="B88" s="50"/>
      <c r="C88" s="50"/>
      <c r="D88" s="32"/>
    </row>
    <row r="89" customFormat="false" ht="15" hidden="false" customHeight="false" outlineLevel="0" collapsed="false">
      <c r="A89" s="31"/>
      <c r="B89" s="50"/>
      <c r="C89" s="50"/>
      <c r="D89" s="32"/>
    </row>
    <row r="90" customFormat="false" ht="15" hidden="false" customHeight="false" outlineLevel="0" collapsed="false">
      <c r="A90" s="31"/>
      <c r="B90" s="50"/>
      <c r="C90" s="50"/>
      <c r="D90" s="32"/>
    </row>
    <row r="91" customFormat="false" ht="15" hidden="false" customHeight="false" outlineLevel="0" collapsed="false">
      <c r="A91" s="31"/>
      <c r="B91" s="50"/>
      <c r="C91" s="50"/>
      <c r="D91" s="32"/>
    </row>
    <row r="92" customFormat="false" ht="15" hidden="false" customHeight="false" outlineLevel="0" collapsed="false">
      <c r="A92" s="31"/>
      <c r="B92" s="50"/>
      <c r="C92" s="50"/>
      <c r="D92" s="32"/>
    </row>
    <row r="93" customFormat="false" ht="15" hidden="false" customHeight="false" outlineLevel="0" collapsed="false">
      <c r="A93" s="31"/>
      <c r="B93" s="50"/>
      <c r="C93" s="50"/>
      <c r="D93" s="32"/>
    </row>
    <row r="94" customFormat="false" ht="15" hidden="false" customHeight="false" outlineLevel="0" collapsed="false">
      <c r="A94" s="31"/>
      <c r="B94" s="50"/>
      <c r="C94" s="50"/>
      <c r="D94" s="32"/>
    </row>
    <row r="95" customFormat="false" ht="15" hidden="false" customHeight="false" outlineLevel="0" collapsed="false">
      <c r="A95" s="31"/>
      <c r="B95" s="50"/>
      <c r="C95" s="50"/>
      <c r="D95" s="32"/>
    </row>
    <row r="96" customFormat="false" ht="15" hidden="false" customHeight="false" outlineLevel="0" collapsed="false">
      <c r="A96" s="31"/>
      <c r="B96" s="50"/>
      <c r="C96" s="50"/>
      <c r="D96" s="32"/>
    </row>
    <row r="97" customFormat="false" ht="15" hidden="false" customHeight="false" outlineLevel="0" collapsed="false">
      <c r="A97" s="31"/>
      <c r="B97" s="50"/>
      <c r="C97" s="50"/>
      <c r="D97" s="32"/>
    </row>
    <row r="98" customFormat="false" ht="15" hidden="false" customHeight="false" outlineLevel="0" collapsed="false">
      <c r="A98" s="31"/>
      <c r="B98" s="50"/>
      <c r="C98" s="50"/>
      <c r="D98" s="32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2025-07-03T21:33:05Z</dcterms:created>
  <dc:creator>James Hartman</dc:creator>
  <dc:description/>
  <dc:language>de-DE</dc:language>
  <cp:lastModifiedBy/>
  <cp:lastPrinted>2025-07-23T08:22:58Z</cp:lastPrinted>
  <dcterms:modified xsi:type="dcterms:W3CDTF">2026-08-17T07:35:18Z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