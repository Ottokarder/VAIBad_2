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mmdaten - Schwimmer" sheetId="1" state="visible" r:id="rId3"/>
    <sheet name="Tabelle1" sheetId="2" state="visible" r:id="rId4"/>
    <sheet name="Stammdaten - Sponsoren" sheetId="3" state="visible" r:id="rId5"/>
    <sheet name="Stammdaten Teams" sheetId="4" state="visible" r:id="rId6"/>
    <sheet name="Ehrungen" sheetId="5" state="visible" r:id="rId7"/>
    <sheet name="Spenden-Kalkulation-Schwimmer" sheetId="6" state="visible" r:id="rId8"/>
    <sheet name="Spenden-Kalkulation-Sponso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<sst xmlns="http://schemas.openxmlformats.org/spreadsheetml/2006/main" count="563" uniqueCount="366">
  <si>
    <t xml:space="preserve">Sponsorenschwimmen</t>
  </si>
  <si>
    <t xml:space="preserve">Schwimmer (bis zu 100 Schwimmer vorgesehen; Dunkelblau =Testdaten und No-Shows)</t>
  </si>
  <si>
    <t xml:space="preserve">Nummer</t>
  </si>
  <si>
    <t xml:space="preserve">Name </t>
  </si>
  <si>
    <t xml:space="preserve">Vormname</t>
  </si>
  <si>
    <t xml:space="preserve">Geburtstag</t>
  </si>
  <si>
    <t xml:space="preserve">Mannschaft</t>
  </si>
  <si>
    <t xml:space="preserve">Anzahl
Bahnen</t>
  </si>
  <si>
    <t xml:space="preserve">Sponsor Nr.</t>
  </si>
  <si>
    <t xml:space="preserve">Spendehöhe 
pro Bahn</t>
  </si>
  <si>
    <t xml:space="preserve">Max Betrag</t>
  </si>
  <si>
    <t xml:space="preserve">Spenden-
Ergebnis</t>
  </si>
  <si>
    <t xml:space="preserve">Spenden
Ergebnis</t>
  </si>
  <si>
    <t xml:space="preserve">Grambow</t>
  </si>
  <si>
    <t xml:space="preserve">Kerstin</t>
  </si>
  <si>
    <t xml:space="preserve">503, 504</t>
  </si>
  <si>
    <t xml:space="preserve">Gessler </t>
  </si>
  <si>
    <t xml:space="preserve">Tom</t>
  </si>
  <si>
    <t xml:space="preserve">Schwenk-Fischer</t>
  </si>
  <si>
    <t xml:space="preserve">Eva</t>
  </si>
  <si>
    <t xml:space="preserve">Rink</t>
  </si>
  <si>
    <t xml:space="preserve">Wiebke</t>
  </si>
  <si>
    <t xml:space="preserve">Künsemüller</t>
  </si>
  <si>
    <t xml:space="preserve">Viktoria</t>
  </si>
  <si>
    <t xml:space="preserve">Anna</t>
  </si>
  <si>
    <t xml:space="preserve">Birgit</t>
  </si>
  <si>
    <t xml:space="preserve">Jessika</t>
  </si>
  <si>
    <t xml:space="preserve">Michels</t>
  </si>
  <si>
    <t xml:space="preserve">Laurens</t>
  </si>
  <si>
    <t xml:space="preserve">Aucher</t>
  </si>
  <si>
    <t xml:space="preserve">Neie</t>
  </si>
  <si>
    <t xml:space="preserve">Glass</t>
  </si>
  <si>
    <t xml:space="preserve">Helmut</t>
  </si>
  <si>
    <t xml:space="preserve">Bachmann</t>
  </si>
  <si>
    <t xml:space="preserve">König</t>
  </si>
  <si>
    <t xml:space="preserve">Viola</t>
  </si>
  <si>
    <t xml:space="preserve">Kesten</t>
  </si>
  <si>
    <t xml:space="preserve">Annabelle</t>
  </si>
  <si>
    <t xml:space="preserve">Strobel</t>
  </si>
  <si>
    <t xml:space="preserve">Liana</t>
  </si>
  <si>
    <t xml:space="preserve">Baur</t>
  </si>
  <si>
    <t xml:space="preserve">Seweryn</t>
  </si>
  <si>
    <t xml:space="preserve">Amelie</t>
  </si>
  <si>
    <t xml:space="preserve">Maier</t>
  </si>
  <si>
    <t xml:space="preserve">Johannes</t>
  </si>
  <si>
    <t xml:space="preserve">Winkler</t>
  </si>
  <si>
    <t xml:space="preserve">Anette</t>
  </si>
  <si>
    <t xml:space="preserve">Laub</t>
  </si>
  <si>
    <t xml:space="preserve">Emma</t>
  </si>
  <si>
    <t xml:space="preserve">Jasper</t>
  </si>
  <si>
    <t xml:space="preserve">Engel</t>
  </si>
  <si>
    <t xml:space="preserve">Katrin</t>
  </si>
  <si>
    <t xml:space="preserve">Ulrike</t>
  </si>
  <si>
    <t xml:space="preserve">Sure</t>
  </si>
  <si>
    <t xml:space="preserve">Doris</t>
  </si>
  <si>
    <t xml:space="preserve">Bauer</t>
  </si>
  <si>
    <t xml:space="preserve">Tim</t>
  </si>
  <si>
    <t xml:space="preserve">Brigitte</t>
  </si>
  <si>
    <t xml:space="preserve">Zimmermann</t>
  </si>
  <si>
    <t xml:space="preserve">Alina</t>
  </si>
  <si>
    <t xml:space="preserve">Markus</t>
  </si>
  <si>
    <t xml:space="preserve">Kombacher</t>
  </si>
  <si>
    <t xml:space="preserve">Mia</t>
  </si>
  <si>
    <t xml:space="preserve">Anja</t>
  </si>
  <si>
    <t xml:space="preserve">Lea</t>
  </si>
  <si>
    <t xml:space="preserve">Sara</t>
  </si>
  <si>
    <t xml:space="preserve">Hanke</t>
  </si>
  <si>
    <t xml:space="preserve">Frank</t>
  </si>
  <si>
    <t xml:space="preserve">Konstantin</t>
  </si>
  <si>
    <t xml:space="preserve">Noel</t>
  </si>
  <si>
    <t xml:space="preserve">Drensek</t>
  </si>
  <si>
    <t xml:space="preserve">Deborah</t>
  </si>
  <si>
    <t xml:space="preserve">Tanja</t>
  </si>
  <si>
    <t xml:space="preserve">Fischer</t>
  </si>
  <si>
    <t xml:space="preserve">Chiara</t>
  </si>
  <si>
    <t xml:space="preserve">Nielitz</t>
  </si>
  <si>
    <t xml:space="preserve">Andre</t>
  </si>
  <si>
    <t xml:space="preserve">Luca</t>
  </si>
  <si>
    <t xml:space="preserve">Flohr</t>
  </si>
  <si>
    <t xml:space="preserve">Alisa</t>
  </si>
  <si>
    <t xml:space="preserve">Laura</t>
  </si>
  <si>
    <t xml:space="preserve">Bayer</t>
  </si>
  <si>
    <t xml:space="preserve">Kim</t>
  </si>
  <si>
    <t xml:space="preserve">Holste</t>
  </si>
  <si>
    <t xml:space="preserve">Ruben</t>
  </si>
  <si>
    <t xml:space="preserve">Oscar</t>
  </si>
  <si>
    <t xml:space="preserve">Lotte</t>
  </si>
  <si>
    <t xml:space="preserve">Ludwig</t>
  </si>
  <si>
    <t xml:space="preserve">Mariya</t>
  </si>
  <si>
    <t xml:space="preserve">Warga</t>
  </si>
  <si>
    <t xml:space="preserve">Christina</t>
  </si>
  <si>
    <t xml:space="preserve">Paula</t>
  </si>
  <si>
    <t xml:space="preserve">Christian</t>
  </si>
  <si>
    <t xml:space="preserve">Veit</t>
  </si>
  <si>
    <t xml:space="preserve">Dorothea</t>
  </si>
  <si>
    <t xml:space="preserve">Heineke</t>
  </si>
  <si>
    <t xml:space="preserve">Jana</t>
  </si>
  <si>
    <t xml:space="preserve">Hartmann</t>
  </si>
  <si>
    <t xml:space="preserve">Hanna</t>
  </si>
  <si>
    <t xml:space="preserve">Schmid</t>
  </si>
  <si>
    <t xml:space="preserve">Hannes</t>
  </si>
  <si>
    <t xml:space="preserve">Jakob</t>
  </si>
  <si>
    <t xml:space="preserve">Göpel</t>
  </si>
  <si>
    <t xml:space="preserve">Norah</t>
  </si>
  <si>
    <t xml:space="preserve">Joana</t>
  </si>
  <si>
    <t xml:space="preserve">Zhou</t>
  </si>
  <si>
    <t xml:space="preserve">Robin</t>
  </si>
  <si>
    <t xml:space="preserve">Buuck</t>
  </si>
  <si>
    <t xml:space="preserve">Jan-Alexander</t>
  </si>
  <si>
    <t xml:space="preserve">Fritz</t>
  </si>
  <si>
    <t xml:space="preserve">Franz</t>
  </si>
  <si>
    <t xml:space="preserve">Franziska</t>
  </si>
  <si>
    <t xml:space="preserve">Bronner</t>
  </si>
  <si>
    <t xml:space="preserve">Myrian</t>
  </si>
  <si>
    <t xml:space="preserve">Siebert-Rieger</t>
  </si>
  <si>
    <t xml:space="preserve">Annegret</t>
  </si>
  <si>
    <t xml:space="preserve">Michaelis</t>
  </si>
  <si>
    <t xml:space="preserve">Jochen</t>
  </si>
  <si>
    <t xml:space="preserve">Müller</t>
  </si>
  <si>
    <t xml:space="preserve">Nick</t>
  </si>
  <si>
    <t xml:space="preserve">Jungstes Kind</t>
  </si>
  <si>
    <t xml:space="preserve">Älteste</t>
  </si>
  <si>
    <t xml:space="preserve">Meter</t>
  </si>
  <si>
    <t xml:space="preserve">Sponsoren (bis zu 100 Sponsoren vorgesehen)</t>
  </si>
  <si>
    <t xml:space="preserve">Name /
Unternehmen</t>
  </si>
  <si>
    <t xml:space="preserve">Vorname / 
Vertreter</t>
  </si>
  <si>
    <t xml:space="preserve">Adresse</t>
  </si>
  <si>
    <t xml:space="preserve">Max.
Betrag</t>
  </si>
  <si>
    <t xml:space="preserve">Gesponsorte 
Schwimmer / 
Mannschaft</t>
  </si>
  <si>
    <t xml:space="preserve">Förderverein ETB</t>
  </si>
  <si>
    <t xml:space="preserve">Thomas Schmid</t>
  </si>
  <si>
    <t xml:space="preserve">DLRG OG VAI</t>
  </si>
  <si>
    <t xml:space="preserve">Walter-de-Pay Str.;  Vaihingen (Enz)</t>
  </si>
  <si>
    <t xml:space="preserve">TVV 
Schwimmabteilung</t>
  </si>
  <si>
    <t xml:space="preserve">Tim Bauer</t>
  </si>
  <si>
    <t xml:space="preserve">Walter-de-Pay Str.; 71665 Vaihingen</t>
  </si>
  <si>
    <t xml:space="preserve">Symmetree GmbH</t>
  </si>
  <si>
    <t xml:space="preserve">James Hartman</t>
  </si>
  <si>
    <t xml:space="preserve">Königstr. 26; 70173 Stuttgart</t>
  </si>
  <si>
    <t xml:space="preserve">Kanuclub CJD kaltenstein</t>
  </si>
  <si>
    <t xml:space="preserve">Michael Fischer</t>
  </si>
  <si>
    <t xml:space="preserve">Klaiberstr 7/1 71665 Vaihingen Enz</t>
  </si>
  <si>
    <t xml:space="preserve">Auto Service Frank Striebel</t>
  </si>
  <si>
    <t xml:space="preserve">Frank Striebel</t>
  </si>
  <si>
    <t xml:space="preserve">Römerstr 28, 74399 Walheim</t>
  </si>
  <si>
    <t xml:space="preserve"> </t>
  </si>
  <si>
    <t xml:space="preserve">Weidenweg 10 71665 Vaihingen Enz</t>
  </si>
  <si>
    <t xml:space="preserve">Gessler</t>
  </si>
  <si>
    <t xml:space="preserve">Andreas</t>
  </si>
  <si>
    <t xml:space="preserve">Wilhelmstr. 20/2 ORI</t>
  </si>
  <si>
    <t xml:space="preserve">Michael</t>
  </si>
  <si>
    <t xml:space="preserve">Rink </t>
  </si>
  <si>
    <t xml:space="preserve">Bärbel und Björn </t>
  </si>
  <si>
    <t xml:space="preserve">Eugen-Eisele-Weg 8</t>
  </si>
  <si>
    <t xml:space="preserve">Oberriexinger Weg 90 71665 Vaihingen/Enz</t>
  </si>
  <si>
    <t xml:space="preserve">Günter</t>
  </si>
  <si>
    <t xml:space="preserve">Am Heidenstock 5 64807 Dieburg</t>
  </si>
  <si>
    <t xml:space="preserve">Auchter</t>
  </si>
  <si>
    <t xml:space="preserve">Tonja Holger</t>
  </si>
  <si>
    <t xml:space="preserve">August-Lämmle-Str. 35 71735 Eberdingen</t>
  </si>
  <si>
    <t xml:space="preserve">Thiele</t>
  </si>
  <si>
    <t xml:space="preserve">Stephan</t>
  </si>
  <si>
    <t xml:space="preserve">Friedrichstr. 13 71665 Vaihingen</t>
  </si>
  <si>
    <t xml:space="preserve">Carla</t>
  </si>
  <si>
    <t xml:space="preserve">Roßwager Str. 50 71665 Vaihingen</t>
  </si>
  <si>
    <t xml:space="preserve">Heidi</t>
  </si>
  <si>
    <t xml:space="preserve">Gerokstr. 8 71665 Vaihinegn</t>
  </si>
  <si>
    <t xml:space="preserve">Schaufelberger</t>
  </si>
  <si>
    <t xml:space="preserve">Werner</t>
  </si>
  <si>
    <t xml:space="preserve">Gertenstr. 35 71735 Eberdingen</t>
  </si>
  <si>
    <t xml:space="preserve">Hausund Gertenservice</t>
  </si>
  <si>
    <t xml:space="preserve">Eichenweg 3 71739  ORI</t>
  </si>
  <si>
    <t xml:space="preserve">Thewett</t>
  </si>
  <si>
    <t xml:space="preserve">Lessingstr 1 71735 Eberdingen</t>
  </si>
  <si>
    <t xml:space="preserve">Schwertle</t>
  </si>
  <si>
    <t xml:space="preserve">Ariane</t>
  </si>
  <si>
    <t xml:space="preserve">Römertsr. 28 71665 Vaihingen Enz</t>
  </si>
  <si>
    <t xml:space="preserve">Friedricstr. 25 74372 Sersheim</t>
  </si>
  <si>
    <t xml:space="preserve">Seel</t>
  </si>
  <si>
    <t xml:space="preserve">Rita</t>
  </si>
  <si>
    <t xml:space="preserve">Dürer Ring 22 74372 Serseim</t>
  </si>
  <si>
    <t xml:space="preserve">Kombächer </t>
  </si>
  <si>
    <t xml:space="preserve">Dagmar</t>
  </si>
  <si>
    <t xml:space="preserve">Zur Talwiese24 57334 Bad Laasphe</t>
  </si>
  <si>
    <t xml:space="preserve">Häcker</t>
  </si>
  <si>
    <t xml:space="preserve">Rudi</t>
  </si>
  <si>
    <t xml:space="preserve">Jahnstr. 32 74371 sersheim</t>
  </si>
  <si>
    <t xml:space="preserve">DRK</t>
  </si>
  <si>
    <t xml:space="preserve">ortverein Vaihingen Enz</t>
  </si>
  <si>
    <t xml:space="preserve">Burck </t>
  </si>
  <si>
    <t xml:space="preserve">Mauerpfefferweg 6 71665 Vaihinegn Enz</t>
  </si>
  <si>
    <t xml:space="preserve">Cordula</t>
  </si>
  <si>
    <t xml:space="preserve">Mauerpfeferweg 4 71665 Vaihingen Enz</t>
  </si>
  <si>
    <t xml:space="preserve">Stephen</t>
  </si>
  <si>
    <t xml:space="preserve">Friedrichstr 13 71665 Vaihinegn Enz</t>
  </si>
  <si>
    <t xml:space="preserve">Martin</t>
  </si>
  <si>
    <t xml:space="preserve">Weizenstr  36 71665 Vaihingn Enz</t>
  </si>
  <si>
    <t xml:space="preserve">Umminger Veit</t>
  </si>
  <si>
    <t xml:space="preserve">Sybille</t>
  </si>
  <si>
    <t xml:space="preserve">Gerokstr. 41 71665 vVaihingen Enz</t>
  </si>
  <si>
    <t xml:space="preserve">Umminger </t>
  </si>
  <si>
    <t xml:space="preserve">Irmgard</t>
  </si>
  <si>
    <t xml:space="preserve">Edenkobener Str 22</t>
  </si>
  <si>
    <t xml:space="preserve">Veith</t>
  </si>
  <si>
    <t xml:space="preserve">Martin </t>
  </si>
  <si>
    <t xml:space="preserve">Düsterloh</t>
  </si>
  <si>
    <t xml:space="preserve">Anete und Dario</t>
  </si>
  <si>
    <t xml:space="preserve">Gothestr. 19/2 71665 Vaihingen Enz</t>
  </si>
  <si>
    <t xml:space="preserve">Frost</t>
  </si>
  <si>
    <t xml:space="preserve">Ellen</t>
  </si>
  <si>
    <t xml:space="preserve">Platanenstr. 30 71665 Vaihingen Enz</t>
  </si>
  <si>
    <t xml:space="preserve">Gerngroß</t>
  </si>
  <si>
    <t xml:space="preserve">Kleisstr. 3 71665 Vaihingen Enz</t>
  </si>
  <si>
    <t xml:space="preserve">Gerlach </t>
  </si>
  <si>
    <t xml:space="preserve">Bartenbergstr. 20 71665 Vaihinegen Enz</t>
  </si>
  <si>
    <t xml:space="preserve">Consbruchstr. 8/2 71665 Vaihingen Enz</t>
  </si>
  <si>
    <t xml:space="preserve">Schieban </t>
  </si>
  <si>
    <t xml:space="preserve">Gertraud</t>
  </si>
  <si>
    <t xml:space="preserve">Ulrich </t>
  </si>
  <si>
    <t xml:space="preserve">Döber</t>
  </si>
  <si>
    <t xml:space="preserve">Am Wolfsberg 13 71665 Vaihinegn/Enz</t>
  </si>
  <si>
    <t xml:space="preserve">Theobald</t>
  </si>
  <si>
    <t xml:space="preserve">Eichendorfstr. 4 71665 Vaihinegn Enz</t>
  </si>
  <si>
    <t xml:space="preserve">Murschel</t>
  </si>
  <si>
    <t xml:space="preserve">Ingrid</t>
  </si>
  <si>
    <t xml:space="preserve">Gerokstr. 78 71665 Vaihingen Enz</t>
  </si>
  <si>
    <t xml:space="preserve">Buch</t>
  </si>
  <si>
    <t xml:space="preserve">Rüdiger </t>
  </si>
  <si>
    <t xml:space="preserve">Lärchenweg 27 71665 Vaihingen Enz</t>
  </si>
  <si>
    <t xml:space="preserve">Döbler</t>
  </si>
  <si>
    <t xml:space="preserve">Zinmmermann </t>
  </si>
  <si>
    <t xml:space="preserve">Jürgen </t>
  </si>
  <si>
    <t xml:space="preserve">Klaiberstr 7 71665 Vaihingen Enz </t>
  </si>
  <si>
    <t xml:space="preserve">Vorreiter</t>
  </si>
  <si>
    <t xml:space="preserve">Diane</t>
  </si>
  <si>
    <t xml:space="preserve">Sonnenblumenweg 2 71665 Vaihingen Enz</t>
  </si>
  <si>
    <t xml:space="preserve">Björn und Bäbel</t>
  </si>
  <si>
    <t xml:space="preserve">Eugen Eisele Weg 8</t>
  </si>
  <si>
    <t xml:space="preserve">Friederich</t>
  </si>
  <si>
    <t xml:space="preserve">Rathausstr. 21/1 71665 Vaihingen enz</t>
  </si>
  <si>
    <t xml:space="preserve">Dagma</t>
  </si>
  <si>
    <t xml:space="preserve">Kammbächer </t>
  </si>
  <si>
    <t xml:space="preserve">Zur Talwiese 24</t>
  </si>
  <si>
    <t xml:space="preserve">Rita </t>
  </si>
  <si>
    <t xml:space="preserve">Dürer Ring 22 74372 Sersheim</t>
  </si>
  <si>
    <t xml:space="preserve">Rudi </t>
  </si>
  <si>
    <t xml:space="preserve">Jahnstr. 32  74372 Sersheim</t>
  </si>
  <si>
    <t xml:space="preserve">Schuppler</t>
  </si>
  <si>
    <t xml:space="preserve">Familie</t>
  </si>
  <si>
    <t xml:space="preserve">Emmenweg 5 71739 Oberriexingen</t>
  </si>
  <si>
    <t xml:space="preserve">Walter</t>
  </si>
  <si>
    <t xml:space="preserve">Kaalkäckerstr. 9 71665 Vaihingen Enz</t>
  </si>
  <si>
    <t xml:space="preserve">Maier </t>
  </si>
  <si>
    <t xml:space="preserve">Mauerpfefferweg 4 71665 Vaihingen Enz</t>
  </si>
  <si>
    <t xml:space="preserve">Kalamanis</t>
  </si>
  <si>
    <t xml:space="preserve">Dimitry</t>
  </si>
  <si>
    <t xml:space="preserve">Schulstr 6 7153 Eberdingen</t>
  </si>
  <si>
    <t xml:space="preserve">Rosalinde</t>
  </si>
  <si>
    <t xml:space="preserve">Gerokstr 8 71665 Vaihingen enz</t>
  </si>
  <si>
    <t xml:space="preserve">Korz</t>
  </si>
  <si>
    <t xml:space="preserve">Susanne</t>
  </si>
  <si>
    <t xml:space="preserve">Römerstr. 37 71665 Vaihingen enz</t>
  </si>
  <si>
    <t xml:space="preserve">Mario de Paz</t>
  </si>
  <si>
    <t xml:space="preserve">Mario</t>
  </si>
  <si>
    <t xml:space="preserve">Stuttgarter Str. 17 71735 Eberdingen</t>
  </si>
  <si>
    <t xml:space="preserve">Laisenacker</t>
  </si>
  <si>
    <t xml:space="preserve">Mühlweg 1 71735 Eberdingen</t>
  </si>
  <si>
    <t xml:space="preserve">Wenliang</t>
  </si>
  <si>
    <t xml:space="preserve">Furtbergerstr. 107 71665 Vaihinegn Enz</t>
  </si>
  <si>
    <t xml:space="preserve">Lingling</t>
  </si>
  <si>
    <t xml:space="preserve">Xhe</t>
  </si>
  <si>
    <t xml:space="preserve">Göpl</t>
  </si>
  <si>
    <t xml:space="preserve">M</t>
  </si>
  <si>
    <t xml:space="preserve">Hans-Krieg-Strasse 30</t>
  </si>
  <si>
    <t xml:space="preserve">Rische</t>
  </si>
  <si>
    <t xml:space="preserve">GmbH</t>
  </si>
  <si>
    <t xml:space="preserve">Mönchswiesen 16 71735 EBERDINGEN</t>
  </si>
  <si>
    <t xml:space="preserve">Pauls</t>
  </si>
  <si>
    <t xml:space="preserve">Maike</t>
  </si>
  <si>
    <t xml:space="preserve">Mühlhäuser Str. 10 71665 Vaihingen Enz</t>
  </si>
  <si>
    <t xml:space="preserve">Rösner</t>
  </si>
  <si>
    <t xml:space="preserve">Am Wolfsberg 141 71665 Vaihingen Enz</t>
  </si>
  <si>
    <t xml:space="preserve">Holzwarth</t>
  </si>
  <si>
    <t xml:space="preserve">Achim</t>
  </si>
  <si>
    <t xml:space="preserve">Tulpenweg 18/3 71665 Vaihingen Enz</t>
  </si>
  <si>
    <t xml:space="preserve">van Dyken</t>
  </si>
  <si>
    <t xml:space="preserve">Waltraud</t>
  </si>
  <si>
    <t xml:space="preserve">Unterer Hof 3 71665 Vaihingen Enz</t>
  </si>
  <si>
    <t xml:space="preserve">Michael Frech GbR</t>
  </si>
  <si>
    <t xml:space="preserve">Im kleinen Täle 2 71665 Vaihingen Enz</t>
  </si>
  <si>
    <t xml:space="preserve">Wiederspick</t>
  </si>
  <si>
    <t xml:space="preserve">Angelika</t>
  </si>
  <si>
    <t xml:space="preserve">VDK Siedlung 19 90518 Altdorf</t>
  </si>
  <si>
    <t xml:space="preserve">Frech</t>
  </si>
  <si>
    <t xml:space="preserve">Timo</t>
  </si>
  <si>
    <t xml:space="preserve">Lindenbachstrasse 69 70499 Weilimdorf</t>
  </si>
  <si>
    <t xml:space="preserve">Sven</t>
  </si>
  <si>
    <t xml:space="preserve">Naumannstar. 38 70378 stuttgart</t>
  </si>
  <si>
    <t xml:space="preserve">Frech </t>
  </si>
  <si>
    <t xml:space="preserve">Bianca</t>
  </si>
  <si>
    <t xml:space="preserve">Schulze</t>
  </si>
  <si>
    <t xml:space="preserve">Michael  </t>
  </si>
  <si>
    <t xml:space="preserve">Hölderlinstr. 7 70836 Gerlingen</t>
  </si>
  <si>
    <t xml:space="preserve">Weizenstr 36 71665 Vaihingen Enz</t>
  </si>
  <si>
    <t xml:space="preserve">Faigle</t>
  </si>
  <si>
    <t xml:space="preserve">Gustav</t>
  </si>
  <si>
    <t xml:space="preserve">Einsteinstr. 10 71665 Vaihingen Enz</t>
  </si>
  <si>
    <t xml:space="preserve">Kalkäckerstr. 9 71665 Vaihingen</t>
  </si>
  <si>
    <t xml:space="preserve">Sandra</t>
  </si>
  <si>
    <t xml:space="preserve">Eichenweg 9 72622 Nürtingen</t>
  </si>
  <si>
    <t xml:space="preserve">Tetz</t>
  </si>
  <si>
    <t xml:space="preserve">Zeppelinstr. 41/1 71665 Vaihinegn</t>
  </si>
  <si>
    <t xml:space="preserve">Seemühle 15 71665</t>
  </si>
  <si>
    <t xml:space="preserve">Aule</t>
  </si>
  <si>
    <t xml:space="preserve">Hoferweg 6 71665</t>
  </si>
  <si>
    <t xml:space="preserve">lingling</t>
  </si>
  <si>
    <t xml:space="preserve">Xie</t>
  </si>
  <si>
    <t xml:space="preserve">Burk</t>
  </si>
  <si>
    <t xml:space="preserve">Joannes</t>
  </si>
  <si>
    <t xml:space="preserve">Gutenbergstr. 19 71665</t>
  </si>
  <si>
    <t xml:space="preserve">Franzi</t>
  </si>
  <si>
    <t xml:space="preserve">Kehlstr. 27</t>
  </si>
  <si>
    <t xml:space="preserve">Thyriam</t>
  </si>
  <si>
    <t xml:space="preserve">Pappelweg 2 71665</t>
  </si>
  <si>
    <t xml:space="preserve">Fontaneweg 29 71665</t>
  </si>
  <si>
    <t xml:space="preserve">Pauschal</t>
  </si>
  <si>
    <t xml:space="preserve">Team Zusammenstetzungen</t>
  </si>
  <si>
    <t xml:space="preserve">(bis zu 25 Schwimmer im Team und bis zu 50 Teams vorgesehen)</t>
  </si>
  <si>
    <t xml:space="preserve">Team Nummer</t>
  </si>
  <si>
    <t xml:space="preserve">Team Name</t>
  </si>
  <si>
    <t xml:space="preserve">Verantwortlicher </t>
  </si>
  <si>
    <t xml:space="preserve">Gesamt 
Mitglieder</t>
  </si>
  <si>
    <t xml:space="preserve">Gesamtanzahl
Bahnen</t>
  </si>
  <si>
    <t xml:space="preserve">Spende
pro Bahn</t>
  </si>
  <si>
    <t xml:space="preserve">Spenden-
Betrag</t>
  </si>
  <si>
    <t xml:space="preserve">Bahnen pro
Mitglied</t>
  </si>
  <si>
    <t xml:space="preserve">Zugehöriger 
Schwimmer</t>
  </si>
  <si>
    <t xml:space="preserve">FV ETB</t>
  </si>
  <si>
    <t xml:space="preserve">DLRG</t>
  </si>
  <si>
    <t xml:space="preserve">TVV Schwimm</t>
  </si>
  <si>
    <t xml:space="preserve">Schildkröten</t>
  </si>
  <si>
    <t xml:space="preserve">Kanu Klub</t>
  </si>
  <si>
    <t xml:space="preserve">DRK Ortsverein VAI</t>
  </si>
  <si>
    <t xml:space="preserve">Eliase Flohr</t>
  </si>
  <si>
    <t xml:space="preserve">Die Hydrotherapeuten</t>
  </si>
  <si>
    <t xml:space="preserve">Warner, Chris</t>
  </si>
  <si>
    <t xml:space="preserve">Ergebnis:  Teams der Gründungsvereine</t>
  </si>
  <si>
    <t xml:space="preserve">Ergebnisse - Ehrungen - TOP 5 Listen  (Achtung: gibt’s Probleme bei gleiche Bahnzahlen oder gleiche Geburtstag - nur erster treffer in Liste wird gezeigt)</t>
  </si>
  <si>
    <t xml:space="preserve">Meiste Bahnen - Bis 13J</t>
  </si>
  <si>
    <t xml:space="preserve">Meiste Bahnen - 14 bis 18J </t>
  </si>
  <si>
    <t xml:space="preserve">Meiste Bahnen - Erwachsene </t>
  </si>
  <si>
    <t xml:space="preserve">Schwimmer
Nummer</t>
  </si>
  <si>
    <t xml:space="preserve">Spenden
Summe</t>
  </si>
  <si>
    <t xml:space="preserve">Anzahl Bahnen</t>
  </si>
  <si>
    <t xml:space="preserve">Meiste Bahnen - Mannschaft</t>
  </si>
  <si>
    <t xml:space="preserve">Meiste Bahnen pro Mannschaftsmitglied</t>
  </si>
  <si>
    <t xml:space="preserve">Anzahl
Mitglieder</t>
  </si>
  <si>
    <t xml:space="preserve">Jüngsten Schwimmer</t>
  </si>
  <si>
    <t xml:space="preserve">Ältesten Schwimmer</t>
  </si>
  <si>
    <t xml:space="preserve">Nach Schwimmer Gesamt</t>
  </si>
  <si>
    <t xml:space="preserve">Nach Schwimmer - Kategorie unter 14</t>
  </si>
  <si>
    <t xml:space="preserve">Nach Schwimmer - Kategorie 14-17 Jahre</t>
  </si>
  <si>
    <t xml:space="preserve">Nach Schwimmer - Erwachsene </t>
  </si>
  <si>
    <t xml:space="preserve">Rang</t>
  </si>
  <si>
    <t xml:space="preserve">Nach Sponsor (Vormittag)</t>
  </si>
  <si>
    <t xml:space="preserve">Summe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</si>
</sst>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* #,##0.00&quot; €&quot;_-;\-* #,##0.00&quot; €&quot;_-;_-* \-??&quot; €&quot;_-;_-@_-"/>
    <numFmt numFmtId="166" formatCode="dd/mm/yyyy"/>
    <numFmt numFmtId="167" formatCode="_-* #,##0.00\ _€_-;\-* #,##0.00\ _€_-;_-* \-??\ _€_-;_-@_-"/>
    <numFmt numFmtId="168" formatCode="0.00"/>
    <numFmt numFmtId="169" formatCode="#,##0_ ;\-#,##0\ "/>
    <numFmt numFmtId="170" formatCode="@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theme="4" tint="0.7999"/>
        <bgColor rgb="FFF2F2F2"/>
      </patternFill>
    </fill>
    <fill>
      <patternFill patternType="solid">
        <fgColor theme="0" tint="-0.05"/>
        <bgColor rgb="FFDEEBF7"/>
      </patternFill>
    </fill>
    <fill>
      <patternFill patternType="solid">
        <fgColor theme="4" tint="0.5999"/>
        <bgColor rgb="FF99CCFF"/>
      </patternFill>
    </fill>
    <fill>
      <patternFill patternType="solid">
        <fgColor theme="0" tint="-0.25"/>
        <bgColor rgb="FFBDD7EE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3" borderId="5" xfId="17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9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3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1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0" xfId="17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3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0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0" fillId="3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11" xfId="17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1" width="22.86"/>
    <col collapsed="false" customWidth="true" hidden="false" outlineLevel="0" max="3" min="3" style="1" width="22.29"/>
    <col collapsed="false" customWidth="true" hidden="false" outlineLevel="0" max="4" min="4" style="1" width="11.43"/>
    <col collapsed="false" customWidth="true" hidden="false" outlineLevel="0" max="5" min="5" style="1" width="22.71"/>
    <col collapsed="false" customWidth="true" hidden="false" outlineLevel="0" max="7" min="6" style="1" width="11.43"/>
    <col collapsed="false" customWidth="true" hidden="false" outlineLevel="0" max="9" min="8" style="1" width="14.14"/>
    <col collapsed="false" customWidth="true" hidden="false" outlineLevel="0" max="10" min="10" style="2" width="14.14"/>
    <col collapsed="false" customWidth="true" hidden="false" outlineLevel="0" max="11" min="11" style="1" width="14.14"/>
    <col collapsed="false" customWidth="true" hidden="false" outlineLevel="0" max="13" min="12" style="1" width="12.86"/>
    <col collapsed="false" customWidth="true" hidden="false" outlineLevel="0" max="14" min="14" style="2" width="12.86"/>
    <col collapsed="false" customWidth="true" hidden="false" outlineLevel="0" max="15" min="15" style="1" width="12.86"/>
    <col collapsed="false" customWidth="true" hidden="false" outlineLevel="0" max="17" min="16" style="1" width="13.57"/>
    <col collapsed="false" customWidth="true" hidden="false" outlineLevel="0" max="18" min="18" style="2" width="13.57"/>
    <col collapsed="false" customWidth="true" hidden="false" outlineLevel="0" max="19" min="19" style="1" width="13.57"/>
    <col collapsed="false" customWidth="true" hidden="false" outlineLevel="0" max="21" min="20" style="1" width="13.71"/>
    <col collapsed="false" customWidth="true" hidden="false" outlineLevel="0" max="22" min="22" style="2" width="13.71"/>
    <col collapsed="false" customWidth="true" hidden="false" outlineLevel="0" max="23" min="23" style="1" width="13.71"/>
    <col collapsed="false" customWidth="true" hidden="false" outlineLevel="0" max="24" min="24" style="0" width="13.15"/>
    <col collapsed="false" customWidth="true" hidden="false" outlineLevel="0" max="26" min="26" style="2" width="13.71"/>
  </cols>
  <sheetData>
    <row r="1" customFormat="false" ht="15" hidden="false" customHeight="false" outlineLevel="0" collapsed="false">
      <c r="A1" s="3" t="s">
        <v>0</v>
      </c>
    </row>
    <row r="2" customFormat="false" ht="15" hidden="false" customHeight="false" outlineLevel="0" collapsed="false">
      <c r="A2" s="3" t="s">
        <v>1</v>
      </c>
      <c r="I2" s="4"/>
      <c r="J2" s="5"/>
      <c r="K2" s="4"/>
      <c r="M2" s="4"/>
      <c r="N2" s="5"/>
      <c r="O2" s="4"/>
      <c r="Q2" s="4"/>
      <c r="R2" s="5"/>
      <c r="S2" s="4"/>
      <c r="U2" s="4"/>
      <c r="V2" s="5"/>
      <c r="W2" s="4"/>
      <c r="Y2" s="4"/>
      <c r="Z2" s="5"/>
    </row>
    <row r="3" customFormat="false" ht="28.5" hidden="false" customHeight="true" outlineLevel="0" collapsed="false">
      <c r="A3" s="6" t="s">
        <v>2</v>
      </c>
      <c r="B3" s="7" t="s">
        <v>3</v>
      </c>
      <c r="C3" s="7" t="s">
        <v>4</v>
      </c>
      <c r="D3" s="7" t="s">
        <v>5</v>
      </c>
      <c r="E3" s="8" t="s">
        <v>6</v>
      </c>
      <c r="F3" s="9" t="s">
        <v>7</v>
      </c>
      <c r="G3" s="10" t="s">
        <v>8</v>
      </c>
      <c r="H3" s="11" t="s">
        <v>9</v>
      </c>
      <c r="I3" s="11" t="s">
        <v>10</v>
      </c>
      <c r="J3" s="12" t="s">
        <v>11</v>
      </c>
      <c r="K3" s="10" t="s">
        <v>8</v>
      </c>
      <c r="L3" s="11" t="s">
        <v>9</v>
      </c>
      <c r="M3" s="11" t="s">
        <v>10</v>
      </c>
      <c r="N3" s="12" t="s">
        <v>11</v>
      </c>
      <c r="O3" s="10" t="s">
        <v>8</v>
      </c>
      <c r="P3" s="11" t="s">
        <v>9</v>
      </c>
      <c r="Q3" s="11" t="s">
        <v>10</v>
      </c>
      <c r="R3" s="12" t="s">
        <v>12</v>
      </c>
      <c r="S3" s="10" t="s">
        <v>8</v>
      </c>
      <c r="T3" s="11" t="s">
        <v>9</v>
      </c>
      <c r="U3" s="11" t="s">
        <v>10</v>
      </c>
      <c r="V3" s="12" t="s">
        <v>12</v>
      </c>
      <c r="W3" s="10" t="s">
        <v>8</v>
      </c>
      <c r="X3" s="11" t="s">
        <v>9</v>
      </c>
      <c r="Y3" s="11" t="s">
        <v>10</v>
      </c>
      <c r="Z3" s="12" t="s">
        <v>12</v>
      </c>
    </row>
    <row r="4" customFormat="false" ht="15" hidden="false" customHeight="false" outlineLevel="0" collapsed="false">
      <c r="A4" s="13" t="n">
        <v>2</v>
      </c>
      <c r="B4" s="14" t="s">
        <v>13</v>
      </c>
      <c r="C4" s="14" t="s">
        <v>14</v>
      </c>
      <c r="D4" s="15" t="n">
        <v>35065</v>
      </c>
      <c r="E4" s="16" t="s">
        <v>15</v>
      </c>
      <c r="F4" s="17" t="n">
        <v>58</v>
      </c>
      <c r="G4" s="13" t="n">
        <v>1003</v>
      </c>
      <c r="H4" s="2" t="n">
        <v>0.5</v>
      </c>
      <c r="I4" s="2"/>
      <c r="J4" s="18" t="n">
        <f aca="false">IF(AND(F4*H4&gt;I4,I4&gt;0),I4, F4*H4)</f>
        <v>29</v>
      </c>
      <c r="K4" s="13" t="n">
        <v>1004</v>
      </c>
      <c r="L4" s="2" t="n">
        <v>0.5</v>
      </c>
      <c r="M4" s="2"/>
      <c r="N4" s="18" t="n">
        <f aca="false">IF(AND(F4*L4&gt;M4,M4&gt;0),M4, F4*L4)</f>
        <v>29</v>
      </c>
      <c r="O4" s="13" t="n">
        <v>1006</v>
      </c>
      <c r="P4" s="2" t="n">
        <v>0.5</v>
      </c>
      <c r="Q4" s="2"/>
      <c r="R4" s="18" t="n">
        <f aca="false">IF(AND(F4*P4&gt;Q4,Q4&gt;0),Q4, F4*P4)</f>
        <v>29</v>
      </c>
      <c r="S4" s="13" t="n">
        <v>1007</v>
      </c>
      <c r="T4" s="2" t="n">
        <v>0.5</v>
      </c>
      <c r="U4" s="2"/>
      <c r="V4" s="18" t="n">
        <f aca="false">IF(AND(F4*T4&gt;U4,U4&gt;0),U4, F4*T4)</f>
        <v>29</v>
      </c>
      <c r="W4" s="13"/>
      <c r="X4" s="5"/>
      <c r="Y4" s="5"/>
      <c r="Z4" s="18" t="n">
        <f aca="false">IF(AND(F4*X4&gt;Y4,Y4&gt;0),Y4, F4*X4)</f>
        <v>0</v>
      </c>
    </row>
    <row r="5" customFormat="false" ht="15" hidden="false" customHeight="false" outlineLevel="0" collapsed="false">
      <c r="A5" s="13" t="n">
        <v>3</v>
      </c>
      <c r="B5" s="14" t="s">
        <v>16</v>
      </c>
      <c r="C5" s="14" t="s">
        <v>17</v>
      </c>
      <c r="D5" s="15" t="n">
        <v>42230</v>
      </c>
      <c r="E5" s="16" t="n">
        <v>502</v>
      </c>
      <c r="F5" s="17" t="n">
        <v>24</v>
      </c>
      <c r="G5" s="13" t="n">
        <v>1002</v>
      </c>
      <c r="H5" s="2" t="n">
        <v>0.5</v>
      </c>
      <c r="I5" s="2"/>
      <c r="J5" s="18" t="n">
        <f aca="false">IF(AND(F5*H5&gt;I5,I5&gt;0),I5, F5*H5)</f>
        <v>12</v>
      </c>
      <c r="K5" s="13"/>
      <c r="L5" s="2"/>
      <c r="M5" s="2"/>
      <c r="N5" s="18" t="n">
        <f aca="false">IF(AND(F5*L5&gt;M5,M5&gt;0),M5, F5*L5)</f>
        <v>0</v>
      </c>
      <c r="O5" s="13"/>
      <c r="P5" s="2"/>
      <c r="Q5" s="2"/>
      <c r="R5" s="18" t="n">
        <f aca="false">IF(AND(F5*P5&gt;Q5,Q5&gt;0),Q5, F5*P5)</f>
        <v>0</v>
      </c>
      <c r="S5" s="13"/>
      <c r="T5" s="2"/>
      <c r="U5" s="2"/>
      <c r="V5" s="18" t="n">
        <f aca="false">IF(AND(F5*T5&gt;U5,U5&gt;0),U5, F5*T5)</f>
        <v>0</v>
      </c>
      <c r="W5" s="13"/>
      <c r="X5" s="5"/>
      <c r="Y5" s="5"/>
      <c r="Z5" s="18" t="n">
        <f aca="false">IF(AND(F5*X5&gt;Y5,Y5&gt;0),Y5, F5*X5)</f>
        <v>0</v>
      </c>
    </row>
    <row r="6" customFormat="false" ht="15" hidden="false" customHeight="false" outlineLevel="0" collapsed="false">
      <c r="A6" s="13" t="n">
        <v>4</v>
      </c>
      <c r="B6" s="14" t="s">
        <v>18</v>
      </c>
      <c r="C6" s="14" t="s">
        <v>19</v>
      </c>
      <c r="D6" s="15" t="n">
        <v>20973</v>
      </c>
      <c r="E6" s="16" t="n">
        <v>505</v>
      </c>
      <c r="F6" s="17" t="n">
        <v>35</v>
      </c>
      <c r="G6" s="13" t="n">
        <v>1005</v>
      </c>
      <c r="H6" s="2" t="n">
        <v>0.5</v>
      </c>
      <c r="I6" s="2"/>
      <c r="J6" s="18" t="n">
        <f aca="false">IF(AND(F6*H6&gt;I6,I6&gt;0),I6, F6*H6)</f>
        <v>17.5</v>
      </c>
      <c r="K6" s="13" t="n">
        <v>1009</v>
      </c>
      <c r="L6" s="2" t="n">
        <v>1</v>
      </c>
      <c r="M6" s="2"/>
      <c r="N6" s="18" t="n">
        <f aca="false">IF(AND(F6*L6&gt;M6,M6&gt;0),M6, F6*L6)</f>
        <v>35</v>
      </c>
      <c r="O6" s="13"/>
      <c r="P6" s="2"/>
      <c r="Q6" s="2"/>
      <c r="R6" s="18" t="n">
        <f aca="false">IF(AND(F6*P6&gt;Q6,Q6&gt;0),Q6, F6*P6)</f>
        <v>0</v>
      </c>
      <c r="S6" s="13"/>
      <c r="T6" s="2"/>
      <c r="U6" s="2"/>
      <c r="V6" s="18" t="n">
        <f aca="false">IF(AND(F6*T6&gt;U6,U6&gt;0),U6, F6*T6)</f>
        <v>0</v>
      </c>
      <c r="W6" s="13"/>
      <c r="X6" s="5"/>
      <c r="Y6" s="5"/>
      <c r="Z6" s="18" t="n">
        <f aca="false">IF(AND(F6*X6&gt;Y6,Y6&gt;0),Y6, F6*X6)</f>
        <v>0</v>
      </c>
    </row>
    <row r="7" customFormat="false" ht="15" hidden="false" customHeight="false" outlineLevel="0" collapsed="false">
      <c r="A7" s="13" t="n">
        <v>5</v>
      </c>
      <c r="B7" s="14" t="s">
        <v>20</v>
      </c>
      <c r="C7" s="14" t="s">
        <v>21</v>
      </c>
      <c r="D7" s="15" t="n">
        <v>42566</v>
      </c>
      <c r="E7" s="16" t="n">
        <v>503.505</v>
      </c>
      <c r="F7" s="17" t="n">
        <v>74</v>
      </c>
      <c r="G7" s="13" t="n">
        <v>1003</v>
      </c>
      <c r="H7" s="2" t="n">
        <v>0.5</v>
      </c>
      <c r="I7" s="2"/>
      <c r="J7" s="18" t="n">
        <f aca="false">IF(AND(F7*H7&gt;I7,I7&gt;0),I7, F7*H7)</f>
        <v>37</v>
      </c>
      <c r="K7" s="13" t="n">
        <v>1005</v>
      </c>
      <c r="L7" s="2" t="n">
        <v>0.5</v>
      </c>
      <c r="M7" s="2"/>
      <c r="N7" s="18" t="n">
        <f aca="false">IF(AND(F7*L7&gt;M7,M7&gt;0),M7, F7*L7)</f>
        <v>37</v>
      </c>
      <c r="O7" s="13" t="n">
        <v>1009</v>
      </c>
      <c r="P7" s="2" t="n">
        <v>0.25</v>
      </c>
      <c r="Q7" s="2"/>
      <c r="R7" s="18" t="n">
        <f aca="false">IF(AND(F7*P7&gt;Q7,Q7&gt;0),Q7, F7*P7)</f>
        <v>18.5</v>
      </c>
      <c r="S7" s="13"/>
      <c r="T7" s="2"/>
      <c r="U7" s="2"/>
      <c r="V7" s="18" t="n">
        <f aca="false">IF(AND(F7*T7&gt;U7,U7&gt;0),U7, F7*T7)</f>
        <v>0</v>
      </c>
      <c r="W7" s="13"/>
      <c r="X7" s="2"/>
      <c r="Y7" s="2"/>
      <c r="Z7" s="18" t="n">
        <f aca="false">IF(AND(F7*X7&gt;Y7,Y7&gt;0),Y7, F7*X7)</f>
        <v>0</v>
      </c>
    </row>
    <row r="8" customFormat="false" ht="15" hidden="false" customHeight="false" outlineLevel="0" collapsed="false">
      <c r="A8" s="13" t="n">
        <v>6</v>
      </c>
      <c r="B8" s="14" t="s">
        <v>22</v>
      </c>
      <c r="C8" s="14" t="s">
        <v>23</v>
      </c>
      <c r="D8" s="15" t="n">
        <v>40021</v>
      </c>
      <c r="E8" s="16" t="n">
        <v>503</v>
      </c>
      <c r="F8" s="17" t="n">
        <v>70</v>
      </c>
      <c r="G8" s="13" t="n">
        <v>1003</v>
      </c>
      <c r="H8" s="2" t="n">
        <v>0.5</v>
      </c>
      <c r="I8" s="2"/>
      <c r="J8" s="18" t="n">
        <f aca="false">IF(AND(F8*H8&gt;I8,I8&gt;0),I8, F8*H8)</f>
        <v>35</v>
      </c>
      <c r="K8" s="13"/>
      <c r="L8" s="2"/>
      <c r="M8" s="2"/>
      <c r="N8" s="18" t="n">
        <f aca="false">IF(AND(F8*L8&gt;M8,M8&gt;0),M8, F8*L8)</f>
        <v>0</v>
      </c>
      <c r="O8" s="13"/>
      <c r="P8" s="2"/>
      <c r="Q8" s="2"/>
      <c r="R8" s="18" t="n">
        <f aca="false">IF(AND(F8*P8&gt;Q8,Q8&gt;0),Q8, F8*P8)</f>
        <v>0</v>
      </c>
      <c r="S8" s="13"/>
      <c r="T8" s="2"/>
      <c r="U8" s="2"/>
      <c r="V8" s="18" t="n">
        <f aca="false">IF(AND(F8*T8&gt;U8,U8&gt;0),U8, F8*T8)</f>
        <v>0</v>
      </c>
      <c r="W8" s="13"/>
      <c r="X8" s="2"/>
      <c r="Y8" s="2"/>
      <c r="Z8" s="18" t="n">
        <f aca="false">IF(AND(F8*X8&gt;Y8,Y8&gt;0),Y8, F8*X8)</f>
        <v>0</v>
      </c>
    </row>
    <row r="9" customFormat="false" ht="15" hidden="false" customHeight="false" outlineLevel="0" collapsed="false">
      <c r="A9" s="13" t="n">
        <v>7</v>
      </c>
      <c r="B9" s="14" t="s">
        <v>16</v>
      </c>
      <c r="C9" s="14" t="s">
        <v>24</v>
      </c>
      <c r="D9" s="15" t="n">
        <v>43707</v>
      </c>
      <c r="E9" s="16" t="n">
        <v>502</v>
      </c>
      <c r="F9" s="17" t="n">
        <v>7</v>
      </c>
      <c r="G9" s="13" t="n">
        <v>1002</v>
      </c>
      <c r="H9" s="2" t="n">
        <v>0.5</v>
      </c>
      <c r="I9" s="2"/>
      <c r="J9" s="18" t="n">
        <f aca="false">IF(AND(F9*H9&gt;I9,I9&gt;0),I9, F9*H9)</f>
        <v>3.5</v>
      </c>
      <c r="K9" s="13" t="n">
        <v>1008</v>
      </c>
      <c r="L9" s="2" t="n">
        <v>0.5</v>
      </c>
      <c r="M9" s="2"/>
      <c r="N9" s="18" t="n">
        <f aca="false">IF(AND(F9*L9&gt;M9,M9&gt;0),M9, F9*L9)</f>
        <v>3.5</v>
      </c>
      <c r="O9" s="13"/>
      <c r="P9" s="2"/>
      <c r="Q9" s="2"/>
      <c r="R9" s="18" t="n">
        <f aca="false">IF(AND(F9*P9&gt;Q9,Q9&gt;0),Q9, F9*P9)</f>
        <v>0</v>
      </c>
      <c r="S9" s="13"/>
      <c r="T9" s="2"/>
      <c r="U9" s="2"/>
      <c r="V9" s="18" t="n">
        <f aca="false">IF(AND(F9*T9&gt;U9,U9&gt;0),U9, F9*T9)</f>
        <v>0</v>
      </c>
      <c r="W9" s="13"/>
      <c r="X9" s="2"/>
      <c r="Y9" s="2"/>
      <c r="Z9" s="18" t="n">
        <f aca="false">IF(AND(F9*X9&gt;Y9,Y9&gt;0),Y9, F9*X9)</f>
        <v>0</v>
      </c>
    </row>
    <row r="10" customFormat="false" ht="15" hidden="false" customHeight="false" outlineLevel="0" collapsed="false">
      <c r="A10" s="13" t="n">
        <v>8</v>
      </c>
      <c r="B10" s="14" t="s">
        <v>16</v>
      </c>
      <c r="C10" s="14" t="s">
        <v>25</v>
      </c>
      <c r="D10" s="15" t="n">
        <v>29380</v>
      </c>
      <c r="E10" s="16" t="n">
        <v>502</v>
      </c>
      <c r="F10" s="17" t="n">
        <v>42</v>
      </c>
      <c r="G10" s="13" t="n">
        <v>1002</v>
      </c>
      <c r="H10" s="2" t="n">
        <v>0.5</v>
      </c>
      <c r="I10" s="2"/>
      <c r="J10" s="18" t="n">
        <f aca="false">IF(AND(F10*H10&gt;I10,I10&gt;0),I10, F10*H10)</f>
        <v>21</v>
      </c>
      <c r="K10" s="13" t="n">
        <v>1008</v>
      </c>
      <c r="L10" s="2" t="n">
        <v>0.5</v>
      </c>
      <c r="M10" s="2"/>
      <c r="N10" s="18" t="n">
        <f aca="false">IF(AND(F10*L10&gt;M10,M10&gt;0),M10, F10*L10)</f>
        <v>21</v>
      </c>
      <c r="O10" s="13"/>
      <c r="P10" s="2"/>
      <c r="Q10" s="2"/>
      <c r="R10" s="18" t="n">
        <f aca="false">IF(AND(F10*P10&gt;Q10,Q10&gt;0),Q10, F10*P10)</f>
        <v>0</v>
      </c>
      <c r="S10" s="13"/>
      <c r="T10" s="2"/>
      <c r="U10" s="2"/>
      <c r="V10" s="18" t="n">
        <f aca="false">IF(AND(F10*T10&gt;U10,U10&gt;0),U10, F10*T10)</f>
        <v>0</v>
      </c>
      <c r="W10" s="13"/>
      <c r="X10" s="2"/>
      <c r="Y10" s="2"/>
      <c r="Z10" s="18" t="n">
        <f aca="false">IF(AND(F10*X10&gt;Y10,Y10&gt;0),Y10, F10*X10)</f>
        <v>0</v>
      </c>
    </row>
    <row r="11" customFormat="false" ht="15" hidden="false" customHeight="false" outlineLevel="0" collapsed="false">
      <c r="A11" s="13" t="n">
        <v>9</v>
      </c>
      <c r="B11" s="1" t="s">
        <v>22</v>
      </c>
      <c r="C11" s="1" t="s">
        <v>26</v>
      </c>
      <c r="D11" s="19" t="n">
        <v>40654</v>
      </c>
      <c r="E11" s="16" t="n">
        <v>503</v>
      </c>
      <c r="F11" s="17" t="n">
        <v>74</v>
      </c>
      <c r="G11" s="13" t="n">
        <v>1003</v>
      </c>
      <c r="H11" s="2" t="n">
        <v>0.5</v>
      </c>
      <c r="I11" s="2"/>
      <c r="J11" s="18" t="n">
        <f aca="false">IF(AND(F11*H11&gt;I11,I11&gt;0),I11, F11*H11)</f>
        <v>37</v>
      </c>
      <c r="K11" s="13"/>
      <c r="L11" s="2"/>
      <c r="M11" s="2"/>
      <c r="N11" s="18" t="n">
        <f aca="false">IF(AND(F11*L11&gt;M11,M11&gt;0),M11, F11*L11)</f>
        <v>0</v>
      </c>
      <c r="O11" s="13"/>
      <c r="P11" s="2"/>
      <c r="Q11" s="2"/>
      <c r="R11" s="18" t="n">
        <f aca="false">IF(AND(F11*P11&gt;Q11,Q11&gt;0),Q11, F11*P11)</f>
        <v>0</v>
      </c>
      <c r="S11" s="13"/>
      <c r="T11" s="2"/>
      <c r="U11" s="2"/>
      <c r="V11" s="18" t="n">
        <f aca="false">IF(AND(F11*T11&gt;U11,U11&gt;0),U11, F11*T11)</f>
        <v>0</v>
      </c>
      <c r="W11" s="13"/>
      <c r="X11" s="2"/>
      <c r="Y11" s="2"/>
      <c r="Z11" s="18" t="n">
        <f aca="false">IF(AND(F4*X11&gt;Y11,Y11&gt;0),Y11, F4*X11)</f>
        <v>0</v>
      </c>
    </row>
    <row r="12" customFormat="false" ht="15" hidden="false" customHeight="false" outlineLevel="0" collapsed="false">
      <c r="A12" s="13" t="n">
        <v>10</v>
      </c>
      <c r="B12" s="14" t="s">
        <v>27</v>
      </c>
      <c r="C12" s="14" t="s">
        <v>28</v>
      </c>
      <c r="D12" s="15" t="n">
        <v>37401</v>
      </c>
      <c r="E12" s="16" t="n">
        <v>502</v>
      </c>
      <c r="F12" s="17" t="n">
        <v>70</v>
      </c>
      <c r="G12" s="13" t="n">
        <v>1002</v>
      </c>
      <c r="H12" s="2" t="n">
        <v>0.5</v>
      </c>
      <c r="I12" s="2"/>
      <c r="J12" s="18" t="n">
        <f aca="false">IF(AND(F12*H12&gt;I12,I12&gt;0),I12, F12*H12)</f>
        <v>35</v>
      </c>
      <c r="K12" s="13" t="n">
        <v>1011</v>
      </c>
      <c r="L12" s="2" t="n">
        <v>0.5</v>
      </c>
      <c r="M12" s="2"/>
      <c r="N12" s="18" t="n">
        <f aca="false">IF(AND(F12*L12&gt;M12,M12&gt;0),M12, F12*L12)</f>
        <v>35</v>
      </c>
      <c r="O12" s="13"/>
      <c r="P12" s="2"/>
      <c r="Q12" s="2"/>
      <c r="R12" s="18" t="n">
        <f aca="false">IF(AND(F12*P12&gt;Q12,Q12&gt;0),Q12, F12*P12)</f>
        <v>0</v>
      </c>
      <c r="S12" s="13"/>
      <c r="T12" s="2"/>
      <c r="U12" s="2"/>
      <c r="V12" s="18" t="n">
        <f aca="false">IF(AND(F12*T12&gt;U12,U12&gt;0),U12, F12*T12)</f>
        <v>0</v>
      </c>
      <c r="W12" s="13"/>
      <c r="X12" s="2"/>
      <c r="Y12" s="2"/>
      <c r="Z12" s="18" t="n">
        <f aca="false">IF(AND(F12*X12&gt;Y12,Y12&gt;0),Y12, F12*X12)</f>
        <v>0</v>
      </c>
    </row>
    <row r="13" customFormat="false" ht="15" hidden="false" customHeight="false" outlineLevel="0" collapsed="false">
      <c r="A13" s="13" t="n">
        <v>11</v>
      </c>
      <c r="B13" s="14" t="s">
        <v>29</v>
      </c>
      <c r="C13" s="14" t="s">
        <v>30</v>
      </c>
      <c r="D13" s="15" t="n">
        <v>40173</v>
      </c>
      <c r="E13" s="16" t="n">
        <v>502</v>
      </c>
      <c r="F13" s="17" t="n">
        <v>46</v>
      </c>
      <c r="G13" s="13" t="n">
        <v>1002</v>
      </c>
      <c r="H13" s="2" t="n">
        <v>0.5</v>
      </c>
      <c r="I13" s="2"/>
      <c r="J13" s="18" t="n">
        <f aca="false">IF(AND(F13*H13&gt;I13,I13&gt;0),I13, F13*H13)</f>
        <v>23</v>
      </c>
      <c r="K13" s="13" t="n">
        <v>1012</v>
      </c>
      <c r="L13" s="2" t="n">
        <v>1</v>
      </c>
      <c r="M13" s="2"/>
      <c r="N13" s="18" t="n">
        <f aca="false">IF(AND(F13*L13&gt;M13,M13&gt;0),M13, F13*L13)</f>
        <v>46</v>
      </c>
      <c r="O13" s="13" t="n">
        <v>1013</v>
      </c>
      <c r="P13" s="2" t="n">
        <v>2</v>
      </c>
      <c r="Q13" s="2"/>
      <c r="R13" s="18" t="n">
        <f aca="false">IF(AND(F13*P13&gt;Q13,Q13&gt;0),Q13, F13*P13)</f>
        <v>92</v>
      </c>
      <c r="S13" s="13"/>
      <c r="T13" s="2"/>
      <c r="U13" s="2"/>
      <c r="V13" s="18" t="n">
        <f aca="false">IF(AND(F13*T13&gt;U13,U13&gt;0),U13, F13*T13)</f>
        <v>0</v>
      </c>
      <c r="W13" s="13"/>
      <c r="X13" s="2"/>
      <c r="Y13" s="2"/>
      <c r="Z13" s="18" t="n">
        <f aca="false">IF(AND(F13*X13&gt;Y13,Y13&gt;0),Y13, F13*X13)</f>
        <v>0</v>
      </c>
    </row>
    <row r="14" customFormat="false" ht="15" hidden="false" customHeight="false" outlineLevel="0" collapsed="false">
      <c r="A14" s="13" t="n">
        <v>12</v>
      </c>
      <c r="B14" s="14" t="s">
        <v>31</v>
      </c>
      <c r="C14" s="14" t="s">
        <v>32</v>
      </c>
      <c r="D14" s="15" t="n">
        <v>24492</v>
      </c>
      <c r="E14" s="16" t="n">
        <v>505</v>
      </c>
      <c r="F14" s="17" t="n">
        <v>50</v>
      </c>
      <c r="G14" s="13" t="n">
        <v>1005</v>
      </c>
      <c r="H14" s="2" t="n">
        <v>0.5</v>
      </c>
      <c r="I14" s="2"/>
      <c r="J14" s="18" t="n">
        <f aca="false">IF(AND(F14*H14&gt;I14,I14&gt;0),I14, F14*H14)</f>
        <v>25</v>
      </c>
      <c r="K14" s="13"/>
      <c r="L14" s="2"/>
      <c r="M14" s="2"/>
      <c r="N14" s="18" t="n">
        <f aca="false">IF(AND(F14*L14&gt;M14,M14&gt;0),M14, F14*L14)</f>
        <v>0</v>
      </c>
      <c r="O14" s="13"/>
      <c r="P14" s="2"/>
      <c r="Q14" s="2"/>
      <c r="R14" s="18" t="n">
        <f aca="false">IF(AND(F14*P14&gt;Q14,Q14&gt;0),Q14, F14*P14)</f>
        <v>0</v>
      </c>
      <c r="S14" s="13"/>
      <c r="T14" s="2"/>
      <c r="U14" s="2"/>
      <c r="V14" s="18" t="n">
        <f aca="false">IF(AND(F14*T14&gt;U14,U14&gt;0),U14, F14*T14)</f>
        <v>0</v>
      </c>
      <c r="W14" s="13"/>
      <c r="X14" s="2"/>
      <c r="Y14" s="2"/>
      <c r="Z14" s="18" t="n">
        <f aca="false">IF(AND(F14*X14&gt;Y14,Y14&gt;0),Y14, F14*X14)</f>
        <v>0</v>
      </c>
    </row>
    <row r="15" customFormat="false" ht="15" hidden="false" customHeight="false" outlineLevel="0" collapsed="false">
      <c r="A15" s="13" t="n">
        <v>13</v>
      </c>
      <c r="B15" s="14" t="s">
        <v>33</v>
      </c>
      <c r="C15" s="14" t="s">
        <v>24</v>
      </c>
      <c r="D15" s="15" t="n">
        <v>36207</v>
      </c>
      <c r="E15" s="16" t="n">
        <v>503</v>
      </c>
      <c r="F15" s="17" t="n">
        <v>64</v>
      </c>
      <c r="G15" s="13" t="n">
        <v>1003</v>
      </c>
      <c r="H15" s="2" t="n">
        <v>0.5</v>
      </c>
      <c r="I15" s="2"/>
      <c r="J15" s="18" t="n">
        <f aca="false">IF(AND(F15*H15&gt;I15,I15&gt;0),I15, F15*H15)</f>
        <v>32</v>
      </c>
      <c r="K15" s="13"/>
      <c r="L15" s="2"/>
      <c r="M15" s="2"/>
      <c r="N15" s="18" t="n">
        <f aca="false">IF(AND(F15*L15&gt;M15,M15&gt;0),M15, F15*L15)</f>
        <v>0</v>
      </c>
      <c r="O15" s="13"/>
      <c r="P15" s="2"/>
      <c r="Q15" s="2"/>
      <c r="R15" s="18" t="n">
        <f aca="false">IF(AND(F15*P15&gt;Q15,Q15&gt;0),Q15, F15*P15)</f>
        <v>0</v>
      </c>
      <c r="S15" s="13"/>
      <c r="T15" s="2"/>
      <c r="U15" s="2"/>
      <c r="V15" s="18" t="n">
        <f aca="false">IF(AND(F15*T15&gt;U15,U15&gt;0),U15, F15*T15)</f>
        <v>0</v>
      </c>
      <c r="W15" s="13"/>
      <c r="X15" s="2"/>
      <c r="Y15" s="2"/>
      <c r="Z15" s="18" t="n">
        <f aca="false">IF(AND(F15*X15&gt;Y15,Y15&gt;0),Y15, F15*X15)</f>
        <v>0</v>
      </c>
    </row>
    <row r="16" customFormat="false" ht="15" hidden="false" customHeight="false" outlineLevel="0" collapsed="false">
      <c r="A16" s="13" t="n">
        <v>14</v>
      </c>
      <c r="B16" s="14" t="s">
        <v>34</v>
      </c>
      <c r="C16" s="14" t="s">
        <v>35</v>
      </c>
      <c r="D16" s="15" t="n">
        <v>36605</v>
      </c>
      <c r="E16" s="16" t="n">
        <v>503</v>
      </c>
      <c r="F16" s="17" t="n">
        <v>66</v>
      </c>
      <c r="G16" s="13" t="n">
        <v>1003</v>
      </c>
      <c r="H16" s="2" t="n">
        <v>0.5</v>
      </c>
      <c r="I16" s="2"/>
      <c r="J16" s="18" t="n">
        <f aca="false">IF(AND(F16*H16&gt;I16,I16&gt;0),I16, F16*H16)</f>
        <v>33</v>
      </c>
      <c r="K16" s="13"/>
      <c r="L16" s="2"/>
      <c r="M16" s="2"/>
      <c r="N16" s="18" t="n">
        <f aca="false">IF(AND(F16*L16&gt;M16,M16&gt;0),M16, F16*L16)</f>
        <v>0</v>
      </c>
      <c r="O16" s="13"/>
      <c r="P16" s="2"/>
      <c r="Q16" s="2"/>
      <c r="R16" s="18" t="n">
        <f aca="false">IF(AND(F16*P16&gt;Q16,Q16&gt;0),Q16, F16*P16)</f>
        <v>0</v>
      </c>
      <c r="S16" s="13"/>
      <c r="T16" s="2"/>
      <c r="U16" s="2"/>
      <c r="V16" s="18" t="n">
        <f aca="false">IF(AND(F16*T16&gt;U16,U16&gt;0),U16, F16*T16)</f>
        <v>0</v>
      </c>
      <c r="W16" s="13"/>
      <c r="X16" s="2"/>
      <c r="Y16" s="2"/>
      <c r="Z16" s="18" t="n">
        <f aca="false">IF(AND(F16*X16&gt;Y16,Y16&gt;0),Y16, F16*X16)</f>
        <v>0</v>
      </c>
    </row>
    <row r="17" customFormat="false" ht="15" hidden="false" customHeight="false" outlineLevel="0" collapsed="false">
      <c r="A17" s="13" t="n">
        <v>15</v>
      </c>
      <c r="B17" s="14" t="s">
        <v>36</v>
      </c>
      <c r="C17" s="14" t="s">
        <v>37</v>
      </c>
      <c r="D17" s="15" t="n">
        <v>42053</v>
      </c>
      <c r="E17" s="16" t="n">
        <v>503</v>
      </c>
      <c r="F17" s="17" t="n">
        <v>82</v>
      </c>
      <c r="G17" s="13" t="n">
        <v>1003</v>
      </c>
      <c r="H17" s="2" t="n">
        <v>0.5</v>
      </c>
      <c r="I17" s="2"/>
      <c r="J17" s="18" t="n">
        <f aca="false">IF(AND(F17*H17&gt;I17,I17&gt;0),I17, F17*H17)</f>
        <v>41</v>
      </c>
      <c r="K17" s="13" t="n">
        <v>1014</v>
      </c>
      <c r="L17" s="2" t="n">
        <v>1.5</v>
      </c>
      <c r="M17" s="2"/>
      <c r="N17" s="18" t="n">
        <f aca="false">IF(AND(F17*L17&gt;M17,M17&gt;0),M17, F17*L17)</f>
        <v>123</v>
      </c>
      <c r="O17" s="13" t="n">
        <v>1015</v>
      </c>
      <c r="P17" s="2" t="n">
        <v>0.5</v>
      </c>
      <c r="Q17" s="2"/>
      <c r="R17" s="18" t="n">
        <f aca="false">IF(AND(F17*P17&gt;Q17,Q17&gt;0),Q17, F17*P17)</f>
        <v>41</v>
      </c>
      <c r="S17" s="13"/>
      <c r="T17" s="2"/>
      <c r="U17" s="2"/>
      <c r="V17" s="18" t="n">
        <f aca="false">IF(AND(F17*T17&gt;U17,U17&gt;0),U17, F17*T17)</f>
        <v>0</v>
      </c>
      <c r="W17" s="13"/>
      <c r="X17" s="2"/>
      <c r="Y17" s="2"/>
      <c r="Z17" s="18" t="n">
        <f aca="false">IF(AND(F17*X17&gt;Y17,Y17&gt;0),Y17, F17*X17)</f>
        <v>0</v>
      </c>
    </row>
    <row r="18" customFormat="false" ht="15" hidden="false" customHeight="false" outlineLevel="0" collapsed="false">
      <c r="A18" s="13" t="n">
        <v>16</v>
      </c>
      <c r="B18" s="14" t="s">
        <v>38</v>
      </c>
      <c r="C18" s="14" t="s">
        <v>39</v>
      </c>
      <c r="D18" s="15" t="n">
        <v>42732</v>
      </c>
      <c r="E18" s="16" t="n">
        <v>503</v>
      </c>
      <c r="F18" s="17" t="n">
        <v>68</v>
      </c>
      <c r="G18" s="13" t="n">
        <v>1003</v>
      </c>
      <c r="H18" s="2" t="n">
        <v>0.5</v>
      </c>
      <c r="I18" s="2"/>
      <c r="J18" s="18" t="n">
        <f aca="false">IF(AND(F18*H18&gt;I18,I18&gt;0),I18, F18*H18)</f>
        <v>34</v>
      </c>
      <c r="K18" s="13"/>
      <c r="L18" s="2"/>
      <c r="M18" s="2"/>
      <c r="N18" s="18" t="n">
        <f aca="false">IF(AND(F18*L18&gt;M18,M18&gt;0),M18, F18*L18)</f>
        <v>0</v>
      </c>
      <c r="O18" s="13"/>
      <c r="P18" s="2"/>
      <c r="Q18" s="2"/>
      <c r="R18" s="18" t="n">
        <f aca="false">IF(AND(F18*P18&gt;Q18,Q18&gt;0),Q18, F18*P18)</f>
        <v>0</v>
      </c>
      <c r="S18" s="13"/>
      <c r="T18" s="2"/>
      <c r="U18" s="2"/>
      <c r="V18" s="18" t="n">
        <f aca="false">IF(AND(F18*T18&gt;U18,U18&gt;0),U18, F18*T18)</f>
        <v>0</v>
      </c>
      <c r="W18" s="13"/>
      <c r="X18" s="2"/>
      <c r="Y18" s="2"/>
      <c r="Z18" s="18" t="n">
        <f aca="false">IF(AND(F18*X18&gt;Y18,Y18&gt;0),Y18, F18*X18)</f>
        <v>0</v>
      </c>
    </row>
    <row r="19" customFormat="false" ht="15" hidden="false" customHeight="false" outlineLevel="0" collapsed="false">
      <c r="A19" s="13" t="n">
        <v>17</v>
      </c>
      <c r="B19" s="14" t="s">
        <v>40</v>
      </c>
      <c r="C19" s="14" t="s">
        <v>41</v>
      </c>
      <c r="D19" s="15" t="n">
        <v>33169</v>
      </c>
      <c r="E19" s="16" t="n">
        <v>503.504</v>
      </c>
      <c r="F19" s="17" t="n">
        <v>22</v>
      </c>
      <c r="G19" s="13" t="n">
        <v>1003</v>
      </c>
      <c r="H19" s="2" t="n">
        <v>0.5</v>
      </c>
      <c r="I19" s="2"/>
      <c r="J19" s="18" t="n">
        <f aca="false">IF(AND(F19*H19&gt;I19,I19&gt;0),I19, F19*H19)</f>
        <v>11</v>
      </c>
      <c r="K19" s="13" t="n">
        <v>1004</v>
      </c>
      <c r="L19" s="2" t="n">
        <v>0.5</v>
      </c>
      <c r="M19" s="2"/>
      <c r="N19" s="18" t="n">
        <f aca="false">IF(AND(F19*L19&gt;M19,M19&gt;0),M19, F19*L19)</f>
        <v>11</v>
      </c>
      <c r="O19" s="13"/>
      <c r="P19" s="2"/>
      <c r="Q19" s="2"/>
      <c r="R19" s="18" t="n">
        <f aca="false">IF(AND(F19*P19&gt;Q19,Q19&gt;0),Q19, F19*P19)</f>
        <v>0</v>
      </c>
      <c r="S19" s="13"/>
      <c r="T19" s="2"/>
      <c r="U19" s="2"/>
      <c r="V19" s="18" t="n">
        <f aca="false">IF(AND(F19*T19&gt;U19,U19&gt;0),U19, F19*T19)</f>
        <v>0</v>
      </c>
      <c r="W19" s="13"/>
      <c r="X19" s="2"/>
      <c r="Y19" s="2"/>
      <c r="Z19" s="18" t="n">
        <f aca="false">IF(AND(F19*X19&gt;Y19,Y19&gt;0),Y19, F19*X19)</f>
        <v>0</v>
      </c>
    </row>
    <row r="20" customFormat="false" ht="15" hidden="false" customHeight="false" outlineLevel="0" collapsed="false">
      <c r="A20" s="13" t="n">
        <v>18</v>
      </c>
      <c r="B20" s="14" t="s">
        <v>40</v>
      </c>
      <c r="C20" s="14" t="s">
        <v>42</v>
      </c>
      <c r="D20" s="15" t="n">
        <v>34191</v>
      </c>
      <c r="E20" s="16" t="n">
        <v>503.504</v>
      </c>
      <c r="F20" s="17" t="n">
        <v>30</v>
      </c>
      <c r="G20" s="13" t="n">
        <v>1003</v>
      </c>
      <c r="H20" s="2" t="n">
        <v>0.5</v>
      </c>
      <c r="I20" s="2"/>
      <c r="J20" s="18" t="n">
        <f aca="false">IF(AND(F20*H20&gt;I20,I20&gt;0),I20, F20*H20)</f>
        <v>15</v>
      </c>
      <c r="K20" s="13" t="n">
        <v>1004</v>
      </c>
      <c r="L20" s="2" t="n">
        <v>0.5</v>
      </c>
      <c r="M20" s="2"/>
      <c r="N20" s="18" t="n">
        <f aca="false">IF(AND(F20*L20&gt;M20,M20&gt;0),M20, F20*L20)</f>
        <v>15</v>
      </c>
      <c r="O20" s="13"/>
      <c r="P20" s="2"/>
      <c r="Q20" s="2"/>
      <c r="R20" s="18" t="n">
        <f aca="false">IF(AND(F20*P20&gt;Q20,Q20&gt;0),Q20, F20*P20)</f>
        <v>0</v>
      </c>
      <c r="S20" s="13"/>
      <c r="T20" s="2"/>
      <c r="U20" s="2"/>
      <c r="V20" s="18" t="n">
        <f aca="false">IF(AND(F20*T20&gt;U20,U20&gt;0),U20, F20*T20)</f>
        <v>0</v>
      </c>
      <c r="W20" s="13"/>
      <c r="X20" s="2"/>
      <c r="Y20" s="2"/>
      <c r="Z20" s="18" t="n">
        <f aca="false">IF(AND(F20*X20&gt;Y20,Y20&gt;0),Y20, F20*X20)</f>
        <v>0</v>
      </c>
    </row>
    <row r="21" customFormat="false" ht="15" hidden="false" customHeight="false" outlineLevel="0" collapsed="false">
      <c r="A21" s="13" t="n">
        <v>19</v>
      </c>
      <c r="B21" s="14" t="s">
        <v>43</v>
      </c>
      <c r="C21" s="14" t="s">
        <v>44</v>
      </c>
      <c r="D21" s="15" t="n">
        <v>41125</v>
      </c>
      <c r="E21" s="16"/>
      <c r="F21" s="17" t="n">
        <v>90</v>
      </c>
      <c r="G21" s="13" t="n">
        <v>1016</v>
      </c>
      <c r="H21" s="2" t="n">
        <v>1</v>
      </c>
      <c r="I21" s="2" t="n">
        <v>100</v>
      </c>
      <c r="J21" s="18" t="n">
        <f aca="false">IF(AND(F21*H21&gt;I21,I21&gt;0),I21, F21*H21)</f>
        <v>90</v>
      </c>
      <c r="K21" s="13"/>
      <c r="L21" s="2"/>
      <c r="M21" s="2"/>
      <c r="N21" s="18" t="n">
        <f aca="false">IF(AND(F21*L21&gt;M21,M21&gt;0),M21, F21*L21)</f>
        <v>0</v>
      </c>
      <c r="O21" s="13"/>
      <c r="P21" s="2"/>
      <c r="Q21" s="2"/>
      <c r="R21" s="18" t="n">
        <f aca="false">IF(AND(F21*P21&gt;Q21,Q21&gt;0),Q21, F21*P21)</f>
        <v>0</v>
      </c>
      <c r="S21" s="13"/>
      <c r="T21" s="2"/>
      <c r="U21" s="2"/>
      <c r="V21" s="18" t="n">
        <f aca="false">IF(AND(F21*T21&gt;U21,U21&gt;0),U21, F21*T21)</f>
        <v>0</v>
      </c>
      <c r="W21" s="13"/>
      <c r="X21" s="2"/>
      <c r="Y21" s="2"/>
      <c r="Z21" s="18" t="n">
        <f aca="false">IF(AND(F21*X21&gt;Y21,Y21&gt;0),Y21, F21*X21)</f>
        <v>0</v>
      </c>
    </row>
    <row r="22" customFormat="false" ht="15" hidden="false" customHeight="false" outlineLevel="0" collapsed="false">
      <c r="A22" s="13" t="n">
        <v>20</v>
      </c>
      <c r="B22" s="14" t="s">
        <v>45</v>
      </c>
      <c r="C22" s="14" t="s">
        <v>46</v>
      </c>
      <c r="D22" s="15" t="n">
        <v>22984</v>
      </c>
      <c r="E22" s="16"/>
      <c r="F22" s="17" t="n">
        <v>30</v>
      </c>
      <c r="G22" s="13" t="n">
        <v>1017</v>
      </c>
      <c r="H22" s="2" t="n">
        <v>0.5</v>
      </c>
      <c r="I22" s="2"/>
      <c r="J22" s="18" t="n">
        <f aca="false">IF(AND(F22*H22&gt;I22,I22&gt;0),I22, F22*H22)</f>
        <v>15</v>
      </c>
      <c r="K22" s="13"/>
      <c r="L22" s="2"/>
      <c r="M22" s="2"/>
      <c r="N22" s="18" t="n">
        <f aca="false">IF(AND(F22*L22&gt;M22,M22&gt;0),M22, F22*L22)</f>
        <v>0</v>
      </c>
      <c r="O22" s="13"/>
      <c r="P22" s="2"/>
      <c r="Q22" s="2"/>
      <c r="R22" s="18" t="n">
        <f aca="false">IF(AND(F22*P22&gt;Q22,Q22&gt;0),Q22, F22*P22)</f>
        <v>0</v>
      </c>
      <c r="S22" s="13"/>
      <c r="T22" s="2"/>
      <c r="U22" s="2"/>
      <c r="V22" s="18" t="n">
        <f aca="false">IF(AND(F22*T22&gt;U22,U22&gt;0),U22, F22*T22)</f>
        <v>0</v>
      </c>
      <c r="W22" s="13"/>
      <c r="X22" s="2"/>
      <c r="Y22" s="2"/>
      <c r="Z22" s="18" t="n">
        <f aca="false">IF(AND(F22*X22&gt;Y22,Y22&gt;0),Y22, F22*X22)</f>
        <v>0</v>
      </c>
    </row>
    <row r="23" customFormat="false" ht="15" hidden="false" customHeight="false" outlineLevel="0" collapsed="false">
      <c r="A23" s="13" t="n">
        <v>21</v>
      </c>
      <c r="B23" s="14" t="s">
        <v>47</v>
      </c>
      <c r="C23" s="14" t="s">
        <v>48</v>
      </c>
      <c r="D23" s="15" t="n">
        <v>42017</v>
      </c>
      <c r="E23" s="16"/>
      <c r="F23" s="17" t="n">
        <v>22</v>
      </c>
      <c r="G23" s="13" t="n">
        <v>1018</v>
      </c>
      <c r="H23" s="2" t="n">
        <v>0.5</v>
      </c>
      <c r="I23" s="2"/>
      <c r="J23" s="18" t="n">
        <f aca="false">IF(AND(F23*H23&gt;I23,I23&gt;0),I23, F23*H23)</f>
        <v>11</v>
      </c>
      <c r="K23" s="13"/>
      <c r="L23" s="2"/>
      <c r="M23" s="2"/>
      <c r="N23" s="18" t="n">
        <f aca="false">IF(AND(F23*L23&gt;M23,M23&gt;0),M23, F23*L23)</f>
        <v>0</v>
      </c>
      <c r="O23" s="13"/>
      <c r="P23" s="2"/>
      <c r="Q23" s="2"/>
      <c r="R23" s="18" t="n">
        <f aca="false">IF(AND(F23*P23&gt;Q23,Q23&gt;0),Q23, F23*P23)</f>
        <v>0</v>
      </c>
      <c r="S23" s="13"/>
      <c r="T23" s="2"/>
      <c r="U23" s="2"/>
      <c r="V23" s="18" t="n">
        <f aca="false">IF(AND(F23*T23&gt;U23,U23&gt;0),U23, F23*T23)</f>
        <v>0</v>
      </c>
      <c r="W23" s="13"/>
      <c r="X23" s="2"/>
      <c r="Y23" s="2"/>
      <c r="Z23" s="18" t="n">
        <f aca="false">IF(AND(F23*X23&gt;Y23,Y23&gt;0),Y23, F23*X23)</f>
        <v>0</v>
      </c>
    </row>
    <row r="24" customFormat="false" ht="15" hidden="false" customHeight="false" outlineLevel="0" collapsed="false">
      <c r="A24" s="13" t="n">
        <v>22</v>
      </c>
      <c r="B24" s="14" t="s">
        <v>47</v>
      </c>
      <c r="C24" s="14" t="s">
        <v>49</v>
      </c>
      <c r="D24" s="15" t="n">
        <v>41553</v>
      </c>
      <c r="E24" s="16"/>
      <c r="F24" s="17" t="n">
        <v>24</v>
      </c>
      <c r="G24" s="13" t="n">
        <v>1018</v>
      </c>
      <c r="H24" s="2" t="n">
        <v>0.5</v>
      </c>
      <c r="I24" s="2"/>
      <c r="J24" s="18" t="n">
        <f aca="false">IF(AND(F24*H24&gt;I24,I24&gt;0),I24, F24*H24)</f>
        <v>12</v>
      </c>
      <c r="K24" s="13"/>
      <c r="L24" s="2"/>
      <c r="M24" s="2"/>
      <c r="N24" s="18" t="n">
        <f aca="false">IF(AND(F24*L24&gt;M24,M24&gt;0),M24, F24*L24)</f>
        <v>0</v>
      </c>
      <c r="O24" s="13"/>
      <c r="P24" s="2"/>
      <c r="Q24" s="2"/>
      <c r="R24" s="18" t="n">
        <f aca="false">IF(AND(F24*P24&gt;Q24,Q24&gt;0),Q24, F24*P24)</f>
        <v>0</v>
      </c>
      <c r="S24" s="13"/>
      <c r="T24" s="2"/>
      <c r="U24" s="2"/>
      <c r="V24" s="18" t="n">
        <f aca="false">IF(AND(F24*T24&gt;U24,U24&gt;0),U24, F24*T24)</f>
        <v>0</v>
      </c>
      <c r="W24" s="13"/>
      <c r="X24" s="2"/>
      <c r="Y24" s="2"/>
      <c r="Z24" s="18" t="n">
        <f aca="false">IF(AND(F24*X24&gt;Y24,Y24&gt;0),Y24, F24*X24)</f>
        <v>0</v>
      </c>
    </row>
    <row r="25" customFormat="false" ht="15" hidden="false" customHeight="false" outlineLevel="0" collapsed="false">
      <c r="A25" s="13" t="n">
        <v>23</v>
      </c>
      <c r="B25" s="14" t="s">
        <v>50</v>
      </c>
      <c r="C25" s="14" t="s">
        <v>51</v>
      </c>
      <c r="D25" s="15" t="n">
        <v>25956</v>
      </c>
      <c r="E25" s="16" t="n">
        <v>503.504</v>
      </c>
      <c r="F25" s="17" t="n">
        <v>58</v>
      </c>
      <c r="G25" s="13" t="n">
        <v>1003</v>
      </c>
      <c r="H25" s="2" t="n">
        <v>0.5</v>
      </c>
      <c r="I25" s="2"/>
      <c r="J25" s="18" t="n">
        <f aca="false">IF(AND(F25*H25&gt;I25,I25&gt;0),I25, F25*H25)</f>
        <v>29</v>
      </c>
      <c r="K25" s="13" t="n">
        <v>1004</v>
      </c>
      <c r="L25" s="2" t="n">
        <v>0.5</v>
      </c>
      <c r="M25" s="2"/>
      <c r="N25" s="18" t="n">
        <f aca="false">IF(AND(F25*L25&gt;M25,M25&gt;0),M25, F25*L25)</f>
        <v>29</v>
      </c>
      <c r="O25" s="13" t="n">
        <v>1019</v>
      </c>
      <c r="P25" s="2" t="n">
        <v>1</v>
      </c>
      <c r="Q25" s="2" t="n">
        <v>50</v>
      </c>
      <c r="R25" s="18" t="n">
        <f aca="false">IF(AND(F25*P25&gt;Q25,Q25&gt;0),Q25, F25*P25)</f>
        <v>50</v>
      </c>
      <c r="S25" s="13"/>
      <c r="T25" s="2"/>
      <c r="U25" s="2"/>
      <c r="V25" s="18" t="n">
        <f aca="false">IF(AND(F25*T25&gt;U25,U25&gt;0),U25, F25*T25)</f>
        <v>0</v>
      </c>
      <c r="W25" s="13"/>
      <c r="X25" s="2"/>
      <c r="Y25" s="2"/>
      <c r="Z25" s="18" t="n">
        <f aca="false">IF(AND(F25*X25&gt;Y25,Y25&gt;0),Y25, F25*X25)</f>
        <v>0</v>
      </c>
    </row>
    <row r="26" customFormat="false" ht="15" hidden="false" customHeight="false" outlineLevel="0" collapsed="false">
      <c r="A26" s="13" t="n">
        <v>24</v>
      </c>
      <c r="B26" s="14" t="s">
        <v>50</v>
      </c>
      <c r="C26" s="14" t="s">
        <v>52</v>
      </c>
      <c r="D26" s="15" t="n">
        <v>23938</v>
      </c>
      <c r="E26" s="16" t="n">
        <v>503.504</v>
      </c>
      <c r="F26" s="17" t="n">
        <v>60</v>
      </c>
      <c r="G26" s="13" t="n">
        <v>1003</v>
      </c>
      <c r="H26" s="2" t="n">
        <v>0.5</v>
      </c>
      <c r="I26" s="2"/>
      <c r="J26" s="18" t="n">
        <f aca="false">IF(AND(F26*H26&gt;I26,I26&gt;0),I26, F26*H26)</f>
        <v>30</v>
      </c>
      <c r="K26" s="13" t="n">
        <v>1004</v>
      </c>
      <c r="L26" s="2" t="n">
        <v>0.5</v>
      </c>
      <c r="M26" s="2"/>
      <c r="N26" s="18" t="n">
        <f aca="false">IF(AND(F26*L26&gt;M26,M26&gt;0),M26, F26*L26)</f>
        <v>30</v>
      </c>
      <c r="O26" s="13"/>
      <c r="P26" s="2"/>
      <c r="Q26" s="2"/>
      <c r="R26" s="18" t="n">
        <f aca="false">IF(AND(F26*P26&gt;Q26,Q26&gt;0),Q26, F26*P26)</f>
        <v>0</v>
      </c>
      <c r="S26" s="13"/>
      <c r="T26" s="2"/>
      <c r="U26" s="2"/>
      <c r="V26" s="18" t="n">
        <f aca="false">IF(AND(F26*T26&gt;U26,U26&gt;0),U26, F26*T26)</f>
        <v>0</v>
      </c>
      <c r="W26" s="13"/>
      <c r="X26" s="2"/>
      <c r="Y26" s="2"/>
      <c r="Z26" s="18" t="n">
        <f aca="false">IF(AND(F26*X26&gt;Y26,Y26&gt;0),Y26, F26*X26)</f>
        <v>0</v>
      </c>
    </row>
    <row r="27" customFormat="false" ht="15" hidden="false" customHeight="false" outlineLevel="0" collapsed="false">
      <c r="A27" s="13" t="n">
        <v>25</v>
      </c>
      <c r="B27" s="14" t="s">
        <v>53</v>
      </c>
      <c r="C27" s="14" t="s">
        <v>54</v>
      </c>
      <c r="D27" s="15" t="n">
        <v>22857</v>
      </c>
      <c r="E27" s="16" t="n">
        <v>502</v>
      </c>
      <c r="F27" s="17" t="n">
        <v>22</v>
      </c>
      <c r="G27" s="13" t="n">
        <v>1002</v>
      </c>
      <c r="H27" s="2" t="n">
        <v>0.5</v>
      </c>
      <c r="I27" s="2"/>
      <c r="J27" s="18" t="n">
        <f aca="false">IF(AND(F27*H27&gt;I27,I27&gt;0),I27, F27*H27)</f>
        <v>11</v>
      </c>
      <c r="K27" s="13"/>
      <c r="L27" s="2"/>
      <c r="M27" s="2"/>
      <c r="N27" s="18" t="n">
        <f aca="false">IF(AND(F27*L27&gt;M27,M27&gt;0),M27, F27*L27)</f>
        <v>0</v>
      </c>
      <c r="O27" s="13"/>
      <c r="P27" s="2"/>
      <c r="Q27" s="2"/>
      <c r="R27" s="18" t="n">
        <f aca="false">IF(AND(F27*P27&gt;Q27,Q27&gt;0),Q27, F27*P27)</f>
        <v>0</v>
      </c>
      <c r="S27" s="13"/>
      <c r="T27" s="2"/>
      <c r="U27" s="2"/>
      <c r="V27" s="18" t="n">
        <f aca="false">IF(AND(F27*T27&gt;U27,U27&gt;0),U27, F27*T27)</f>
        <v>0</v>
      </c>
      <c r="W27" s="13"/>
      <c r="X27" s="2"/>
      <c r="Y27" s="2"/>
      <c r="Z27" s="18" t="n">
        <f aca="false">IF(AND(F27*X27&gt;Y27,Y27&gt;0),Y27, F27*X27)</f>
        <v>0</v>
      </c>
    </row>
    <row r="28" customFormat="false" ht="15" hidden="false" customHeight="false" outlineLevel="0" collapsed="false">
      <c r="A28" s="13" t="n">
        <v>26</v>
      </c>
      <c r="B28" s="14" t="s">
        <v>55</v>
      </c>
      <c r="C28" s="14" t="s">
        <v>56</v>
      </c>
      <c r="D28" s="15" t="n">
        <v>35823</v>
      </c>
      <c r="E28" s="16" t="n">
        <v>503</v>
      </c>
      <c r="F28" s="17" t="n">
        <v>50</v>
      </c>
      <c r="G28" s="13" t="n">
        <v>1003</v>
      </c>
      <c r="H28" s="2" t="n">
        <v>0.5</v>
      </c>
      <c r="I28" s="2"/>
      <c r="J28" s="18" t="n">
        <f aca="false">IF(AND(F28*H28&gt;I28,I28&gt;0),I28, F28*H28)</f>
        <v>25</v>
      </c>
      <c r="K28" s="13"/>
      <c r="L28" s="2"/>
      <c r="M28" s="2"/>
      <c r="N28" s="18" t="n">
        <f aca="false">IF(AND(F28*L28&gt;M28,M28&gt;0),M28, F28*L28)</f>
        <v>0</v>
      </c>
      <c r="O28" s="13"/>
      <c r="P28" s="2"/>
      <c r="Q28" s="2"/>
      <c r="R28" s="18" t="n">
        <f aca="false">IF(AND(F28*P28&gt;Q28,Q28&gt;0),Q28, F28*P28)</f>
        <v>0</v>
      </c>
      <c r="S28" s="13"/>
      <c r="T28" s="2"/>
      <c r="U28" s="2"/>
      <c r="V28" s="18" t="n">
        <f aca="false">IF(AND(F28*T28&gt;U28,U28&gt;0),U28, F28*T28)</f>
        <v>0</v>
      </c>
      <c r="W28" s="13"/>
      <c r="X28" s="2"/>
      <c r="Y28" s="2"/>
      <c r="Z28" s="18" t="n">
        <f aca="false">IF(AND(F28*X28&gt;Y28,Y28&gt;0),Y28, F28*X28)</f>
        <v>0</v>
      </c>
    </row>
    <row r="29" customFormat="false" ht="15" hidden="false" customHeight="false" outlineLevel="0" collapsed="false">
      <c r="A29" s="13" t="n">
        <v>27</v>
      </c>
      <c r="B29" s="14" t="s">
        <v>50</v>
      </c>
      <c r="C29" s="14" t="s">
        <v>57</v>
      </c>
      <c r="D29" s="15" t="n">
        <v>23066</v>
      </c>
      <c r="E29" s="16"/>
      <c r="F29" s="17" t="n">
        <v>40</v>
      </c>
      <c r="G29" s="13" t="n">
        <v>1020</v>
      </c>
      <c r="H29" s="2" t="n">
        <v>2</v>
      </c>
      <c r="I29" s="2"/>
      <c r="J29" s="18" t="n">
        <f aca="false">IF(AND(F29*H29&gt;I29,I29&gt;0),I29, F29*H29)</f>
        <v>80</v>
      </c>
      <c r="K29" s="13"/>
      <c r="L29" s="2"/>
      <c r="M29" s="2"/>
      <c r="N29" s="18" t="n">
        <f aca="false">IF(AND(F29*L29&gt;M29,M29&gt;0),M29, F29*L29)</f>
        <v>0</v>
      </c>
      <c r="O29" s="13"/>
      <c r="P29" s="2"/>
      <c r="Q29" s="2"/>
      <c r="R29" s="18" t="n">
        <f aca="false">IF(AND(F29*P29&gt;Q29,Q29&gt;0),Q29, F29*P29)</f>
        <v>0</v>
      </c>
      <c r="S29" s="13"/>
      <c r="T29" s="2"/>
      <c r="U29" s="2"/>
      <c r="V29" s="18" t="n">
        <f aca="false">IF(AND(F29*T29&gt;U29,U29&gt;0),U29, F29*T29)</f>
        <v>0</v>
      </c>
      <c r="W29" s="13"/>
      <c r="X29" s="2"/>
      <c r="Y29" s="2"/>
      <c r="Z29" s="18" t="n">
        <f aca="false">IF(AND(F29*X29&gt;Y29,Y29&gt;0),Y29, F29*X29)</f>
        <v>0</v>
      </c>
    </row>
    <row r="30" customFormat="false" ht="15" hidden="false" customHeight="false" outlineLevel="0" collapsed="false">
      <c r="A30" s="13" t="n">
        <v>28</v>
      </c>
      <c r="B30" s="14" t="s">
        <v>58</v>
      </c>
      <c r="C30" s="14" t="s">
        <v>59</v>
      </c>
      <c r="D30" s="15" t="n">
        <v>42146</v>
      </c>
      <c r="E30" s="16"/>
      <c r="F30" s="17" t="n">
        <v>76</v>
      </c>
      <c r="G30" s="13" t="n">
        <v>1021</v>
      </c>
      <c r="H30" s="2" t="n">
        <v>50</v>
      </c>
      <c r="I30" s="2" t="n">
        <v>50</v>
      </c>
      <c r="J30" s="18" t="n">
        <f aca="false">IF(AND(F30*H30&gt;I30,I30&gt;0),I30, F30*H30)</f>
        <v>50</v>
      </c>
      <c r="K30" s="13"/>
      <c r="L30" s="2"/>
      <c r="M30" s="2"/>
      <c r="N30" s="18" t="n">
        <f aca="false">IF(AND(F30*L30&gt;M30,M30&gt;0),M30, F30*L30)</f>
        <v>0</v>
      </c>
      <c r="O30" s="13"/>
      <c r="P30" s="2"/>
      <c r="Q30" s="2"/>
      <c r="R30" s="18" t="n">
        <f aca="false">IF(AND(F30*P30&gt;Q30,Q30&gt;0),Q30, F30*P30)</f>
        <v>0</v>
      </c>
      <c r="S30" s="13"/>
      <c r="T30" s="2"/>
      <c r="U30" s="2"/>
      <c r="V30" s="18" t="n">
        <f aca="false">IF(AND(F30*T30&gt;U30,U30&gt;0),U30, F30*T30)</f>
        <v>0</v>
      </c>
      <c r="W30" s="13"/>
      <c r="X30" s="2"/>
      <c r="Y30" s="2"/>
      <c r="Z30" s="18" t="n">
        <f aca="false">IF(AND(F30*X30&gt;Y30,Y30&gt;0),Y30, F30*X30)</f>
        <v>0</v>
      </c>
    </row>
    <row r="31" customFormat="false" ht="15" hidden="false" customHeight="false" outlineLevel="0" collapsed="false">
      <c r="A31" s="13" t="n">
        <v>29</v>
      </c>
      <c r="B31" s="14" t="s">
        <v>58</v>
      </c>
      <c r="C31" s="14" t="s">
        <v>60</v>
      </c>
      <c r="D31" s="15" t="n">
        <v>28193</v>
      </c>
      <c r="E31" s="16"/>
      <c r="F31" s="20" t="n">
        <v>42</v>
      </c>
      <c r="G31" s="13"/>
      <c r="H31" s="2"/>
      <c r="I31" s="2"/>
      <c r="J31" s="18" t="n">
        <f aca="false">IF(AND(F31*H31&gt;I31,I31&gt;0),I31, F31*H31)</f>
        <v>0</v>
      </c>
      <c r="K31" s="13"/>
      <c r="L31" s="2"/>
      <c r="M31" s="2"/>
      <c r="N31" s="18" t="n">
        <f aca="false">IF(AND(F31*L31&gt;M31,M31&gt;0),M31, F31*L31)</f>
        <v>0</v>
      </c>
      <c r="O31" s="13"/>
      <c r="P31" s="2"/>
      <c r="Q31" s="2"/>
      <c r="R31" s="18" t="n">
        <f aca="false">IF(AND(F31*P31&gt;Q31,Q31&gt;0),Q31, F31*P31)</f>
        <v>0</v>
      </c>
      <c r="S31" s="13"/>
      <c r="T31" s="2"/>
      <c r="U31" s="2"/>
      <c r="V31" s="18" t="n">
        <f aca="false">IF(AND(F31*T31&gt;U31,U31&gt;0),U31, F31*T31)</f>
        <v>0</v>
      </c>
      <c r="W31" s="13"/>
      <c r="X31" s="2"/>
      <c r="Y31" s="2"/>
      <c r="Z31" s="18" t="n">
        <f aca="false">IF(AND(F31*X31&gt;Y31,Y31&gt;0),Y31, F31*X31)</f>
        <v>0</v>
      </c>
    </row>
    <row r="32" customFormat="false" ht="15" hidden="false" customHeight="false" outlineLevel="0" collapsed="false">
      <c r="A32" s="13" t="n">
        <v>30</v>
      </c>
      <c r="B32" s="14" t="s">
        <v>61</v>
      </c>
      <c r="C32" s="14" t="s">
        <v>62</v>
      </c>
      <c r="D32" s="15" t="n">
        <v>43635</v>
      </c>
      <c r="E32" s="16" t="n">
        <v>502</v>
      </c>
      <c r="F32" s="17"/>
      <c r="G32" s="13" t="n">
        <v>1002</v>
      </c>
      <c r="H32" s="2" t="n">
        <v>0.5</v>
      </c>
      <c r="I32" s="2"/>
      <c r="J32" s="18" t="n">
        <f aca="false">IF(AND(F32*H32&gt;I32,I32&gt;0),I32, F32*H32)</f>
        <v>0</v>
      </c>
      <c r="K32" s="13" t="n">
        <v>1022</v>
      </c>
      <c r="L32" s="2" t="n">
        <v>0.5</v>
      </c>
      <c r="M32" s="2"/>
      <c r="N32" s="18" t="n">
        <f aca="false">IF(AND(F32*L32&gt;M32,M32&gt;0),M32, F32*L32)</f>
        <v>0</v>
      </c>
      <c r="O32" s="13" t="n">
        <v>1023</v>
      </c>
      <c r="P32" s="2" t="n">
        <v>0.5</v>
      </c>
      <c r="Q32" s="2"/>
      <c r="R32" s="18" t="n">
        <f aca="false">IF(AND(F32*P32&gt;Q32,Q32&gt;0),Q32, F32*P32)</f>
        <v>0</v>
      </c>
      <c r="S32" s="13" t="n">
        <v>1024</v>
      </c>
      <c r="T32" s="2" t="n">
        <v>0.5</v>
      </c>
      <c r="U32" s="2"/>
      <c r="V32" s="18" t="n">
        <f aca="false">IF(AND(F32*T32&gt;U32,U32&gt;0),U32, F32*T32)</f>
        <v>0</v>
      </c>
      <c r="W32" s="13"/>
      <c r="X32" s="2"/>
      <c r="Y32" s="2"/>
      <c r="Z32" s="18" t="n">
        <f aca="false">IF(AND(F32*X32&gt;Y32,Y32&gt;0),Y32, F32*X32)</f>
        <v>0</v>
      </c>
    </row>
    <row r="33" customFormat="false" ht="15" hidden="false" customHeight="false" outlineLevel="0" collapsed="false">
      <c r="A33" s="13" t="n">
        <v>31</v>
      </c>
      <c r="B33" s="14" t="s">
        <v>61</v>
      </c>
      <c r="C33" s="14" t="s">
        <v>63</v>
      </c>
      <c r="D33" s="15" t="n">
        <v>30515</v>
      </c>
      <c r="E33" s="16" t="n">
        <v>502</v>
      </c>
      <c r="F33" s="17"/>
      <c r="G33" s="13" t="n">
        <v>1002</v>
      </c>
      <c r="H33" s="2" t="n">
        <v>0.5</v>
      </c>
      <c r="I33" s="2"/>
      <c r="J33" s="18" t="n">
        <f aca="false">IF(AND(F33*H33&gt;I33,I33&gt;0),I33, F33*H33)</f>
        <v>0</v>
      </c>
      <c r="K33" s="13"/>
      <c r="L33" s="2"/>
      <c r="M33" s="2"/>
      <c r="N33" s="18" t="n">
        <f aca="false">IF(AND(F33*L33&gt;M33,M33&gt;0),M33, F33*L33)</f>
        <v>0</v>
      </c>
      <c r="O33" s="13"/>
      <c r="P33" s="2"/>
      <c r="Q33" s="2"/>
      <c r="R33" s="18" t="n">
        <f aca="false">IF(AND(F33*P33&gt;Q33,Q33&gt;0),Q33, F33*P33)</f>
        <v>0</v>
      </c>
      <c r="S33" s="13"/>
      <c r="T33" s="2"/>
      <c r="U33" s="2"/>
      <c r="V33" s="18" t="n">
        <f aca="false">IF(AND(F33*T33&gt;U33,U33&gt;0),U33, F33*T33)</f>
        <v>0</v>
      </c>
      <c r="W33" s="13"/>
      <c r="X33" s="2"/>
      <c r="Y33" s="2"/>
      <c r="Z33" s="18" t="n">
        <f aca="false">IF(AND(F33*X33&gt;Y33,Y33&gt;0),Y33, F33*X33)</f>
        <v>0</v>
      </c>
    </row>
    <row r="34" customFormat="false" ht="15" hidden="false" customHeight="false" outlineLevel="0" collapsed="false">
      <c r="A34" s="13" t="n">
        <v>32</v>
      </c>
      <c r="B34" s="14" t="s">
        <v>61</v>
      </c>
      <c r="C34" s="14" t="s">
        <v>64</v>
      </c>
      <c r="D34" s="15" t="n">
        <v>41712</v>
      </c>
      <c r="E34" s="16" t="n">
        <v>502</v>
      </c>
      <c r="F34" s="17" t="n">
        <v>94</v>
      </c>
      <c r="G34" s="13" t="n">
        <v>1002</v>
      </c>
      <c r="H34" s="2" t="n">
        <v>0.5</v>
      </c>
      <c r="I34" s="2"/>
      <c r="J34" s="18" t="n">
        <f aca="false">IF(AND(F34*H34&gt;I34,I34&gt;0),I34, F34*H34)</f>
        <v>47</v>
      </c>
      <c r="K34" s="13" t="n">
        <v>1022</v>
      </c>
      <c r="L34" s="2" t="n">
        <v>0.5</v>
      </c>
      <c r="M34" s="2"/>
      <c r="N34" s="18" t="n">
        <f aca="false">IF(AND(F34*L34&gt;M34,M34&gt;0),M34, F34*L34)</f>
        <v>47</v>
      </c>
      <c r="O34" s="13" t="n">
        <v>1023</v>
      </c>
      <c r="P34" s="2" t="n">
        <v>0.5</v>
      </c>
      <c r="Q34" s="2"/>
      <c r="R34" s="18" t="n">
        <f aca="false">IF(AND(F34*P34&gt;Q34,Q34&gt;0),Q34, F34*P34)</f>
        <v>47</v>
      </c>
      <c r="S34" s="13" t="n">
        <v>1024</v>
      </c>
      <c r="T34" s="2" t="n">
        <v>0.5</v>
      </c>
      <c r="U34" s="2"/>
      <c r="V34" s="18" t="n">
        <f aca="false">IF(AND(F34*T34&gt;U34,U34&gt;0),U34, F34*T34)</f>
        <v>47</v>
      </c>
      <c r="W34" s="13"/>
      <c r="X34" s="2"/>
      <c r="Y34" s="2"/>
      <c r="Z34" s="18" t="n">
        <f aca="false">IF(AND(F34*X34&gt;Y34,Y34&gt;0),Y34, F34*X34)</f>
        <v>0</v>
      </c>
    </row>
    <row r="35" customFormat="false" ht="15" hidden="false" customHeight="false" outlineLevel="0" collapsed="false">
      <c r="A35" s="13" t="n">
        <v>33</v>
      </c>
      <c r="B35" s="14"/>
      <c r="C35" s="14"/>
      <c r="D35" s="15"/>
      <c r="E35" s="16"/>
      <c r="F35" s="17"/>
      <c r="G35" s="13"/>
      <c r="H35" s="2"/>
      <c r="I35" s="2"/>
      <c r="J35" s="18" t="n">
        <f aca="false">IF(AND(F35*H35&gt;I35,I35&gt;0),I35, F35*H35)</f>
        <v>0</v>
      </c>
      <c r="K35" s="13"/>
      <c r="L35" s="2"/>
      <c r="M35" s="2"/>
      <c r="N35" s="18" t="n">
        <f aca="false">IF(AND(F35*L35&gt;M35,M35&gt;0),M35, F35*L35)</f>
        <v>0</v>
      </c>
      <c r="O35" s="13"/>
      <c r="P35" s="2"/>
      <c r="Q35" s="2"/>
      <c r="R35" s="18" t="n">
        <f aca="false">IF(AND(F35*P35&gt;Q35,Q35&gt;0),Q35, F35*P35)</f>
        <v>0</v>
      </c>
      <c r="S35" s="13"/>
      <c r="T35" s="2"/>
      <c r="U35" s="2"/>
      <c r="V35" s="18" t="n">
        <f aca="false">IF(AND(F35*T35&gt;U35,U35&gt;0),U35, F35*T35)</f>
        <v>0</v>
      </c>
      <c r="W35" s="13"/>
      <c r="X35" s="2"/>
      <c r="Y35" s="2"/>
      <c r="Z35" s="18" t="n">
        <f aca="false">IF(AND(F35*X35&gt;Y35,Y35&gt;0),Y35, F35*X35)</f>
        <v>0</v>
      </c>
    </row>
    <row r="36" customFormat="false" ht="15" hidden="false" customHeight="false" outlineLevel="0" collapsed="false">
      <c r="A36" s="13" t="n">
        <v>34</v>
      </c>
      <c r="B36" s="14" t="s">
        <v>61</v>
      </c>
      <c r="C36" s="14" t="s">
        <v>65</v>
      </c>
      <c r="D36" s="15" t="n">
        <v>42528</v>
      </c>
      <c r="E36" s="16" t="n">
        <v>502</v>
      </c>
      <c r="F36" s="17" t="n">
        <v>74</v>
      </c>
      <c r="G36" s="13" t="n">
        <v>1002</v>
      </c>
      <c r="H36" s="2" t="n">
        <v>0.5</v>
      </c>
      <c r="I36" s="2"/>
      <c r="J36" s="18" t="n">
        <f aca="false">IF(AND(F36*H36&gt;I36,I36&gt;0),I36, F36*H36)</f>
        <v>37</v>
      </c>
      <c r="K36" s="13" t="n">
        <v>1022</v>
      </c>
      <c r="L36" s="2" t="n">
        <v>0.5</v>
      </c>
      <c r="M36" s="2"/>
      <c r="N36" s="18" t="n">
        <f aca="false">IF(AND(F36*L36&gt;M36,M36&gt;0),M36, F36*L36)</f>
        <v>37</v>
      </c>
      <c r="O36" s="13" t="n">
        <v>1023</v>
      </c>
      <c r="P36" s="2" t="n">
        <v>0.5</v>
      </c>
      <c r="Q36" s="2"/>
      <c r="R36" s="18" t="n">
        <f aca="false">IF(AND(F36*P36&gt;Q36,Q36&gt;0),Q36, F36*P36)</f>
        <v>37</v>
      </c>
      <c r="S36" s="13" t="n">
        <v>1024</v>
      </c>
      <c r="T36" s="2" t="n">
        <v>0.5</v>
      </c>
      <c r="U36" s="2"/>
      <c r="V36" s="18" t="n">
        <f aca="false">IF(AND(F36*T36&gt;U36,U36&gt;0),U36, F36*T36)</f>
        <v>37</v>
      </c>
      <c r="W36" s="13"/>
      <c r="X36" s="2"/>
      <c r="Y36" s="2"/>
      <c r="Z36" s="18" t="n">
        <f aca="false">IF(AND(F36*X36&gt;Y36,Y36&gt;0),Y36, F36*X36)</f>
        <v>0</v>
      </c>
    </row>
    <row r="37" customFormat="false" ht="15" hidden="false" customHeight="false" outlineLevel="0" collapsed="false">
      <c r="A37" s="13" t="n">
        <v>35</v>
      </c>
      <c r="B37" s="14"/>
      <c r="C37" s="14"/>
      <c r="D37" s="15"/>
      <c r="E37" s="16"/>
      <c r="F37" s="17"/>
      <c r="G37" s="13"/>
      <c r="H37" s="2"/>
      <c r="I37" s="2"/>
      <c r="J37" s="18" t="n">
        <f aca="false">IF(AND(F37*H37&gt;I37,I37&gt;0),I37, F37*H37)</f>
        <v>0</v>
      </c>
      <c r="K37" s="13"/>
      <c r="L37" s="2"/>
      <c r="M37" s="2"/>
      <c r="N37" s="18" t="n">
        <f aca="false">IF(AND(F37*L37&gt;M37,M37&gt;0),M37, F37*L37)</f>
        <v>0</v>
      </c>
      <c r="O37" s="13"/>
      <c r="P37" s="2"/>
      <c r="Q37" s="2"/>
      <c r="R37" s="18" t="n">
        <f aca="false">IF(AND(F37*P37&gt;Q37,Q37&gt;0),Q37, F37*P37)</f>
        <v>0</v>
      </c>
      <c r="S37" s="13"/>
      <c r="T37" s="2"/>
      <c r="U37" s="2"/>
      <c r="V37" s="18" t="n">
        <f aca="false">IF(AND(F37*T37&gt;U37,U37&gt;0),U37, F37*T37)</f>
        <v>0</v>
      </c>
      <c r="W37" s="13"/>
      <c r="X37" s="2"/>
      <c r="Y37" s="2"/>
      <c r="Z37" s="18" t="n">
        <f aca="false">IF(AND(F37*X37&gt;Y37,Y37&gt;0),Y37, F37*X37)</f>
        <v>0</v>
      </c>
    </row>
    <row r="38" customFormat="false" ht="15" hidden="false" customHeight="false" outlineLevel="0" collapsed="false">
      <c r="A38" s="13" t="n">
        <v>36</v>
      </c>
      <c r="B38" s="14" t="s">
        <v>66</v>
      </c>
      <c r="C38" s="14" t="s">
        <v>14</v>
      </c>
      <c r="D38" s="15" t="n">
        <v>24695</v>
      </c>
      <c r="E38" s="16" t="n">
        <v>506</v>
      </c>
      <c r="F38" s="17" t="n">
        <v>20</v>
      </c>
      <c r="G38" s="13" t="n">
        <v>1025</v>
      </c>
      <c r="H38" s="2" t="n">
        <v>250</v>
      </c>
      <c r="I38" s="2" t="n">
        <v>240</v>
      </c>
      <c r="J38" s="18" t="n">
        <f aca="false">IF(AND(F38*H38&gt;I38,I38&gt;0),I38, F38*H38)</f>
        <v>240</v>
      </c>
      <c r="K38" s="13"/>
      <c r="L38" s="2"/>
      <c r="M38" s="2"/>
      <c r="N38" s="18" t="n">
        <f aca="false">IF(AND(F38*L38&gt;M38,M38&gt;0),M38, F38*L38)</f>
        <v>0</v>
      </c>
      <c r="O38" s="13"/>
      <c r="P38" s="2"/>
      <c r="Q38" s="2"/>
      <c r="R38" s="18" t="n">
        <f aca="false">IF(AND(F38*P38&gt;Q38,Q38&gt;0),Q38, F38*P38)</f>
        <v>0</v>
      </c>
      <c r="S38" s="13"/>
      <c r="T38" s="2"/>
      <c r="U38" s="2"/>
      <c r="V38" s="18" t="n">
        <f aca="false">IF(AND(F38*T38&gt;U38,U38&gt;0),U38, F38*T38)</f>
        <v>0</v>
      </c>
      <c r="W38" s="13"/>
      <c r="X38" s="2"/>
      <c r="Y38" s="2"/>
      <c r="Z38" s="18" t="n">
        <f aca="false">IF(AND(F38*X38&gt;Y38,Y38&gt;0),Y38, F38*X38)</f>
        <v>0</v>
      </c>
    </row>
    <row r="39" customFormat="false" ht="15" hidden="false" customHeight="false" outlineLevel="0" collapsed="false">
      <c r="A39" s="13" t="n">
        <v>37</v>
      </c>
      <c r="B39" s="14" t="s">
        <v>67</v>
      </c>
      <c r="C39" s="14" t="s">
        <v>68</v>
      </c>
      <c r="D39" s="15" t="n">
        <v>34462</v>
      </c>
      <c r="E39" s="16" t="n">
        <v>506</v>
      </c>
      <c r="F39" s="17" t="n">
        <v>30</v>
      </c>
      <c r="G39" s="13" t="n">
        <v>1025</v>
      </c>
      <c r="H39" s="2" t="n">
        <v>250</v>
      </c>
      <c r="I39" s="2" t="n">
        <v>1</v>
      </c>
      <c r="J39" s="18" t="n">
        <f aca="false">IF(AND(F39*H39&gt;I39,I39&gt;0),I39, F39*H39)</f>
        <v>1</v>
      </c>
      <c r="K39" s="13"/>
      <c r="L39" s="2"/>
      <c r="M39" s="2"/>
      <c r="N39" s="18" t="n">
        <f aca="false">IF(AND(F39*L39&gt;M39,M39&gt;0),M39, F39*L39)</f>
        <v>0</v>
      </c>
      <c r="O39" s="13"/>
      <c r="P39" s="2"/>
      <c r="Q39" s="2"/>
      <c r="R39" s="18" t="n">
        <f aca="false">IF(AND(F39*P39&gt;Q39,Q39&gt;0),Q39, F39*P39)</f>
        <v>0</v>
      </c>
      <c r="S39" s="13"/>
      <c r="T39" s="2"/>
      <c r="U39" s="2"/>
      <c r="V39" s="18" t="n">
        <f aca="false">IF(AND(F39*T39&gt;U39,U39&gt;0),U39, F39*T39)</f>
        <v>0</v>
      </c>
      <c r="W39" s="13"/>
      <c r="X39" s="2"/>
      <c r="Y39" s="2"/>
      <c r="Z39" s="18" t="n">
        <f aca="false">IF(AND(F39*X39&gt;Y39,Y39&gt;0),Y39, F39*X39)</f>
        <v>0</v>
      </c>
    </row>
    <row r="40" customFormat="false" ht="15" hidden="false" customHeight="false" outlineLevel="0" collapsed="false">
      <c r="A40" s="13" t="n">
        <v>38</v>
      </c>
      <c r="B40" s="14" t="s">
        <v>47</v>
      </c>
      <c r="C40" s="14" t="s">
        <v>69</v>
      </c>
      <c r="D40" s="15" t="n">
        <v>32001</v>
      </c>
      <c r="E40" s="16" t="n">
        <v>506</v>
      </c>
      <c r="F40" s="17" t="n">
        <v>38</v>
      </c>
      <c r="G40" s="13" t="n">
        <v>1025</v>
      </c>
      <c r="H40" s="2" t="n">
        <v>250</v>
      </c>
      <c r="I40" s="2" t="n">
        <v>1</v>
      </c>
      <c r="J40" s="18" t="n">
        <f aca="false">IF(AND(F40*H40&gt;I40,I40&gt;0),I40, F40*H40)</f>
        <v>1</v>
      </c>
      <c r="K40" s="13"/>
      <c r="L40" s="2"/>
      <c r="M40" s="2"/>
      <c r="N40" s="18" t="n">
        <f aca="false">IF(AND(F40*L40&gt;M40,M40&gt;0),M40, F40*L40)</f>
        <v>0</v>
      </c>
      <c r="O40" s="13"/>
      <c r="P40" s="2"/>
      <c r="Q40" s="2"/>
      <c r="R40" s="18" t="n">
        <f aca="false">IF(AND(F40*P40&gt;Q40,Q40&gt;0),Q40, F40*P40)</f>
        <v>0</v>
      </c>
      <c r="S40" s="13"/>
      <c r="T40" s="2"/>
      <c r="U40" s="2"/>
      <c r="V40" s="18" t="n">
        <f aca="false">IF(AND(F40*T40&gt;U40,U40&gt;0),U40, F40*T40)</f>
        <v>0</v>
      </c>
      <c r="W40" s="13"/>
      <c r="X40" s="2"/>
      <c r="Y40" s="2"/>
      <c r="Z40" s="18" t="n">
        <f aca="false">IF(AND(F40*X40&gt;Y40,Y40&gt;0),Y40, F40*X40)</f>
        <v>0</v>
      </c>
    </row>
    <row r="41" customFormat="false" ht="15" hidden="false" customHeight="false" outlineLevel="0" collapsed="false">
      <c r="A41" s="13" t="n">
        <v>39</v>
      </c>
      <c r="B41" s="14" t="s">
        <v>70</v>
      </c>
      <c r="C41" s="14" t="s">
        <v>71</v>
      </c>
      <c r="D41" s="15" t="n">
        <v>34356</v>
      </c>
      <c r="E41" s="16" t="n">
        <v>506</v>
      </c>
      <c r="F41" s="17" t="n">
        <v>20</v>
      </c>
      <c r="G41" s="13" t="n">
        <v>1025</v>
      </c>
      <c r="H41" s="2" t="n">
        <v>250</v>
      </c>
      <c r="I41" s="2" t="n">
        <v>1</v>
      </c>
      <c r="J41" s="18" t="n">
        <f aca="false">IF(AND(F41*H41&gt;I41,I41&gt;0),I41, F41*H41)</f>
        <v>1</v>
      </c>
      <c r="K41" s="13"/>
      <c r="L41" s="2"/>
      <c r="M41" s="2"/>
      <c r="N41" s="18" t="n">
        <f aca="false">IF(AND(F41*L41&gt;M41,M41&gt;0),M41, F41*L41)</f>
        <v>0</v>
      </c>
      <c r="O41" s="13"/>
      <c r="P41" s="2"/>
      <c r="Q41" s="2"/>
      <c r="R41" s="18" t="n">
        <f aca="false">IF(AND(F41*P41&gt;Q41,Q41&gt;0),Q41, F41*P41)</f>
        <v>0</v>
      </c>
      <c r="S41" s="13"/>
      <c r="T41" s="2"/>
      <c r="U41" s="2"/>
      <c r="V41" s="18" t="n">
        <f aca="false">IF(AND(F41*T41&gt;U41,U41&gt;0),U41, F41*T41)</f>
        <v>0</v>
      </c>
      <c r="W41" s="13"/>
      <c r="X41" s="2"/>
      <c r="Y41" s="2"/>
      <c r="Z41" s="18" t="n">
        <f aca="false">IF(AND(F41*X41&gt;Y41,Y41&gt;0),Y41, F41*X41)</f>
        <v>0</v>
      </c>
    </row>
    <row r="42" customFormat="false" ht="15" hidden="false" customHeight="false" outlineLevel="0" collapsed="false">
      <c r="A42" s="13" t="n">
        <v>40</v>
      </c>
      <c r="B42" s="14" t="s">
        <v>47</v>
      </c>
      <c r="C42" s="14" t="s">
        <v>72</v>
      </c>
      <c r="D42" s="15" t="n">
        <v>32160</v>
      </c>
      <c r="E42" s="16" t="n">
        <v>506</v>
      </c>
      <c r="F42" s="17" t="n">
        <v>20</v>
      </c>
      <c r="G42" s="13" t="n">
        <v>1025</v>
      </c>
      <c r="H42" s="2" t="n">
        <v>250</v>
      </c>
      <c r="I42" s="2" t="n">
        <v>1</v>
      </c>
      <c r="J42" s="18" t="n">
        <f aca="false">IF(AND(F42*H42&gt;I42,I42&gt;0),I42, F42*H42)</f>
        <v>1</v>
      </c>
      <c r="K42" s="13"/>
      <c r="L42" s="2"/>
      <c r="M42" s="2"/>
      <c r="N42" s="18" t="n">
        <f aca="false">IF(AND(F42*L42&gt;M42,M42&gt;0),M42, F42*L42)</f>
        <v>0</v>
      </c>
      <c r="O42" s="13"/>
      <c r="P42" s="2"/>
      <c r="Q42" s="2"/>
      <c r="R42" s="18" t="n">
        <f aca="false">IF(AND(F42*P42&gt;Q42,Q42&gt;0),Q42, F42*P42)</f>
        <v>0</v>
      </c>
      <c r="S42" s="13"/>
      <c r="T42" s="2"/>
      <c r="U42" s="2"/>
      <c r="V42" s="18" t="n">
        <f aca="false">IF(AND(F42*T42&gt;U42,U42&gt;0),U42, F42*T42)</f>
        <v>0</v>
      </c>
      <c r="W42" s="13"/>
      <c r="X42" s="2"/>
      <c r="Y42" s="2"/>
      <c r="Z42" s="18" t="n">
        <f aca="false">IF(AND(F42*X42&gt;Y42,Y42&gt;0),Y42, F42*X42)</f>
        <v>0</v>
      </c>
    </row>
    <row r="43" customFormat="false" ht="15" hidden="false" customHeight="false" outlineLevel="0" collapsed="false">
      <c r="A43" s="13" t="n">
        <v>41</v>
      </c>
      <c r="B43" s="14" t="s">
        <v>73</v>
      </c>
      <c r="C43" s="14" t="s">
        <v>74</v>
      </c>
      <c r="D43" s="15" t="n">
        <v>38846</v>
      </c>
      <c r="E43" s="16" t="n">
        <v>506</v>
      </c>
      <c r="F43" s="17" t="n">
        <v>24</v>
      </c>
      <c r="G43" s="13" t="n">
        <v>1025</v>
      </c>
      <c r="H43" s="2" t="n">
        <v>250</v>
      </c>
      <c r="I43" s="2" t="n">
        <v>1</v>
      </c>
      <c r="J43" s="18" t="n">
        <f aca="false">IF(AND(F43*H43&gt;I43,I43&gt;0),I43, F43*H43)</f>
        <v>1</v>
      </c>
      <c r="K43" s="13"/>
      <c r="L43" s="2"/>
      <c r="M43" s="2"/>
      <c r="N43" s="18" t="n">
        <f aca="false">IF(AND(F43*L43&gt;M43,M43&gt;0),M43, F43*L43)</f>
        <v>0</v>
      </c>
      <c r="O43" s="13"/>
      <c r="P43" s="2"/>
      <c r="Q43" s="2"/>
      <c r="R43" s="18" t="n">
        <f aca="false">IF(AND(F43*P43&gt;Q43,Q43&gt;0),Q43, F43*P43)</f>
        <v>0</v>
      </c>
      <c r="S43" s="13"/>
      <c r="T43" s="2"/>
      <c r="U43" s="2"/>
      <c r="V43" s="18" t="n">
        <f aca="false">IF(AND(F43*T43&gt;U43,U43&gt;0),U43, F43*T43)</f>
        <v>0</v>
      </c>
      <c r="W43" s="13"/>
      <c r="X43" s="2"/>
      <c r="Y43" s="2"/>
      <c r="Z43" s="18" t="n">
        <f aca="false">IF(AND(F43*X43&gt;Y43,Y43&gt;0),Y43, F43*X43)</f>
        <v>0</v>
      </c>
    </row>
    <row r="44" customFormat="false" ht="15" hidden="false" customHeight="false" outlineLevel="0" collapsed="false">
      <c r="A44" s="13" t="n">
        <v>42</v>
      </c>
      <c r="B44" s="14" t="s">
        <v>75</v>
      </c>
      <c r="C44" s="14" t="s">
        <v>76</v>
      </c>
      <c r="D44" s="15" t="n">
        <v>36156</v>
      </c>
      <c r="E44" s="16" t="n">
        <v>506</v>
      </c>
      <c r="F44" s="17" t="n">
        <v>22</v>
      </c>
      <c r="G44" s="13" t="n">
        <v>1025</v>
      </c>
      <c r="H44" s="2" t="n">
        <v>250</v>
      </c>
      <c r="I44" s="2" t="n">
        <v>1</v>
      </c>
      <c r="J44" s="18" t="n">
        <f aca="false">IF(AND(F44*H44&gt;I44,I44&gt;0),I44, F44*H44)</f>
        <v>1</v>
      </c>
      <c r="K44" s="13"/>
      <c r="L44" s="2"/>
      <c r="M44" s="2"/>
      <c r="N44" s="18" t="n">
        <f aca="false">IF(AND(F44*L44&gt;M44,M44&gt;0),M44, F44*L44)</f>
        <v>0</v>
      </c>
      <c r="O44" s="13"/>
      <c r="P44" s="2"/>
      <c r="Q44" s="2"/>
      <c r="R44" s="18" t="n">
        <f aca="false">IF(AND(F44*P44&gt;Q44,Q44&gt;0),Q44, F44*P44)</f>
        <v>0</v>
      </c>
      <c r="S44" s="13"/>
      <c r="T44" s="2"/>
      <c r="U44" s="2"/>
      <c r="V44" s="18" t="n">
        <f aca="false">IF(AND(F44*T44&gt;U44,U44&gt;0),U44, F44*T44)</f>
        <v>0</v>
      </c>
      <c r="W44" s="13"/>
      <c r="X44" s="2"/>
      <c r="Y44" s="2"/>
      <c r="Z44" s="18" t="n">
        <f aca="false">IF(AND(F44*X44&gt;Y44,Y44&gt;0),Y44, F44*X44)</f>
        <v>0</v>
      </c>
    </row>
    <row r="45" customFormat="false" ht="15" hidden="false" customHeight="false" outlineLevel="0" collapsed="false">
      <c r="A45" s="13" t="n">
        <v>43</v>
      </c>
      <c r="B45" s="14" t="s">
        <v>73</v>
      </c>
      <c r="C45" s="14" t="s">
        <v>77</v>
      </c>
      <c r="D45" s="15" t="n">
        <v>40369</v>
      </c>
      <c r="E45" s="16" t="n">
        <v>506</v>
      </c>
      <c r="F45" s="17" t="n">
        <v>20</v>
      </c>
      <c r="G45" s="13" t="n">
        <v>1025</v>
      </c>
      <c r="H45" s="2" t="n">
        <v>250</v>
      </c>
      <c r="I45" s="2" t="n">
        <v>1</v>
      </c>
      <c r="J45" s="18" t="n">
        <f aca="false">IF(AND(F45*H45&gt;I45,I45&gt;0),I45, F45*H45)</f>
        <v>1</v>
      </c>
      <c r="K45" s="13"/>
      <c r="L45" s="2"/>
      <c r="M45" s="2"/>
      <c r="N45" s="18" t="n">
        <f aca="false">IF(AND(F45*L45&gt;M45,M45&gt;0),M45, F45*L45)</f>
        <v>0</v>
      </c>
      <c r="O45" s="13"/>
      <c r="P45" s="2"/>
      <c r="Q45" s="2"/>
      <c r="R45" s="18" t="n">
        <f aca="false">IF(AND(F45*P45&gt;Q45,Q45&gt;0),Q45, F45*P45)</f>
        <v>0</v>
      </c>
      <c r="S45" s="13"/>
      <c r="T45" s="2"/>
      <c r="U45" s="2"/>
      <c r="V45" s="18" t="n">
        <f aca="false">IF(AND(F45*T45&gt;U45,U45&gt;0),U45, F45*T45)</f>
        <v>0</v>
      </c>
      <c r="W45" s="13"/>
      <c r="X45" s="2"/>
      <c r="Y45" s="2"/>
      <c r="Z45" s="18" t="n">
        <f aca="false">IF(AND(F45*X45&gt;Y45,Y45&gt;0),Y45, F45*X45)</f>
        <v>0</v>
      </c>
    </row>
    <row r="46" customFormat="false" ht="15" hidden="false" customHeight="false" outlineLevel="0" collapsed="false">
      <c r="A46" s="13" t="n">
        <v>44</v>
      </c>
      <c r="B46" s="14" t="s">
        <v>78</v>
      </c>
      <c r="C46" s="14" t="s">
        <v>79</v>
      </c>
      <c r="D46" s="15" t="n">
        <v>34206</v>
      </c>
      <c r="E46" s="16" t="n">
        <v>506</v>
      </c>
      <c r="F46" s="17" t="n">
        <v>14</v>
      </c>
      <c r="G46" s="13" t="n">
        <v>1025</v>
      </c>
      <c r="H46" s="2" t="n">
        <v>250</v>
      </c>
      <c r="I46" s="2" t="n">
        <v>1</v>
      </c>
      <c r="J46" s="18" t="n">
        <f aca="false">IF(AND(F46*H46&gt;I46,I46&gt;0),I46, F46*H46)</f>
        <v>1</v>
      </c>
      <c r="M46" s="2"/>
      <c r="N46" s="18" t="n">
        <f aca="false">IF(AND(F46*L46&gt;M46,M46&gt;0),M46, F46*L46)</f>
        <v>0</v>
      </c>
      <c r="O46" s="13"/>
      <c r="P46" s="2"/>
      <c r="Q46" s="2"/>
      <c r="R46" s="18" t="n">
        <f aca="false">IF(AND(F46*P46&gt;Q46,Q46&gt;0),Q46, F46*P46)</f>
        <v>0</v>
      </c>
      <c r="S46" s="13"/>
      <c r="T46" s="2"/>
      <c r="U46" s="2"/>
      <c r="V46" s="18" t="n">
        <f aca="false">IF(AND(F46*T46&gt;U46,U46&gt;0),U46, F46*T46)</f>
        <v>0</v>
      </c>
      <c r="W46" s="13"/>
      <c r="X46" s="2"/>
      <c r="Y46" s="2"/>
      <c r="Z46" s="18" t="n">
        <f aca="false">IF(AND(F46*X46&gt;Y46,Y46&gt;0),Y46, F46*X46)</f>
        <v>0</v>
      </c>
    </row>
    <row r="47" customFormat="false" ht="15" hidden="false" customHeight="false" outlineLevel="0" collapsed="false">
      <c r="A47" s="13" t="n">
        <v>45</v>
      </c>
      <c r="B47" s="14" t="s">
        <v>67</v>
      </c>
      <c r="C47" s="14" t="s">
        <v>80</v>
      </c>
      <c r="D47" s="15" t="n">
        <v>35767</v>
      </c>
      <c r="E47" s="16" t="n">
        <v>506</v>
      </c>
      <c r="F47" s="17" t="n">
        <v>28</v>
      </c>
      <c r="G47" s="13" t="n">
        <v>1025</v>
      </c>
      <c r="H47" s="2" t="n">
        <v>250</v>
      </c>
      <c r="I47" s="2" t="n">
        <v>1</v>
      </c>
      <c r="J47" s="18" t="n">
        <f aca="false">IF(AND(F47*H47&gt;I47,I47&gt;0),I47, F47*H47)</f>
        <v>1</v>
      </c>
      <c r="K47" s="13"/>
      <c r="L47" s="2"/>
      <c r="M47" s="2"/>
      <c r="N47" s="18" t="n">
        <f aca="false">IF(AND(F47*L47&gt;M47,M47&gt;0),M47, F47*L47)</f>
        <v>0</v>
      </c>
      <c r="O47" s="13"/>
      <c r="P47" s="2"/>
      <c r="Q47" s="2"/>
      <c r="R47" s="18" t="n">
        <f aca="false">IF(AND(F47*P47&gt;Q47,Q47&gt;0),Q47, F47*P47)</f>
        <v>0</v>
      </c>
      <c r="S47" s="13"/>
      <c r="T47" s="2"/>
      <c r="U47" s="2"/>
      <c r="V47" s="18" t="n">
        <f aca="false">IF(AND(F47*T47&gt;U47,U47&gt;0),U47, F47*T47)</f>
        <v>0</v>
      </c>
      <c r="W47" s="13"/>
      <c r="X47" s="2"/>
      <c r="Y47" s="2"/>
      <c r="Z47" s="18" t="n">
        <f aca="false">IF(AND(F47*X47&gt;Y47,Y47&gt;0),Y47, F47*X47)</f>
        <v>0</v>
      </c>
    </row>
    <row r="48" customFormat="false" ht="15" hidden="false" customHeight="false" outlineLevel="0" collapsed="false">
      <c r="A48" s="13" t="n">
        <v>46</v>
      </c>
      <c r="B48" s="14" t="s">
        <v>81</v>
      </c>
      <c r="C48" s="14" t="s">
        <v>82</v>
      </c>
      <c r="D48" s="15" t="n">
        <v>36526</v>
      </c>
      <c r="E48" s="16" t="n">
        <v>506</v>
      </c>
      <c r="F48" s="17" t="n">
        <v>8</v>
      </c>
      <c r="G48" s="13" t="n">
        <v>1025</v>
      </c>
      <c r="H48" s="2" t="n">
        <v>250</v>
      </c>
      <c r="I48" s="2" t="n">
        <v>1</v>
      </c>
      <c r="J48" s="18" t="n">
        <f aca="false">IF(AND(F48*H48&gt;I48,I48&gt;0),I48, F48*H48)</f>
        <v>1</v>
      </c>
      <c r="K48" s="13"/>
      <c r="L48" s="2"/>
      <c r="M48" s="2"/>
      <c r="N48" s="18" t="n">
        <f aca="false">IF(AND(F48*L48&gt;M48,M48&gt;0),M48, F48*L48)</f>
        <v>0</v>
      </c>
      <c r="O48" s="13"/>
      <c r="P48" s="2"/>
      <c r="Q48" s="2"/>
      <c r="R48" s="18" t="n">
        <f aca="false">IF(AND(F48*P48&gt;Q48,Q48&gt;0),Q48, F48*P48)</f>
        <v>0</v>
      </c>
      <c r="S48" s="13"/>
      <c r="T48" s="2"/>
      <c r="U48" s="2"/>
      <c r="V48" s="18" t="n">
        <f aca="false">IF(AND(F48*T48&gt;U48,U48&gt;0),U48, F48*T48)</f>
        <v>0</v>
      </c>
      <c r="W48" s="13"/>
      <c r="X48" s="2"/>
      <c r="Y48" s="2"/>
      <c r="Z48" s="18" t="n">
        <f aca="false">IF(AND(F48*X48&gt;Y48,Y48&gt;0),Y48, F48*X48)</f>
        <v>0</v>
      </c>
    </row>
    <row r="49" customFormat="false" ht="15" hidden="false" customHeight="false" outlineLevel="0" collapsed="false">
      <c r="A49" s="13" t="n">
        <v>47</v>
      </c>
      <c r="B49" s="14" t="s">
        <v>83</v>
      </c>
      <c r="C49" s="14" t="s">
        <v>84</v>
      </c>
      <c r="D49" s="15" t="n">
        <v>30358</v>
      </c>
      <c r="E49" s="16" t="n">
        <v>503</v>
      </c>
      <c r="F49" s="17" t="n">
        <v>70</v>
      </c>
      <c r="G49" s="13" t="n">
        <v>1003</v>
      </c>
      <c r="H49" s="2" t="n">
        <v>0.5</v>
      </c>
      <c r="I49" s="2"/>
      <c r="J49" s="18" t="n">
        <f aca="false">IF(AND(F49*H49&gt;I49,I49&gt;0),I49, F49*H49)</f>
        <v>35</v>
      </c>
      <c r="K49" s="13"/>
      <c r="L49" s="2"/>
      <c r="M49" s="2"/>
      <c r="N49" s="18" t="n">
        <f aca="false">IF(AND(F49*L49&gt;M49,M49&gt;0),M49, F49*L49)</f>
        <v>0</v>
      </c>
      <c r="O49" s="13"/>
      <c r="P49" s="2"/>
      <c r="Q49" s="2"/>
      <c r="R49" s="18" t="n">
        <f aca="false">IF(AND(F49*P49&gt;Q49,Q49&gt;0),Q49, F49*P49)</f>
        <v>0</v>
      </c>
      <c r="S49" s="13"/>
      <c r="T49" s="2"/>
      <c r="U49" s="2"/>
      <c r="V49" s="18" t="n">
        <f aca="false">IF(AND(F49*T49&gt;U49,U49&gt;0),U49, F49*T49)</f>
        <v>0</v>
      </c>
      <c r="W49" s="13"/>
      <c r="X49" s="2"/>
      <c r="Y49" s="2"/>
      <c r="Z49" s="18" t="n">
        <f aca="false">IF(AND(F49*X49&gt;Y49,Y49&gt;0),Y49, F49*X49)</f>
        <v>0</v>
      </c>
    </row>
    <row r="50" customFormat="false" ht="15" hidden="false" customHeight="false" outlineLevel="0" collapsed="false">
      <c r="A50" s="13" t="n">
        <v>48</v>
      </c>
      <c r="B50" s="14" t="s">
        <v>83</v>
      </c>
      <c r="C50" s="14" t="s">
        <v>85</v>
      </c>
      <c r="D50" s="15" t="n">
        <v>42027</v>
      </c>
      <c r="E50" s="16" t="n">
        <v>503</v>
      </c>
      <c r="F50" s="17" t="n">
        <v>122</v>
      </c>
      <c r="G50" s="13" t="n">
        <v>1003</v>
      </c>
      <c r="H50" s="2" t="n">
        <v>0.5</v>
      </c>
      <c r="I50" s="2"/>
      <c r="J50" s="18" t="n">
        <f aca="false">IF(AND(F50*H50&gt;I50,I50&gt;0),I50, F50*H50)</f>
        <v>61</v>
      </c>
      <c r="K50" s="13"/>
      <c r="L50" s="2"/>
      <c r="M50" s="2"/>
      <c r="N50" s="18" t="n">
        <f aca="false">IF(AND(F50*L50&gt;M50,M50&gt;0),M50, F50*L50)</f>
        <v>0</v>
      </c>
      <c r="O50" s="13"/>
      <c r="P50" s="2"/>
      <c r="Q50" s="2"/>
      <c r="R50" s="18" t="n">
        <f aca="false">IF(AND(F50*P50&gt;Q50,Q50&gt;0),Q50, F50*P50)</f>
        <v>0</v>
      </c>
      <c r="S50" s="13"/>
      <c r="T50" s="2"/>
      <c r="U50" s="2"/>
      <c r="V50" s="18" t="n">
        <f aca="false">IF(AND(F50*T50&gt;U50,U50&gt;0),U50, F50*T50)</f>
        <v>0</v>
      </c>
      <c r="W50" s="13"/>
      <c r="X50" s="2"/>
      <c r="Y50" s="2"/>
      <c r="Z50" s="18" t="n">
        <f aca="false">IF(AND(F50*X50&gt;Y50,Y50&gt;0),Y50, F50*X50)</f>
        <v>0</v>
      </c>
    </row>
    <row r="51" customFormat="false" ht="15" hidden="false" customHeight="false" outlineLevel="0" collapsed="false">
      <c r="A51" s="13" t="n">
        <v>49</v>
      </c>
      <c r="B51" s="14" t="s">
        <v>83</v>
      </c>
      <c r="C51" s="14" t="s">
        <v>86</v>
      </c>
      <c r="D51" s="15" t="n">
        <v>41408</v>
      </c>
      <c r="E51" s="16" t="n">
        <v>503</v>
      </c>
      <c r="F51" s="17" t="n">
        <v>120</v>
      </c>
      <c r="G51" s="13" t="n">
        <v>1003</v>
      </c>
      <c r="H51" s="2" t="n">
        <v>0.5</v>
      </c>
      <c r="I51" s="2"/>
      <c r="J51" s="18" t="n">
        <f aca="false">IF(AND(F51*H51&gt;I51,I51&gt;0),I51, F51*H51)</f>
        <v>60</v>
      </c>
      <c r="K51" s="13"/>
      <c r="L51" s="2"/>
      <c r="M51" s="2"/>
      <c r="N51" s="18" t="n">
        <f aca="false">IF(AND(F51*L51&gt;M51,M51&gt;0),M51, F51*L51)</f>
        <v>0</v>
      </c>
      <c r="O51" s="13"/>
      <c r="P51" s="2"/>
      <c r="Q51" s="2"/>
      <c r="R51" s="18" t="n">
        <f aca="false">IF(AND(F51*P51&gt;Q51,Q51&gt;0),Q51, F51*P51)</f>
        <v>0</v>
      </c>
      <c r="S51" s="13"/>
      <c r="T51" s="2"/>
      <c r="U51" s="2"/>
      <c r="V51" s="18" t="n">
        <f aca="false">IF(AND(F51*T51&gt;U51,U51&gt;0),U51, F51*T51)</f>
        <v>0</v>
      </c>
      <c r="W51" s="13"/>
      <c r="X51" s="2"/>
      <c r="Y51" s="2"/>
      <c r="Z51" s="18" t="n">
        <f aca="false">IF(AND(F51*X51&gt;Y51,Y51&gt;0),Y51, F51*X51)</f>
        <v>0</v>
      </c>
    </row>
    <row r="52" customFormat="false" ht="15" hidden="false" customHeight="false" outlineLevel="0" collapsed="false">
      <c r="A52" s="13" t="n">
        <v>50</v>
      </c>
      <c r="B52" s="14" t="s">
        <v>87</v>
      </c>
      <c r="C52" s="14" t="s">
        <v>88</v>
      </c>
      <c r="D52" s="15" t="n">
        <v>40298</v>
      </c>
      <c r="E52" s="16" t="n">
        <v>502</v>
      </c>
      <c r="F52" s="17" t="n">
        <v>52</v>
      </c>
      <c r="G52" s="13" t="n">
        <v>1002</v>
      </c>
      <c r="H52" s="2" t="n">
        <v>0.5</v>
      </c>
      <c r="I52" s="2"/>
      <c r="J52" s="18" t="n">
        <f aca="false">IF(AND(F52*H52&gt;I52,I52&gt;0),I52, F52*H52)</f>
        <v>26</v>
      </c>
      <c r="K52" s="13" t="n">
        <v>1034</v>
      </c>
      <c r="L52" s="2" t="n">
        <v>1</v>
      </c>
      <c r="M52" s="2"/>
      <c r="N52" s="18" t="n">
        <f aca="false">IF(AND(F52*L52&gt;M52,M52&gt;0),M52, F52*L52)</f>
        <v>52</v>
      </c>
      <c r="O52" s="13"/>
      <c r="P52" s="2"/>
      <c r="Q52" s="2"/>
      <c r="R52" s="18" t="n">
        <f aca="false">IF(AND(F52*P52&gt;Q52,Q52&gt;0),Q52, F52*P52)</f>
        <v>0</v>
      </c>
      <c r="S52" s="13"/>
      <c r="T52" s="2"/>
      <c r="U52" s="2"/>
      <c r="V52" s="18" t="n">
        <f aca="false">IF(AND(F52*T52&gt;U52,U52&gt;0),U52, F52*T52)</f>
        <v>0</v>
      </c>
      <c r="W52" s="13"/>
      <c r="X52" s="2"/>
      <c r="Y52" s="2"/>
      <c r="Z52" s="18" t="n">
        <f aca="false">IF(AND(F52*X52&gt;Y52,Y52&gt;0),Y52, F52*X52)</f>
        <v>0</v>
      </c>
    </row>
    <row r="53" customFormat="false" ht="15" hidden="false" customHeight="false" outlineLevel="0" collapsed="false">
      <c r="A53" s="13" t="n">
        <v>51</v>
      </c>
      <c r="B53" s="14" t="s">
        <v>89</v>
      </c>
      <c r="C53" s="14" t="s">
        <v>19</v>
      </c>
      <c r="D53" s="15" t="n">
        <v>42629</v>
      </c>
      <c r="E53" s="16" t="n">
        <v>507</v>
      </c>
      <c r="F53" s="17" t="n">
        <v>108</v>
      </c>
      <c r="G53" s="13"/>
      <c r="H53" s="2"/>
      <c r="I53" s="2"/>
      <c r="J53" s="18" t="n">
        <f aca="false">IF(AND(F53*H53&gt;I53,I53&gt;0),I53, F53*H53)</f>
        <v>0</v>
      </c>
      <c r="K53" s="13"/>
      <c r="L53" s="2"/>
      <c r="M53" s="2"/>
      <c r="N53" s="18" t="n">
        <f aca="false">IF(AND(F53*L53&gt;M53,M53&gt;0),M53, F53*L53)</f>
        <v>0</v>
      </c>
      <c r="O53" s="13"/>
      <c r="P53" s="2"/>
      <c r="Q53" s="2"/>
      <c r="R53" s="18" t="n">
        <f aca="false">IF(AND(F53*P53&gt;Q53,Q53&gt;0),Q53, F53*P53)</f>
        <v>0</v>
      </c>
      <c r="S53" s="13"/>
      <c r="T53" s="2"/>
      <c r="U53" s="2"/>
      <c r="V53" s="18" t="n">
        <f aca="false">IF(AND(F53*T53&gt;U53,U53&gt;0),U53, F53*T53)</f>
        <v>0</v>
      </c>
      <c r="W53" s="13"/>
      <c r="X53" s="2"/>
      <c r="Y53" s="2"/>
      <c r="Z53" s="18" t="n">
        <f aca="false">IF(AND(F53*X53&gt;Y53,Y53&gt;0),Y53, F53*X53)</f>
        <v>0</v>
      </c>
    </row>
    <row r="54" customFormat="false" ht="15" hidden="false" customHeight="false" outlineLevel="0" collapsed="false">
      <c r="A54" s="13" t="n">
        <v>52</v>
      </c>
      <c r="B54" s="14" t="s">
        <v>89</v>
      </c>
      <c r="C54" s="14" t="s">
        <v>90</v>
      </c>
      <c r="D54" s="15" t="n">
        <v>27766</v>
      </c>
      <c r="E54" s="16" t="n">
        <v>507</v>
      </c>
      <c r="F54" s="17" t="n">
        <v>38</v>
      </c>
      <c r="G54" s="13"/>
      <c r="H54" s="2"/>
      <c r="I54" s="2"/>
      <c r="J54" s="18" t="n">
        <f aca="false">IF(AND(F54*H54&gt;I54,I54&gt;0),I54, F54*H54)</f>
        <v>0</v>
      </c>
      <c r="K54" s="13"/>
      <c r="L54" s="2"/>
      <c r="M54" s="2"/>
      <c r="N54" s="18" t="n">
        <f aca="false">IF(AND(F54*L54&gt;M54,M54&gt;0),M54, F54*L54)</f>
        <v>0</v>
      </c>
      <c r="O54" s="13"/>
      <c r="P54" s="2"/>
      <c r="Q54" s="2"/>
      <c r="R54" s="18" t="n">
        <f aca="false">IF(AND(F54*P54&gt;Q54,Q54&gt;0),Q54, F54*P54)</f>
        <v>0</v>
      </c>
      <c r="S54" s="13"/>
      <c r="T54" s="2"/>
      <c r="U54" s="2"/>
      <c r="V54" s="18" t="n">
        <f aca="false">IF(AND(F54*T54&gt;U54,U54&gt;0),U54, F54*T54)</f>
        <v>0</v>
      </c>
      <c r="W54" s="13"/>
      <c r="X54" s="2"/>
      <c r="Y54" s="2"/>
      <c r="Z54" s="18" t="n">
        <f aca="false">IF(AND(F54*X54&gt;Y54,Y54&gt;0),Y54, F54*X54)</f>
        <v>0</v>
      </c>
    </row>
    <row r="55" customFormat="false" ht="15" hidden="false" customHeight="false" outlineLevel="0" collapsed="false">
      <c r="A55" s="13" t="n">
        <v>53</v>
      </c>
      <c r="B55" s="14" t="s">
        <v>89</v>
      </c>
      <c r="C55" s="14" t="s">
        <v>91</v>
      </c>
      <c r="D55" s="15" t="n">
        <v>39823</v>
      </c>
      <c r="E55" s="16" t="n">
        <v>507</v>
      </c>
      <c r="F55" s="17" t="n">
        <v>60</v>
      </c>
      <c r="G55" s="13"/>
      <c r="H55" s="2"/>
      <c r="I55" s="2"/>
      <c r="J55" s="18" t="n">
        <f aca="false">IF(AND(F55*H55&gt;I55,I55&gt;0),I55, F55*H55)</f>
        <v>0</v>
      </c>
      <c r="K55" s="13"/>
      <c r="L55" s="2"/>
      <c r="M55" s="2"/>
      <c r="N55" s="18" t="n">
        <f aca="false">IF(AND(F55*L55&gt;M55,M55&gt;0),M55, F55*L55)</f>
        <v>0</v>
      </c>
      <c r="O55" s="13"/>
      <c r="P55" s="2"/>
      <c r="Q55" s="2"/>
      <c r="R55" s="18" t="n">
        <f aca="false">IF(AND(F55*P55&gt;Q55,Q55&gt;0),Q55, F55*P55)</f>
        <v>0</v>
      </c>
      <c r="S55" s="13"/>
      <c r="T55" s="2"/>
      <c r="U55" s="2"/>
      <c r="V55" s="18" t="n">
        <f aca="false">IF(AND(F55*T55&gt;U55,U55&gt;0),U55, F55*T55)</f>
        <v>0</v>
      </c>
      <c r="W55" s="13"/>
      <c r="X55" s="2"/>
      <c r="Y55" s="2"/>
      <c r="Z55" s="18" t="n">
        <f aca="false">IF(AND(F55*X55&gt;Y55,Y55&gt;0),Y55, F55*X55)</f>
        <v>0</v>
      </c>
    </row>
    <row r="56" customFormat="false" ht="15" hidden="false" customHeight="false" outlineLevel="0" collapsed="false">
      <c r="A56" s="13" t="n">
        <v>54</v>
      </c>
      <c r="B56" s="14" t="s">
        <v>89</v>
      </c>
      <c r="C56" s="14" t="s">
        <v>92</v>
      </c>
      <c r="D56" s="15" t="n">
        <v>27486</v>
      </c>
      <c r="E56" s="16" t="n">
        <v>507</v>
      </c>
      <c r="F56" s="17" t="n">
        <v>40</v>
      </c>
      <c r="G56" s="13"/>
      <c r="H56" s="2"/>
      <c r="I56" s="2"/>
      <c r="J56" s="18" t="n">
        <f aca="false">IF(AND(F56*H56&gt;I56,I56&gt;0),I56, F56*H56)</f>
        <v>0</v>
      </c>
      <c r="K56" s="13"/>
      <c r="L56" s="2"/>
      <c r="M56" s="2"/>
      <c r="N56" s="18" t="n">
        <f aca="false">IF(AND(F56*L56&gt;M56,M56&gt;0),M56, F56*L56)</f>
        <v>0</v>
      </c>
      <c r="O56" s="13"/>
      <c r="P56" s="2"/>
      <c r="Q56" s="2"/>
      <c r="R56" s="18" t="n">
        <f aca="false">IF(AND(F56*P56&gt;Q56,Q56&gt;0),Q56, F56*P56)</f>
        <v>0</v>
      </c>
      <c r="S56" s="13"/>
      <c r="T56" s="2"/>
      <c r="U56" s="2"/>
      <c r="V56" s="18" t="n">
        <f aca="false">IF(AND(F56*T56&gt;U56,U56&gt;0),U56, F56*T56)</f>
        <v>0</v>
      </c>
      <c r="W56" s="13"/>
      <c r="X56" s="2"/>
      <c r="Y56" s="2"/>
      <c r="Z56" s="18" t="n">
        <f aca="false">IF(AND(F56*X56&gt;Y56,Y56&gt;0),Y56, F56*X56)</f>
        <v>0</v>
      </c>
    </row>
    <row r="57" customFormat="false" ht="15" hidden="false" customHeight="false" outlineLevel="0" collapsed="false">
      <c r="A57" s="13" t="n">
        <v>55</v>
      </c>
      <c r="B57" s="14" t="s">
        <v>93</v>
      </c>
      <c r="C57" s="14" t="s">
        <v>94</v>
      </c>
      <c r="D57" s="15" t="n">
        <v>41475</v>
      </c>
      <c r="E57" s="16" t="n">
        <v>503</v>
      </c>
      <c r="F57" s="17" t="n">
        <v>32</v>
      </c>
      <c r="G57" s="13" t="n">
        <v>1003</v>
      </c>
      <c r="H57" s="2" t="n">
        <v>0.5</v>
      </c>
      <c r="I57" s="2"/>
      <c r="J57" s="18" t="n">
        <f aca="false">IF(AND(F57*H57&gt;I57,I57&gt;0),I57, F57*H57)</f>
        <v>16</v>
      </c>
      <c r="K57" s="13"/>
      <c r="L57" s="2"/>
      <c r="M57" s="2"/>
      <c r="N57" s="18" t="n">
        <f aca="false">IF(AND(F57*L57&gt;M57,M57&gt;0),M57, F57*L57)</f>
        <v>0</v>
      </c>
      <c r="O57" s="13"/>
      <c r="P57" s="2"/>
      <c r="Q57" s="2"/>
      <c r="R57" s="18" t="n">
        <f aca="false">IF(AND(F57*P57&gt;Q57,Q57&gt;0),Q57, F57*P57)</f>
        <v>0</v>
      </c>
      <c r="S57" s="13"/>
      <c r="T57" s="2"/>
      <c r="U57" s="2"/>
      <c r="V57" s="18" t="n">
        <f aca="false">IF(AND(F57*T57&gt;U57,U57&gt;0),U57, F57*T57)</f>
        <v>0</v>
      </c>
      <c r="W57" s="13"/>
      <c r="X57" s="2"/>
      <c r="Y57" s="2"/>
      <c r="Z57" s="18" t="n">
        <f aca="false">IF(AND(F57*X57&gt;Y57,Y57&gt;0),Y57, F57*X57)</f>
        <v>0</v>
      </c>
    </row>
    <row r="58" customFormat="false" ht="15" hidden="false" customHeight="false" outlineLevel="0" collapsed="false">
      <c r="A58" s="13" t="n">
        <v>56</v>
      </c>
      <c r="B58" s="14" t="s">
        <v>95</v>
      </c>
      <c r="C58" s="14" t="s">
        <v>96</v>
      </c>
      <c r="D58" s="15" t="n">
        <v>40445</v>
      </c>
      <c r="E58" s="16" t="n">
        <v>503</v>
      </c>
      <c r="F58" s="17" t="n">
        <v>40</v>
      </c>
      <c r="G58" s="13" t="n">
        <v>1003</v>
      </c>
      <c r="H58" s="2" t="n">
        <v>0.5</v>
      </c>
      <c r="I58" s="2"/>
      <c r="J58" s="18" t="n">
        <f aca="false">IF(AND(F58*H58&gt;I58,I58&gt;0),I58, F58*H58)</f>
        <v>20</v>
      </c>
      <c r="K58" s="13"/>
      <c r="L58" s="2"/>
      <c r="M58" s="2"/>
      <c r="N58" s="18" t="n">
        <f aca="false">IF(AND(F58*L58&gt;M58,M58&gt;0),M58, F58*L58)</f>
        <v>0</v>
      </c>
      <c r="O58" s="13"/>
      <c r="P58" s="2"/>
      <c r="Q58" s="2"/>
      <c r="R58" s="18" t="n">
        <f aca="false">IF(AND(F58*P58&gt;Q58,Q58&gt;0),Q58, F58*P58)</f>
        <v>0</v>
      </c>
      <c r="S58" s="13"/>
      <c r="T58" s="2"/>
      <c r="U58" s="2"/>
      <c r="V58" s="18" t="n">
        <f aca="false">IF(AND(F58*T58&gt;U58,U58&gt;0),U58, F58*T58)</f>
        <v>0</v>
      </c>
      <c r="W58" s="13"/>
      <c r="X58" s="2"/>
      <c r="Y58" s="2"/>
      <c r="Z58" s="18" t="n">
        <f aca="false">IF(AND(F58*X58&gt;Y58,Y58&gt;0),Y58, F58*X58)</f>
        <v>0</v>
      </c>
    </row>
    <row r="59" customFormat="false" ht="15" hidden="false" customHeight="false" outlineLevel="0" collapsed="false">
      <c r="A59" s="13" t="n">
        <v>57</v>
      </c>
      <c r="B59" s="14" t="s">
        <v>97</v>
      </c>
      <c r="C59" s="14" t="s">
        <v>98</v>
      </c>
      <c r="D59" s="15" t="n">
        <v>42300</v>
      </c>
      <c r="E59" s="16"/>
      <c r="F59" s="17" t="n">
        <v>26</v>
      </c>
      <c r="G59" s="13" t="n">
        <v>1018</v>
      </c>
      <c r="H59" s="2" t="n">
        <v>0.5</v>
      </c>
      <c r="I59" s="2"/>
      <c r="J59" s="18" t="n">
        <f aca="false">IF(AND(F59*H59&gt;I59,I59&gt;0),I59, F59*H59)</f>
        <v>13</v>
      </c>
      <c r="K59" s="13"/>
      <c r="L59" s="2"/>
      <c r="M59" s="2"/>
      <c r="N59" s="18" t="n">
        <f aca="false">IF(AND(F59*L59&gt;M59,M59&gt;0),M59, F59*L59)</f>
        <v>0</v>
      </c>
      <c r="O59" s="13"/>
      <c r="P59" s="2"/>
      <c r="Q59" s="2"/>
      <c r="R59" s="18" t="n">
        <f aca="false">IF(AND(F59*P59&gt;Q59,Q59&gt;0),Q59, F59*P59)</f>
        <v>0</v>
      </c>
      <c r="S59" s="13"/>
      <c r="T59" s="2"/>
      <c r="U59" s="2"/>
      <c r="V59" s="18" t="n">
        <f aca="false">IF(AND(F59*T59&gt;U59,U59&gt;0),U59, F59*T59)</f>
        <v>0</v>
      </c>
      <c r="W59" s="13"/>
      <c r="X59" s="2"/>
      <c r="Y59" s="2"/>
      <c r="Z59" s="18" t="n">
        <f aca="false">IF(AND(F59*X59&gt;Y59,Y59&gt;0),Y59, F59*X59)</f>
        <v>0</v>
      </c>
    </row>
    <row r="60" customFormat="false" ht="15" hidden="false" customHeight="false" outlineLevel="0" collapsed="false">
      <c r="A60" s="13" t="n">
        <v>58</v>
      </c>
      <c r="B60" s="14" t="s">
        <v>99</v>
      </c>
      <c r="C60" s="14" t="s">
        <v>100</v>
      </c>
      <c r="D60" s="15" t="n">
        <v>41282</v>
      </c>
      <c r="E60" s="16" t="n">
        <v>502</v>
      </c>
      <c r="F60" s="17" t="n">
        <v>108</v>
      </c>
      <c r="G60" s="13" t="n">
        <v>1002</v>
      </c>
      <c r="H60" s="2" t="n">
        <v>0.5</v>
      </c>
      <c r="I60" s="2"/>
      <c r="J60" s="18" t="n">
        <f aca="false">IF(AND(F60*H60&gt;I60,I60&gt;0),I60, F60*H60)</f>
        <v>54</v>
      </c>
      <c r="K60" s="13" t="n">
        <v>1084</v>
      </c>
      <c r="L60" s="2" t="n">
        <v>0.5</v>
      </c>
      <c r="M60" s="2"/>
      <c r="N60" s="18" t="n">
        <f aca="false">IF(AND(F60*L60&gt;M60,M60&gt;0),M60, F60*L60)</f>
        <v>54</v>
      </c>
      <c r="O60" s="13" t="n">
        <v>1085</v>
      </c>
      <c r="P60" s="2" t="n">
        <v>0.5</v>
      </c>
      <c r="Q60" s="2"/>
      <c r="R60" s="18" t="n">
        <f aca="false">IF(AND(F60*P60&gt;Q60,Q60&gt;0),Q60, F60*P60)</f>
        <v>54</v>
      </c>
      <c r="S60" s="13"/>
      <c r="T60" s="2"/>
      <c r="U60" s="2"/>
      <c r="V60" s="18" t="n">
        <f aca="false">IF(AND(F60*T60&gt;U60,U60&gt;0),U60, F60*T60)</f>
        <v>0</v>
      </c>
      <c r="W60" s="13"/>
      <c r="X60" s="2"/>
      <c r="Y60" s="2"/>
      <c r="Z60" s="18" t="n">
        <f aca="false">IF(AND(F60*X60&gt;Y60,Y60&gt;0),Y60, F60*X60)</f>
        <v>0</v>
      </c>
    </row>
    <row r="61" customFormat="false" ht="15" hidden="false" customHeight="false" outlineLevel="0" collapsed="false">
      <c r="A61" s="13" t="n">
        <v>59</v>
      </c>
      <c r="B61" s="14" t="s">
        <v>99</v>
      </c>
      <c r="C61" s="14" t="s">
        <v>101</v>
      </c>
      <c r="D61" s="15" t="n">
        <v>42251</v>
      </c>
      <c r="E61" s="16" t="n">
        <v>502</v>
      </c>
      <c r="F61" s="17" t="n">
        <v>94</v>
      </c>
      <c r="G61" s="13" t="n">
        <v>1002</v>
      </c>
      <c r="H61" s="2" t="n">
        <v>0.5</v>
      </c>
      <c r="I61" s="2"/>
      <c r="J61" s="18" t="n">
        <f aca="false">IF(AND(F61*H61&gt;I61,I61&gt;0),I61, F61*H61)</f>
        <v>47</v>
      </c>
      <c r="K61" s="13" t="n">
        <v>1084</v>
      </c>
      <c r="L61" s="2" t="n">
        <v>0.5</v>
      </c>
      <c r="M61" s="2"/>
      <c r="N61" s="18" t="n">
        <f aca="false">IF(AND(F61*L61&gt;M61,M61&gt;0),M61, F61*L61)</f>
        <v>47</v>
      </c>
      <c r="O61" s="13" t="n">
        <v>1085</v>
      </c>
      <c r="P61" s="2" t="n">
        <v>0.5</v>
      </c>
      <c r="Q61" s="2"/>
      <c r="R61" s="18" t="n">
        <f aca="false">IF(AND(F61*P61&gt;Q61,Q61&gt;0),Q61, F61*P61)</f>
        <v>47</v>
      </c>
      <c r="S61" s="13"/>
      <c r="T61" s="2"/>
      <c r="U61" s="2"/>
      <c r="V61" s="18" t="n">
        <f aca="false">IF(AND(F61*T61&gt;U61,U61&gt;0),U61, F61*T61)</f>
        <v>0</v>
      </c>
      <c r="W61" s="13"/>
      <c r="X61" s="2"/>
      <c r="Y61" s="2"/>
      <c r="Z61" s="18" t="n">
        <f aca="false">IF(AND(F61*X61&gt;Y61,Y61&gt;0),Y61, F61*X61)</f>
        <v>0</v>
      </c>
    </row>
    <row r="62" customFormat="false" ht="15" hidden="false" customHeight="false" outlineLevel="0" collapsed="false">
      <c r="A62" s="13" t="n">
        <v>60</v>
      </c>
      <c r="B62" s="14" t="s">
        <v>102</v>
      </c>
      <c r="C62" s="14" t="s">
        <v>103</v>
      </c>
      <c r="D62" s="15" t="n">
        <v>42602</v>
      </c>
      <c r="E62" s="16" t="n">
        <v>502</v>
      </c>
      <c r="F62" s="17" t="n">
        <v>74</v>
      </c>
      <c r="G62" s="13" t="n">
        <v>1002</v>
      </c>
      <c r="H62" s="2" t="n">
        <v>0.5</v>
      </c>
      <c r="I62" s="2"/>
      <c r="J62" s="18" t="n">
        <f aca="false">IF(AND(F62*H62&gt;I62,I62&gt;0),I62, F62*H62)</f>
        <v>37</v>
      </c>
      <c r="K62" s="13" t="n">
        <v>1086</v>
      </c>
      <c r="L62" s="2" t="n">
        <v>3</v>
      </c>
      <c r="M62" s="2"/>
      <c r="N62" s="18" t="n">
        <f aca="false">IF(AND(F62*L62&gt;M62,M62&gt;0),M62, F62*L62)</f>
        <v>222</v>
      </c>
      <c r="O62" s="13" t="n">
        <v>1087</v>
      </c>
      <c r="P62" s="2" t="n">
        <v>1</v>
      </c>
      <c r="Q62" s="2"/>
      <c r="R62" s="18" t="n">
        <f aca="false">IF(AND(F62*P62&gt;Q62,Q62&gt;0),Q62, F62*P62)</f>
        <v>74</v>
      </c>
      <c r="S62" s="13" t="n">
        <v>1088</v>
      </c>
      <c r="T62" s="2" t="n">
        <v>2</v>
      </c>
      <c r="U62" s="2"/>
      <c r="V62" s="18" t="n">
        <f aca="false">IF(AND(F62*T62&gt;U62,U62&gt;0),U62, F62*T62)</f>
        <v>148</v>
      </c>
      <c r="W62" s="13" t="n">
        <v>1089</v>
      </c>
      <c r="X62" s="2" t="n">
        <v>2</v>
      </c>
      <c r="Y62" s="2"/>
      <c r="Z62" s="18" t="n">
        <f aca="false">IF(AND(F62*X62&gt;Y62,Y62&gt;0),Y62, F62*X62)</f>
        <v>148</v>
      </c>
    </row>
    <row r="63" customFormat="false" ht="15" hidden="false" customHeight="false" outlineLevel="0" collapsed="false">
      <c r="A63" s="13" t="n">
        <v>61</v>
      </c>
      <c r="B63" s="14" t="s">
        <v>102</v>
      </c>
      <c r="C63" s="14" t="s">
        <v>104</v>
      </c>
      <c r="D63" s="15" t="n">
        <v>32090</v>
      </c>
      <c r="E63" s="16" t="n">
        <v>502</v>
      </c>
      <c r="F63" s="17" t="n">
        <v>22</v>
      </c>
      <c r="G63" s="13" t="n">
        <v>1002</v>
      </c>
      <c r="H63" s="2" t="n">
        <v>0.5</v>
      </c>
      <c r="I63" s="2"/>
      <c r="J63" s="18" t="n">
        <f aca="false">IF(AND(F63*H63&gt;I63,I63&gt;0),I63, F63*H63)</f>
        <v>11</v>
      </c>
      <c r="K63" s="13"/>
      <c r="L63" s="2"/>
      <c r="M63" s="2"/>
      <c r="N63" s="18" t="n">
        <f aca="false">IF(AND(F63*L63&gt;M63,M63&gt;0),M63, F63*L63)</f>
        <v>0</v>
      </c>
      <c r="O63" s="13"/>
      <c r="P63" s="2"/>
      <c r="Q63" s="2"/>
      <c r="R63" s="18" t="n">
        <f aca="false">IF(AND(F63*P63&gt;Q63,Q63&gt;0),Q63, F63*P63)</f>
        <v>0</v>
      </c>
      <c r="S63" s="13"/>
      <c r="T63" s="2"/>
      <c r="U63" s="2"/>
      <c r="V63" s="18" t="n">
        <f aca="false">IF(AND(F63*T63&gt;U63,U63&gt;0),U63, F63*T63)</f>
        <v>0</v>
      </c>
      <c r="W63" s="13"/>
      <c r="X63" s="2"/>
      <c r="Y63" s="2"/>
      <c r="Z63" s="18" t="n">
        <f aca="false">IF(AND(F63*X63&gt;Y63,Y63&gt;0),Y63, F63*X63)</f>
        <v>0</v>
      </c>
    </row>
    <row r="64" customFormat="false" ht="15" hidden="false" customHeight="false" outlineLevel="0" collapsed="false">
      <c r="A64" s="13" t="n">
        <v>62</v>
      </c>
      <c r="B64" s="14" t="s">
        <v>105</v>
      </c>
      <c r="C64" s="14" t="s">
        <v>106</v>
      </c>
      <c r="D64" s="15" t="n">
        <v>42116</v>
      </c>
      <c r="E64" s="16" t="n">
        <v>503</v>
      </c>
      <c r="F64" s="17" t="n">
        <v>80</v>
      </c>
      <c r="G64" s="13" t="n">
        <v>1003</v>
      </c>
      <c r="H64" s="2" t="n">
        <v>0.5</v>
      </c>
      <c r="I64" s="2"/>
      <c r="J64" s="18" t="n">
        <f aca="false">IF(AND(F64*H64&gt;I64,I64&gt;0),I64, F64*H64)</f>
        <v>40</v>
      </c>
      <c r="K64" s="13" t="n">
        <v>1090</v>
      </c>
      <c r="L64" s="2" t="n">
        <v>1</v>
      </c>
      <c r="M64" s="2"/>
      <c r="N64" s="18" t="n">
        <f aca="false">IF(AND(F64*L64&gt;M64,M64&gt;0),M64, F64*L64)</f>
        <v>80</v>
      </c>
      <c r="O64" s="13"/>
      <c r="P64" s="2"/>
      <c r="Q64" s="2"/>
      <c r="R64" s="18" t="n">
        <f aca="false">IF(AND(F64*P64&gt;Q64,Q64&gt;0),Q64, F64*P64)</f>
        <v>0</v>
      </c>
      <c r="S64" s="13"/>
      <c r="T64" s="2"/>
      <c r="U64" s="2"/>
      <c r="V64" s="18" t="n">
        <f aca="false">IF(AND(F64*T64&gt;U64,U64&gt;0),U64, F64*T64)</f>
        <v>0</v>
      </c>
      <c r="W64" s="13"/>
      <c r="X64" s="2"/>
      <c r="Y64" s="2"/>
      <c r="Z64" s="18" t="n">
        <f aca="false">IF(AND(F64*X64&gt;Y64,Y64&gt;0),Y64, F64*X64)</f>
        <v>0</v>
      </c>
    </row>
    <row r="65" customFormat="false" ht="15" hidden="false" customHeight="false" outlineLevel="0" collapsed="false">
      <c r="A65" s="13" t="n">
        <v>63</v>
      </c>
      <c r="B65" s="14" t="s">
        <v>107</v>
      </c>
      <c r="C65" s="14" t="s">
        <v>108</v>
      </c>
      <c r="D65" s="15" t="n">
        <v>41849</v>
      </c>
      <c r="E65" s="16" t="n">
        <v>502</v>
      </c>
      <c r="F65" s="17" t="n">
        <v>40</v>
      </c>
      <c r="G65" s="13" t="n">
        <v>1002</v>
      </c>
      <c r="H65" s="2" t="n">
        <v>0.5</v>
      </c>
      <c r="I65" s="2"/>
      <c r="J65" s="18" t="n">
        <f aca="false">IF(AND(F65*H65&gt;I65,I65&gt;0),I65, F65*H65)</f>
        <v>20</v>
      </c>
      <c r="K65" s="13" t="n">
        <v>1091</v>
      </c>
      <c r="L65" s="2" t="n">
        <v>1</v>
      </c>
      <c r="M65" s="2"/>
      <c r="N65" s="18" t="n">
        <f aca="false">IF(AND(F65*L65&gt;M65,M65&gt;0),M65, F65*L65)</f>
        <v>40</v>
      </c>
      <c r="O65" s="13"/>
      <c r="P65" s="2"/>
      <c r="Q65" s="2"/>
      <c r="R65" s="18" t="n">
        <f aca="false">IF(AND(F65*P65&gt;Q65,Q65&gt;0),Q65, F65*P65)</f>
        <v>0</v>
      </c>
      <c r="S65" s="13"/>
      <c r="T65" s="2"/>
      <c r="U65" s="2"/>
      <c r="V65" s="18" t="n">
        <f aca="false">IF(AND(F65*T65&gt;U65,U65&gt;0),U65, F65*T65)</f>
        <v>0</v>
      </c>
      <c r="W65" s="13"/>
      <c r="X65" s="2"/>
      <c r="Y65" s="2"/>
      <c r="Z65" s="18" t="n">
        <f aca="false">IF(AND(F65*X65&gt;Y65,Y65&gt;0),Y65, F65*X65)</f>
        <v>0</v>
      </c>
    </row>
    <row r="66" customFormat="false" ht="15" hidden="false" customHeight="false" outlineLevel="0" collapsed="false">
      <c r="A66" s="13" t="n">
        <v>64</v>
      </c>
      <c r="B66" s="14" t="s">
        <v>109</v>
      </c>
      <c r="C66" s="14" t="s">
        <v>44</v>
      </c>
      <c r="D66" s="15" t="n">
        <v>33038</v>
      </c>
      <c r="E66" s="16"/>
      <c r="F66" s="17" t="n">
        <v>40</v>
      </c>
      <c r="G66" s="13" t="n">
        <v>1092</v>
      </c>
      <c r="H66" s="2" t="n">
        <v>1.5</v>
      </c>
      <c r="I66" s="2"/>
      <c r="J66" s="18" t="n">
        <f aca="false">IF(AND(F66*H66&gt;I66,I66&gt;0),I66, F66*H66)</f>
        <v>60</v>
      </c>
      <c r="K66" s="13"/>
      <c r="L66" s="2"/>
      <c r="M66" s="2"/>
      <c r="N66" s="18" t="n">
        <f aca="false">IF(AND(F66*L66&gt;M66,M66&gt;0),M66, F66*L66)</f>
        <v>0</v>
      </c>
      <c r="O66" s="13"/>
      <c r="P66" s="2"/>
      <c r="Q66" s="2"/>
      <c r="R66" s="18" t="n">
        <f aca="false">IF(AND(F66*P66&gt;Q66,Q66&gt;0),Q66, F66*P66)</f>
        <v>0</v>
      </c>
      <c r="S66" s="13"/>
      <c r="T66" s="2"/>
      <c r="U66" s="2"/>
      <c r="V66" s="18" t="n">
        <f aca="false">IF(AND(F66*T66&gt;U66,U66&gt;0),U66, F66*T66)</f>
        <v>0</v>
      </c>
      <c r="W66" s="13"/>
      <c r="X66" s="2"/>
      <c r="Y66" s="2"/>
      <c r="Z66" s="18" t="n">
        <f aca="false">IF(AND(F66*X66&gt;Y66,Y66&gt;0),Y66, F66*X66)</f>
        <v>0</v>
      </c>
    </row>
    <row r="67" customFormat="false" ht="15" hidden="false" customHeight="false" outlineLevel="0" collapsed="false">
      <c r="A67" s="13" t="n">
        <v>65</v>
      </c>
      <c r="B67" s="14" t="s">
        <v>110</v>
      </c>
      <c r="C67" s="14" t="s">
        <v>111</v>
      </c>
      <c r="D67" s="15" t="n">
        <v>31320</v>
      </c>
      <c r="E67" s="16" t="n">
        <v>503.504</v>
      </c>
      <c r="F67" s="17" t="n">
        <v>26</v>
      </c>
      <c r="G67" s="13" t="n">
        <v>1003</v>
      </c>
      <c r="H67" s="2" t="n">
        <v>0.5</v>
      </c>
      <c r="I67" s="2"/>
      <c r="J67" s="18" t="n">
        <f aca="false">IF(AND(F67*H67&gt;I67,I67&gt;0),I67, F67*H67)</f>
        <v>13</v>
      </c>
      <c r="K67" s="13" t="n">
        <v>1004</v>
      </c>
      <c r="L67" s="2" t="n">
        <v>0.5</v>
      </c>
      <c r="M67" s="2"/>
      <c r="N67" s="18" t="n">
        <f aca="false">IF(AND(F67*L67&gt;M67,M67&gt;0),M67, F67*L67)</f>
        <v>13</v>
      </c>
      <c r="O67" s="13" t="n">
        <v>1093</v>
      </c>
      <c r="P67" s="2" t="n">
        <v>0.5</v>
      </c>
      <c r="Q67" s="2"/>
      <c r="R67" s="18" t="n">
        <f aca="false">IF(AND(F67*P67&gt;Q67,Q67&gt;0),Q67, F67*P67)</f>
        <v>13</v>
      </c>
      <c r="S67" s="13"/>
      <c r="T67" s="2"/>
      <c r="U67" s="2"/>
      <c r="V67" s="18" t="n">
        <f aca="false">IF(AND(F67*T67&gt;U67,U67&gt;0),U67, F67*T67)</f>
        <v>0</v>
      </c>
      <c r="W67" s="13"/>
      <c r="X67" s="2"/>
      <c r="Y67" s="2"/>
      <c r="Z67" s="18" t="n">
        <f aca="false">IF(AND(F67*X67&gt;Y67,Y67&gt;0),Y67, F67*X67)</f>
        <v>0</v>
      </c>
    </row>
    <row r="68" customFormat="false" ht="15" hidden="false" customHeight="false" outlineLevel="0" collapsed="false">
      <c r="A68" s="13" t="n">
        <v>66</v>
      </c>
      <c r="B68" s="14" t="s">
        <v>112</v>
      </c>
      <c r="C68" s="14" t="s">
        <v>113</v>
      </c>
      <c r="D68" s="15" t="n">
        <v>28129</v>
      </c>
      <c r="E68" s="16"/>
      <c r="F68" s="17" t="n">
        <v>36</v>
      </c>
      <c r="G68" s="13" t="n">
        <v>1094</v>
      </c>
      <c r="H68" s="2" t="n">
        <v>0.5</v>
      </c>
      <c r="I68" s="2"/>
      <c r="J68" s="18" t="n">
        <f aca="false">IF(AND(F68*H68&gt;I68,I68&gt;0),I68, F68*H68)</f>
        <v>18</v>
      </c>
      <c r="K68" s="13"/>
      <c r="L68" s="2"/>
      <c r="M68" s="2"/>
      <c r="N68" s="18" t="n">
        <f aca="false">IF(AND(F68*L68&gt;M68,M68&gt;0),M68, F68*L68)</f>
        <v>0</v>
      </c>
      <c r="O68" s="13"/>
      <c r="P68" s="2"/>
      <c r="Q68" s="2"/>
      <c r="R68" s="18" t="n">
        <f aca="false">IF(AND(F68*P68&gt;Q68,Q68&gt;0),Q68, F68*P68)</f>
        <v>0</v>
      </c>
      <c r="S68" s="13"/>
      <c r="T68" s="2"/>
      <c r="U68" s="2"/>
      <c r="V68" s="18" t="n">
        <f aca="false">IF(AND(F68*T68&gt;U68,U68&gt;0),U68, F68*T68)</f>
        <v>0</v>
      </c>
      <c r="W68" s="13"/>
      <c r="X68" s="2"/>
      <c r="Y68" s="2"/>
      <c r="Z68" s="18" t="n">
        <f aca="false">IF(AND(F68*X68&gt;Y68,Y68&gt;0),Y68, F68*X68)</f>
        <v>0</v>
      </c>
    </row>
    <row r="69" customFormat="false" ht="15" hidden="false" customHeight="false" outlineLevel="0" collapsed="false">
      <c r="A69" s="13" t="n">
        <v>67</v>
      </c>
      <c r="B69" s="14" t="s">
        <v>114</v>
      </c>
      <c r="C69" s="14" t="s">
        <v>115</v>
      </c>
      <c r="D69" s="15" t="n">
        <v>19107</v>
      </c>
      <c r="E69" s="16"/>
      <c r="F69" s="17" t="n">
        <v>20</v>
      </c>
      <c r="G69" s="13" t="n">
        <v>1095</v>
      </c>
      <c r="H69" s="2"/>
      <c r="I69" s="2"/>
      <c r="J69" s="18" t="n">
        <f aca="false">IF(AND(F69*H69&gt;I69,I69&gt;0),I69, F69*H69)</f>
        <v>0</v>
      </c>
      <c r="K69" s="13"/>
      <c r="L69" s="2"/>
      <c r="M69" s="2"/>
      <c r="N69" s="18" t="n">
        <f aca="false">IF(AND(F69*L69&gt;M69,M69&gt;0),M69, F69*L69)</f>
        <v>0</v>
      </c>
      <c r="O69" s="13"/>
      <c r="P69" s="2"/>
      <c r="Q69" s="2"/>
      <c r="R69" s="18" t="n">
        <f aca="false">IF(AND(F69*P69&gt;Q69,Q69&gt;0),Q69, F69*P69)</f>
        <v>0</v>
      </c>
      <c r="S69" s="13"/>
      <c r="T69" s="2"/>
      <c r="U69" s="2"/>
      <c r="V69" s="18" t="n">
        <f aca="false">IF(AND(F69*T69&gt;U69,U69&gt;0),U69, F69*T69)</f>
        <v>0</v>
      </c>
      <c r="W69" s="13"/>
      <c r="X69" s="2"/>
      <c r="Y69" s="2"/>
      <c r="Z69" s="18" t="n">
        <f aca="false">IF(AND(F69*X69&gt;Y69,Y69&gt;0),Y69, F69*X69)</f>
        <v>0</v>
      </c>
    </row>
    <row r="70" customFormat="false" ht="15" hidden="false" customHeight="false" outlineLevel="0" collapsed="false">
      <c r="A70" s="13" t="n">
        <v>68</v>
      </c>
      <c r="B70" s="14" t="s">
        <v>116</v>
      </c>
      <c r="C70" s="14" t="s">
        <v>117</v>
      </c>
      <c r="D70" s="15" t="n">
        <v>37973</v>
      </c>
      <c r="E70" s="16"/>
      <c r="F70" s="17" t="n">
        <v>30</v>
      </c>
      <c r="G70" s="13"/>
      <c r="H70" s="2"/>
      <c r="I70" s="2"/>
      <c r="J70" s="18" t="n">
        <f aca="false">IF(AND(F70*H70&gt;I70,I70&gt;0),I70, F70*H70)</f>
        <v>0</v>
      </c>
      <c r="K70" s="13"/>
      <c r="L70" s="2"/>
      <c r="M70" s="2"/>
      <c r="N70" s="18" t="n">
        <f aca="false">IF(AND(F70*L70&gt;M70,M70&gt;0),M70, F70*L70)</f>
        <v>0</v>
      </c>
      <c r="O70" s="13"/>
      <c r="P70" s="2"/>
      <c r="Q70" s="2"/>
      <c r="R70" s="18" t="n">
        <f aca="false">IF(AND(F70*P70&gt;Q70,Q70&gt;0),Q70, F70*P70)</f>
        <v>0</v>
      </c>
      <c r="S70" s="13"/>
      <c r="T70" s="2"/>
      <c r="U70" s="2"/>
      <c r="V70" s="18" t="n">
        <f aca="false">IF(AND(F70*T70&gt;U70,U70&gt;0),U70, F70*T70)</f>
        <v>0</v>
      </c>
      <c r="W70" s="13"/>
      <c r="X70" s="2"/>
      <c r="Y70" s="2"/>
      <c r="Z70" s="18" t="n">
        <f aca="false">IF(AND(F70*X70&gt;Y70,Y70&gt;0),Y70, F70*X70)</f>
        <v>0</v>
      </c>
    </row>
    <row r="71" customFormat="false" ht="15" hidden="false" customHeight="false" outlineLevel="0" collapsed="false">
      <c r="A71" s="13" t="n">
        <v>69</v>
      </c>
      <c r="B71" s="14" t="s">
        <v>118</v>
      </c>
      <c r="C71" s="14" t="s">
        <v>119</v>
      </c>
      <c r="D71" s="15" t="n">
        <v>38183</v>
      </c>
      <c r="E71" s="16"/>
      <c r="F71" s="17" t="n">
        <v>30</v>
      </c>
      <c r="G71" s="13"/>
      <c r="H71" s="2"/>
      <c r="I71" s="2"/>
      <c r="J71" s="18" t="n">
        <f aca="false">IF(AND(F71*H71&gt;I71,I71&gt;0),I71, F71*H71)</f>
        <v>0</v>
      </c>
      <c r="K71" s="13"/>
      <c r="L71" s="2"/>
      <c r="M71" s="2"/>
      <c r="N71" s="18" t="n">
        <f aca="false">IF(AND(F71*L71&gt;M71,M71&gt;0),M71, F71*L71)</f>
        <v>0</v>
      </c>
      <c r="O71" s="13"/>
      <c r="P71" s="2"/>
      <c r="Q71" s="2"/>
      <c r="R71" s="18" t="n">
        <f aca="false">IF(AND(F71*P71&gt;Q71,Q71&gt;0),Q71, F71*P71)</f>
        <v>0</v>
      </c>
      <c r="S71" s="13"/>
      <c r="T71" s="2"/>
      <c r="U71" s="2"/>
      <c r="V71" s="18" t="n">
        <f aca="false">IF(AND(F71*T71&gt;U71,U71&gt;0),U71, F71*T71)</f>
        <v>0</v>
      </c>
      <c r="W71" s="13"/>
      <c r="X71" s="2"/>
      <c r="Y71" s="2"/>
      <c r="Z71" s="18" t="n">
        <f aca="false">IF(AND(F71*X71&gt;Y71,Y71&gt;0),Y71, F71*X71)</f>
        <v>0</v>
      </c>
    </row>
    <row r="72" customFormat="false" ht="15" hidden="false" customHeight="false" outlineLevel="0" collapsed="false">
      <c r="A72" s="13" t="n">
        <v>70</v>
      </c>
      <c r="C72" s="14"/>
      <c r="D72" s="15"/>
      <c r="E72" s="16"/>
      <c r="F72" s="17" t="n">
        <f aca="false">SUM(F4:F71)</f>
        <v>3116</v>
      </c>
      <c r="G72" s="13"/>
      <c r="H72" s="2"/>
      <c r="I72" s="2"/>
      <c r="J72" s="18" t="n">
        <f aca="false">SUM(J4:J71)</f>
        <v>1659</v>
      </c>
      <c r="K72" s="13"/>
      <c r="L72" s="2"/>
      <c r="M72" s="2"/>
      <c r="N72" s="18" t="n">
        <f aca="false">SUM(N4:N71)</f>
        <v>1006.5</v>
      </c>
      <c r="O72" s="13"/>
      <c r="P72" s="2"/>
      <c r="Q72" s="2"/>
      <c r="R72" s="18" t="n">
        <f aca="false">SUM(R4:R71)</f>
        <v>502.5</v>
      </c>
      <c r="S72" s="13"/>
      <c r="T72" s="2"/>
      <c r="U72" s="2"/>
      <c r="V72" s="18" t="n">
        <f aca="false">SUM(V4:V71)</f>
        <v>261</v>
      </c>
      <c r="W72" s="21" t="n">
        <f aca="false">J72+N72+R72+V72+148</f>
        <v>3577</v>
      </c>
      <c r="X72" s="2"/>
      <c r="Y72" s="2"/>
      <c r="Z72" s="18" t="n">
        <f aca="false">IF(AND(F72*X72&gt;Y72,Y72&gt;0),Y72, F72*X72)</f>
        <v>0</v>
      </c>
    </row>
    <row r="73" customFormat="false" ht="15" hidden="false" customHeight="false" outlineLevel="0" collapsed="false">
      <c r="A73" s="13" t="n">
        <v>71</v>
      </c>
      <c r="B73" s="14"/>
      <c r="C73" s="14"/>
      <c r="D73" s="15"/>
      <c r="E73" s="16"/>
      <c r="F73" s="17"/>
      <c r="G73" s="13"/>
      <c r="H73" s="2"/>
      <c r="I73" s="2"/>
      <c r="J73" s="18" t="n">
        <f aca="false">IF(AND(F73*H73&gt;I73,I73&gt;0),I73, F73*H73)</f>
        <v>0</v>
      </c>
      <c r="K73" s="13"/>
      <c r="L73" s="2"/>
      <c r="M73" s="2"/>
      <c r="N73" s="18" t="n">
        <f aca="false">IF(AND(F73*L73&gt;M73,M73&gt;0),M73, F73*L73)</f>
        <v>0</v>
      </c>
      <c r="O73" s="13"/>
      <c r="P73" s="2"/>
      <c r="Q73" s="2"/>
      <c r="R73" s="18" t="n">
        <f aca="false">IF(AND(F73*P73&gt;Q73,Q73&gt;0),Q73, F73*P73)</f>
        <v>0</v>
      </c>
      <c r="S73" s="13"/>
      <c r="T73" s="2"/>
      <c r="U73" s="2"/>
      <c r="V73" s="18" t="n">
        <f aca="false">IF(AND(F73*T73&gt;U73,U73&gt;0),U73, F73*T73)</f>
        <v>0</v>
      </c>
      <c r="W73" s="13"/>
      <c r="X73" s="2"/>
      <c r="Y73" s="2"/>
      <c r="Z73" s="18" t="n">
        <f aca="false">IF(AND(F73*X73&gt;Y73,Y73&gt;0),Y73, F73*X73)</f>
        <v>0</v>
      </c>
    </row>
    <row r="74" customFormat="false" ht="15" hidden="false" customHeight="false" outlineLevel="0" collapsed="false">
      <c r="A74" s="13" t="n">
        <v>72</v>
      </c>
      <c r="B74" s="14"/>
      <c r="C74" s="14"/>
      <c r="D74" s="15"/>
      <c r="E74" s="16"/>
      <c r="F74" s="17"/>
      <c r="G74" s="13"/>
      <c r="H74" s="2"/>
      <c r="I74" s="2"/>
      <c r="J74" s="18" t="n">
        <f aca="false">IF(AND(F74*H74&gt;I74,I74&gt;0),I74, F74*H74)</f>
        <v>0</v>
      </c>
      <c r="K74" s="13"/>
      <c r="L74" s="2"/>
      <c r="M74" s="2"/>
      <c r="N74" s="18" t="n">
        <f aca="false">IF(AND(F74*L74&gt;M74,M74&gt;0),M74, F74*L74)</f>
        <v>0</v>
      </c>
      <c r="O74" s="13"/>
      <c r="P74" s="2"/>
      <c r="Q74" s="2"/>
      <c r="R74" s="18" t="n">
        <f aca="false">IF(AND(F74*P74&gt;Q74,Q74&gt;0),Q74, F74*P74)</f>
        <v>0</v>
      </c>
      <c r="S74" s="13"/>
      <c r="T74" s="2"/>
      <c r="U74" s="2"/>
      <c r="V74" s="18" t="n">
        <f aca="false">IF(AND(F74*T74&gt;U74,U74&gt;0),U74, F74*T74)</f>
        <v>0</v>
      </c>
      <c r="W74" s="13"/>
      <c r="X74" s="2"/>
      <c r="Y74" s="2"/>
      <c r="Z74" s="18" t="n">
        <f aca="false">IF(AND(F74*X74&gt;Y74,Y74&gt;0),Y74, F74*X74)</f>
        <v>0</v>
      </c>
    </row>
    <row r="75" customFormat="false" ht="15" hidden="false" customHeight="false" outlineLevel="0" collapsed="false">
      <c r="A75" s="13" t="n">
        <v>73</v>
      </c>
      <c r="B75" s="14"/>
      <c r="C75" s="14" t="n">
        <f aca="false">COUNTA(C4:C73)</f>
        <v>66</v>
      </c>
      <c r="D75" s="15"/>
      <c r="E75" s="16"/>
      <c r="F75" s="17"/>
      <c r="G75" s="13"/>
      <c r="H75" s="2"/>
      <c r="I75" s="2"/>
      <c r="J75" s="18" t="n">
        <f aca="false">IF(AND(F75*H75&gt;I75,I75&gt;0),I75, F75*H75)</f>
        <v>0</v>
      </c>
      <c r="K75" s="13"/>
      <c r="L75" s="2"/>
      <c r="M75" s="2"/>
      <c r="N75" s="18" t="n">
        <f aca="false">IF(AND(F75*L75&gt;M75,M75&gt;0),M75, F75*L75)</f>
        <v>0</v>
      </c>
      <c r="O75" s="13"/>
      <c r="P75" s="2"/>
      <c r="Q75" s="2"/>
      <c r="R75" s="18" t="n">
        <f aca="false">IF(AND(F75*P75&gt;Q75,Q75&gt;0),Q75, F75*P75)</f>
        <v>0</v>
      </c>
      <c r="S75" s="13"/>
      <c r="T75" s="2"/>
      <c r="U75" s="2"/>
      <c r="V75" s="18" t="n">
        <f aca="false">IF(AND(F75*T75&gt;U75,U75&gt;0),U75, F75*T75)</f>
        <v>0</v>
      </c>
      <c r="W75" s="13"/>
      <c r="X75" s="2"/>
      <c r="Y75" s="2"/>
      <c r="Z75" s="18" t="n">
        <f aca="false">IF(AND(F75*X75&gt;Y75,Y75&gt;0),Y75, F75*X75)</f>
        <v>0</v>
      </c>
    </row>
    <row r="76" customFormat="false" ht="15" hidden="false" customHeight="false" outlineLevel="0" collapsed="false">
      <c r="A76" s="13" t="n">
        <v>74</v>
      </c>
      <c r="B76" s="14"/>
      <c r="C76" s="14"/>
      <c r="D76" s="15"/>
      <c r="E76" s="16"/>
      <c r="F76" s="17"/>
      <c r="G76" s="13"/>
      <c r="H76" s="2"/>
      <c r="I76" s="2"/>
      <c r="J76" s="18" t="n">
        <f aca="false">IF(AND(F76*H76&gt;I76,I76&gt;0),I76, F76*H76)</f>
        <v>0</v>
      </c>
      <c r="K76" s="13"/>
      <c r="L76" s="2"/>
      <c r="M76" s="2"/>
      <c r="N76" s="18" t="n">
        <f aca="false">IF(AND(F76*L76&gt;M76,M76&gt;0),M76, F76*L76)</f>
        <v>0</v>
      </c>
      <c r="O76" s="13"/>
      <c r="P76" s="2"/>
      <c r="Q76" s="2"/>
      <c r="R76" s="18" t="n">
        <f aca="false">IF(AND(F76*P76&gt;Q76,Q76&gt;0),Q76, F76*P76)</f>
        <v>0</v>
      </c>
      <c r="S76" s="13"/>
      <c r="T76" s="2"/>
      <c r="U76" s="2"/>
      <c r="V76" s="18" t="n">
        <f aca="false">IF(AND(F76*T76&gt;U76,U76&gt;0),U76, F76*T76)</f>
        <v>0</v>
      </c>
      <c r="W76" s="13"/>
      <c r="X76" s="2"/>
      <c r="Y76" s="2"/>
      <c r="Z76" s="18" t="n">
        <f aca="false">IF(AND(F76*X76&gt;Y76,Y76&gt;0),Y76, F76*X76)</f>
        <v>0</v>
      </c>
    </row>
    <row r="77" customFormat="false" ht="15" hidden="false" customHeight="false" outlineLevel="0" collapsed="false">
      <c r="A77" s="13" t="n">
        <v>75</v>
      </c>
      <c r="B77" s="14"/>
      <c r="C77" s="14"/>
      <c r="D77" s="15"/>
      <c r="E77" s="16"/>
      <c r="F77" s="17"/>
      <c r="G77" s="13"/>
      <c r="H77" s="2"/>
      <c r="I77" s="2"/>
      <c r="J77" s="18" t="n">
        <f aca="false">IF(AND(F77*H77&gt;I77,I77&gt;0),I77, F77*H77)</f>
        <v>0</v>
      </c>
      <c r="K77" s="13"/>
      <c r="L77" s="2"/>
      <c r="M77" s="2"/>
      <c r="N77" s="18" t="n">
        <f aca="false">IF(AND(F77*L77&gt;M77,M77&gt;0),M77, F77*L77)</f>
        <v>0</v>
      </c>
      <c r="O77" s="13"/>
      <c r="P77" s="2"/>
      <c r="Q77" s="2"/>
      <c r="R77" s="18" t="n">
        <f aca="false">IF(AND(F77*P77&gt;Q77,Q77&gt;0),Q77, F77*P77)</f>
        <v>0</v>
      </c>
      <c r="S77" s="13"/>
      <c r="T77" s="2"/>
      <c r="U77" s="2"/>
      <c r="V77" s="18" t="n">
        <f aca="false">IF(AND(F77*T77&gt;U77,U77&gt;0),U77, F77*T77)</f>
        <v>0</v>
      </c>
      <c r="W77" s="13"/>
      <c r="X77" s="2"/>
      <c r="Y77" s="2"/>
      <c r="Z77" s="18" t="n">
        <f aca="false">IF(AND(F77*X77&gt;Y77,Y77&gt;0),Y77, F77*X77)</f>
        <v>0</v>
      </c>
    </row>
    <row r="78" customFormat="false" ht="15" hidden="false" customHeight="false" outlineLevel="0" collapsed="false">
      <c r="A78" s="13" t="n">
        <v>76</v>
      </c>
      <c r="B78" s="14"/>
      <c r="C78" s="14"/>
      <c r="D78" s="15"/>
      <c r="E78" s="16"/>
      <c r="F78" s="17"/>
      <c r="G78" s="13"/>
      <c r="H78" s="2"/>
      <c r="I78" s="2"/>
      <c r="J78" s="18" t="n">
        <f aca="false">IF(AND(F78*H78&gt;I78,I78&gt;0),I78, F78*H78)</f>
        <v>0</v>
      </c>
      <c r="K78" s="13"/>
      <c r="L78" s="2"/>
      <c r="M78" s="2"/>
      <c r="N78" s="18" t="n">
        <f aca="false">IF(AND(F78*L78&gt;M78,M78&gt;0),M78, F78*L78)</f>
        <v>0</v>
      </c>
      <c r="O78" s="13"/>
      <c r="P78" s="2"/>
      <c r="Q78" s="2"/>
      <c r="R78" s="18" t="n">
        <f aca="false">IF(AND(F78*P78&gt;Q78,Q78&gt;0),Q78, F78*P78)</f>
        <v>0</v>
      </c>
      <c r="S78" s="13"/>
      <c r="T78" s="2"/>
      <c r="U78" s="2"/>
      <c r="V78" s="18" t="n">
        <f aca="false">IF(AND(F78*T78&gt;U78,U78&gt;0),U78, F78*T78)</f>
        <v>0</v>
      </c>
      <c r="W78" s="13"/>
      <c r="X78" s="2"/>
      <c r="Y78" s="2"/>
      <c r="Z78" s="18" t="n">
        <f aca="false">IF(AND(F78*X78&gt;Y78,Y78&gt;0),Y78, F78*X78)</f>
        <v>0</v>
      </c>
    </row>
    <row r="79" customFormat="false" ht="15" hidden="false" customHeight="false" outlineLevel="0" collapsed="false">
      <c r="A79" s="13" t="n">
        <v>77</v>
      </c>
      <c r="B79" s="14"/>
      <c r="C79" s="14"/>
      <c r="D79" s="15"/>
      <c r="E79" s="16"/>
      <c r="F79" s="17"/>
      <c r="G79" s="13"/>
      <c r="H79" s="2"/>
      <c r="I79" s="2"/>
      <c r="J79" s="18" t="n">
        <f aca="false">IF(AND(F79*H79&gt;I79,I79&gt;0),I79, F79*H79)</f>
        <v>0</v>
      </c>
      <c r="K79" s="13"/>
      <c r="L79" s="2"/>
      <c r="M79" s="2"/>
      <c r="N79" s="18" t="n">
        <f aca="false">IF(AND(F79*L79&gt;M79,M79&gt;0),M79, F79*L79)</f>
        <v>0</v>
      </c>
      <c r="O79" s="13"/>
      <c r="P79" s="2"/>
      <c r="Q79" s="2"/>
      <c r="R79" s="18" t="n">
        <f aca="false">IF(AND(F79*P79&gt;Q79,Q79&gt;0),Q79, F79*P79)</f>
        <v>0</v>
      </c>
      <c r="S79" s="13"/>
      <c r="T79" s="2"/>
      <c r="U79" s="2"/>
      <c r="V79" s="18" t="n">
        <f aca="false">IF(AND(F79*T79&gt;U79,U79&gt;0),U79, F79*T79)</f>
        <v>0</v>
      </c>
      <c r="W79" s="13"/>
      <c r="X79" s="2"/>
      <c r="Y79" s="2"/>
      <c r="Z79" s="18" t="n">
        <f aca="false">IF(AND(F79*X79&gt;Y79,Y79&gt;0),Y79, F79*X79)</f>
        <v>0</v>
      </c>
    </row>
    <row r="80" customFormat="false" ht="15" hidden="false" customHeight="false" outlineLevel="0" collapsed="false">
      <c r="A80" s="13" t="n">
        <v>78</v>
      </c>
      <c r="B80" s="14"/>
      <c r="C80" s="14"/>
      <c r="D80" s="15"/>
      <c r="E80" s="16"/>
      <c r="F80" s="17"/>
      <c r="G80" s="13"/>
      <c r="H80" s="2"/>
      <c r="I80" s="2"/>
      <c r="J80" s="18" t="n">
        <f aca="false">IF(AND(F80*H80&gt;I80,I80&gt;0),I80, F80*H80)</f>
        <v>0</v>
      </c>
      <c r="K80" s="13"/>
      <c r="L80" s="2"/>
      <c r="M80" s="2"/>
      <c r="N80" s="18" t="n">
        <f aca="false">IF(AND(F80*L80&gt;M80,M80&gt;0),M80, F80*L80)</f>
        <v>0</v>
      </c>
      <c r="O80" s="13"/>
      <c r="P80" s="2"/>
      <c r="Q80" s="2"/>
      <c r="R80" s="18" t="n">
        <f aca="false">IF(AND(F80*P80&gt;Q80,Q80&gt;0),Q80, F80*P80)</f>
        <v>0</v>
      </c>
      <c r="S80" s="13"/>
      <c r="T80" s="2"/>
      <c r="U80" s="2"/>
      <c r="V80" s="18" t="n">
        <f aca="false">IF(AND(F80*T80&gt;U80,U80&gt;0),U80, F80*T80)</f>
        <v>0</v>
      </c>
      <c r="W80" s="13"/>
      <c r="X80" s="2"/>
      <c r="Y80" s="2"/>
      <c r="Z80" s="18" t="n">
        <f aca="false">IF(AND(F80*X80&gt;Y80,Y80&gt;0),Y80, F80*X80)</f>
        <v>0</v>
      </c>
    </row>
    <row r="81" customFormat="false" ht="15" hidden="false" customHeight="false" outlineLevel="0" collapsed="false">
      <c r="A81" s="13" t="n">
        <v>79</v>
      </c>
      <c r="B81" s="14"/>
      <c r="C81" s="14"/>
      <c r="D81" s="15"/>
      <c r="E81" s="16"/>
      <c r="F81" s="17"/>
      <c r="G81" s="13"/>
      <c r="H81" s="2"/>
      <c r="I81" s="2"/>
      <c r="J81" s="18" t="n">
        <f aca="false">IF(AND(F81*H81&gt;I81,I81&gt;0),I81, F81*H81)</f>
        <v>0</v>
      </c>
      <c r="K81" s="13"/>
      <c r="L81" s="2"/>
      <c r="M81" s="2"/>
      <c r="N81" s="18" t="n">
        <f aca="false">IF(AND(F81*L81&gt;M81,M81&gt;0),M81, F81*L81)</f>
        <v>0</v>
      </c>
      <c r="O81" s="13"/>
      <c r="P81" s="2"/>
      <c r="Q81" s="2"/>
      <c r="R81" s="18" t="n">
        <f aca="false">IF(AND(F81*P81&gt;Q81,Q81&gt;0),Q81, F81*P81)</f>
        <v>0</v>
      </c>
      <c r="S81" s="13"/>
      <c r="T81" s="2"/>
      <c r="U81" s="2"/>
      <c r="V81" s="18" t="n">
        <f aca="false">IF(AND(F81*T81&gt;U81,U81&gt;0),U81, F81*T81)</f>
        <v>0</v>
      </c>
      <c r="W81" s="13"/>
      <c r="X81" s="2"/>
      <c r="Y81" s="2"/>
      <c r="Z81" s="18" t="n">
        <f aca="false">IF(AND(F81*X81&gt;Y81,Y81&gt;0),Y81, F81*X81)</f>
        <v>0</v>
      </c>
    </row>
    <row r="82" customFormat="false" ht="15" hidden="false" customHeight="false" outlineLevel="0" collapsed="false">
      <c r="A82" s="13" t="n">
        <v>80</v>
      </c>
      <c r="B82" s="14"/>
      <c r="C82" s="14"/>
      <c r="D82" s="15"/>
      <c r="E82" s="16"/>
      <c r="F82" s="17"/>
      <c r="G82" s="13"/>
      <c r="H82" s="2"/>
      <c r="I82" s="2"/>
      <c r="J82" s="18" t="n">
        <f aca="false">IF(AND(F82*H82&gt;I82,I82&gt;0),I82, F82*H82)</f>
        <v>0</v>
      </c>
      <c r="K82" s="13"/>
      <c r="L82" s="2"/>
      <c r="M82" s="2"/>
      <c r="N82" s="18" t="n">
        <f aca="false">IF(AND(F82*L82&gt;M82,M82&gt;0),M82, F82*L82)</f>
        <v>0</v>
      </c>
      <c r="O82" s="13"/>
      <c r="P82" s="2"/>
      <c r="Q82" s="2"/>
      <c r="R82" s="18" t="n">
        <f aca="false">IF(AND(F82*P82&gt;Q82,Q82&gt;0),Q82, F82*P82)</f>
        <v>0</v>
      </c>
      <c r="S82" s="13"/>
      <c r="T82" s="2"/>
      <c r="U82" s="2"/>
      <c r="V82" s="18" t="n">
        <f aca="false">IF(AND(F82*T82&gt;U82,U82&gt;0),U82, F82*T82)</f>
        <v>0</v>
      </c>
      <c r="W82" s="13"/>
      <c r="X82" s="2"/>
      <c r="Y82" s="2"/>
      <c r="Z82" s="18" t="n">
        <f aca="false">IF(AND(F82*X82&gt;Y82,Y82&gt;0),Y82, F82*X82)</f>
        <v>0</v>
      </c>
    </row>
    <row r="83" customFormat="false" ht="15" hidden="false" customHeight="false" outlineLevel="0" collapsed="false">
      <c r="A83" s="13" t="n">
        <v>81</v>
      </c>
      <c r="B83" s="14"/>
      <c r="C83" s="14"/>
      <c r="D83" s="15"/>
      <c r="E83" s="16"/>
      <c r="F83" s="17"/>
      <c r="G83" s="13"/>
      <c r="H83" s="2"/>
      <c r="I83" s="2"/>
      <c r="J83" s="18" t="n">
        <f aca="false">IF(AND(F83*H83&gt;I83,I83&gt;0),I83, F83*H83)</f>
        <v>0</v>
      </c>
      <c r="K83" s="13"/>
      <c r="L83" s="2"/>
      <c r="M83" s="2"/>
      <c r="N83" s="18" t="n">
        <f aca="false">IF(AND(F83*L83&gt;M83,M83&gt;0),M83, F83*L83)</f>
        <v>0</v>
      </c>
      <c r="O83" s="13"/>
      <c r="P83" s="2"/>
      <c r="Q83" s="2"/>
      <c r="R83" s="18" t="n">
        <f aca="false">IF(AND(F83*P83&gt;Q83,Q83&gt;0),Q83, F83*P83)</f>
        <v>0</v>
      </c>
      <c r="S83" s="13"/>
      <c r="T83" s="2"/>
      <c r="U83" s="2"/>
      <c r="V83" s="18" t="n">
        <f aca="false">IF(AND(F83*T83&gt;U83,U83&gt;0),U83, F83*T83)</f>
        <v>0</v>
      </c>
      <c r="W83" s="13"/>
      <c r="X83" s="2"/>
      <c r="Y83" s="2"/>
      <c r="Z83" s="18" t="n">
        <f aca="false">IF(AND(F83*X83&gt;Y83,Y83&gt;0),Y83, F83*X83)</f>
        <v>0</v>
      </c>
    </row>
    <row r="84" customFormat="false" ht="15" hidden="false" customHeight="false" outlineLevel="0" collapsed="false">
      <c r="A84" s="13" t="n">
        <v>82</v>
      </c>
      <c r="B84" s="14"/>
      <c r="C84" s="14"/>
      <c r="D84" s="15"/>
      <c r="E84" s="16"/>
      <c r="F84" s="17"/>
      <c r="G84" s="13"/>
      <c r="H84" s="2"/>
      <c r="I84" s="2"/>
      <c r="J84" s="18" t="n">
        <f aca="false">IF(AND(F84*H84&gt;I84,I84&gt;0),I84, F84*H84)</f>
        <v>0</v>
      </c>
      <c r="K84" s="13"/>
      <c r="L84" s="2"/>
      <c r="M84" s="2"/>
      <c r="N84" s="18" t="n">
        <f aca="false">IF(AND(F84*L84&gt;M84,M84&gt;0),M84, F84*L84)</f>
        <v>0</v>
      </c>
      <c r="O84" s="13"/>
      <c r="P84" s="2"/>
      <c r="Q84" s="2"/>
      <c r="R84" s="18" t="n">
        <f aca="false">IF(AND(F84*P84&gt;Q84,Q84&gt;0),Q84, F84*P84)</f>
        <v>0</v>
      </c>
      <c r="S84" s="13"/>
      <c r="T84" s="2"/>
      <c r="U84" s="2"/>
      <c r="V84" s="18" t="n">
        <f aca="false">IF(AND(F84*T84&gt;U84,U84&gt;0),U84, F84*T84)</f>
        <v>0</v>
      </c>
      <c r="W84" s="13"/>
      <c r="X84" s="2"/>
      <c r="Y84" s="2"/>
      <c r="Z84" s="18" t="n">
        <f aca="false">IF(AND(F84*X84&gt;Y84,Y84&gt;0),Y84, F84*X84)</f>
        <v>0</v>
      </c>
    </row>
    <row r="85" customFormat="false" ht="15" hidden="false" customHeight="false" outlineLevel="0" collapsed="false">
      <c r="A85" s="13" t="n">
        <v>83</v>
      </c>
      <c r="B85" s="14"/>
      <c r="C85" s="14"/>
      <c r="D85" s="15"/>
      <c r="E85" s="16"/>
      <c r="F85" s="17"/>
      <c r="G85" s="13"/>
      <c r="H85" s="2"/>
      <c r="I85" s="2"/>
      <c r="J85" s="18" t="n">
        <f aca="false">IF(AND(F85*H85&gt;I85,I85&gt;0),I85, F85*H85)</f>
        <v>0</v>
      </c>
      <c r="K85" s="13"/>
      <c r="L85" s="2"/>
      <c r="M85" s="2"/>
      <c r="N85" s="18" t="n">
        <f aca="false">IF(AND(F85*L85&gt;M85,M85&gt;0),M85, F85*L85)</f>
        <v>0</v>
      </c>
      <c r="O85" s="13"/>
      <c r="P85" s="2"/>
      <c r="Q85" s="2"/>
      <c r="R85" s="18" t="n">
        <f aca="false">IF(AND(F85*P85&gt;Q85,Q85&gt;0),Q85, F85*P85)</f>
        <v>0</v>
      </c>
      <c r="S85" s="13"/>
      <c r="T85" s="2"/>
      <c r="U85" s="2"/>
      <c r="V85" s="18" t="n">
        <f aca="false">IF(AND(F85*T85&gt;U85,U85&gt;0),U85, F85*T85)</f>
        <v>0</v>
      </c>
      <c r="W85" s="13"/>
      <c r="X85" s="2"/>
      <c r="Y85" s="2"/>
      <c r="Z85" s="18" t="n">
        <f aca="false">IF(AND(F85*X85&gt;Y85,Y85&gt;0),Y85, F85*X85)</f>
        <v>0</v>
      </c>
    </row>
    <row r="86" customFormat="false" ht="15" hidden="false" customHeight="false" outlineLevel="0" collapsed="false">
      <c r="A86" s="13" t="n">
        <v>84</v>
      </c>
      <c r="B86" s="14"/>
      <c r="C86" s="14"/>
      <c r="D86" s="15"/>
      <c r="E86" s="16"/>
      <c r="F86" s="17"/>
      <c r="G86" s="13"/>
      <c r="H86" s="2"/>
      <c r="I86" s="2"/>
      <c r="J86" s="18" t="n">
        <f aca="false">IF(AND(F86*H86&gt;I86,I86&gt;0),I86, F86*H86)</f>
        <v>0</v>
      </c>
      <c r="K86" s="13"/>
      <c r="L86" s="2"/>
      <c r="M86" s="2"/>
      <c r="N86" s="18" t="n">
        <f aca="false">IF(AND(F86*L86&gt;M86,M86&gt;0),M86, F86*L86)</f>
        <v>0</v>
      </c>
      <c r="O86" s="13"/>
      <c r="P86" s="2"/>
      <c r="Q86" s="2"/>
      <c r="R86" s="18" t="n">
        <f aca="false">IF(AND(F86*P86&gt;Q86,Q86&gt;0),Q86, F86*P86)</f>
        <v>0</v>
      </c>
      <c r="S86" s="13"/>
      <c r="T86" s="2"/>
      <c r="U86" s="2"/>
      <c r="V86" s="18" t="n">
        <f aca="false">IF(AND(F86*T86&gt;U86,U86&gt;0),U86, F86*T86)</f>
        <v>0</v>
      </c>
      <c r="W86" s="13"/>
      <c r="X86" s="2"/>
      <c r="Y86" s="2"/>
      <c r="Z86" s="18" t="n">
        <f aca="false">IF(AND(F86*X86&gt;Y86,Y86&gt;0),Y86, F86*X86)</f>
        <v>0</v>
      </c>
    </row>
    <row r="87" customFormat="false" ht="15" hidden="false" customHeight="false" outlineLevel="0" collapsed="false">
      <c r="A87" s="13" t="n">
        <v>85</v>
      </c>
      <c r="B87" s="14"/>
      <c r="C87" s="14"/>
      <c r="D87" s="15"/>
      <c r="E87" s="16"/>
      <c r="F87" s="17"/>
      <c r="G87" s="13"/>
      <c r="H87" s="2"/>
      <c r="I87" s="2"/>
      <c r="J87" s="18" t="n">
        <f aca="false">IF(AND(F87*H87&gt;I87,I87&gt;0),I87, F87*H87)</f>
        <v>0</v>
      </c>
      <c r="K87" s="13"/>
      <c r="L87" s="2"/>
      <c r="M87" s="2"/>
      <c r="N87" s="18" t="n">
        <f aca="false">IF(AND(F87*L87&gt;M87,M87&gt;0),M87, F87*L87)</f>
        <v>0</v>
      </c>
      <c r="O87" s="13"/>
      <c r="P87" s="2"/>
      <c r="Q87" s="2"/>
      <c r="R87" s="18" t="n">
        <f aca="false">IF(AND(F87*P87&gt;Q87,Q87&gt;0),Q87, F87*P87)</f>
        <v>0</v>
      </c>
      <c r="S87" s="13"/>
      <c r="T87" s="2"/>
      <c r="U87" s="2"/>
      <c r="V87" s="18" t="n">
        <f aca="false">IF(AND(F87*T87&gt;U87,U87&gt;0),U87, F87*T87)</f>
        <v>0</v>
      </c>
      <c r="W87" s="13"/>
      <c r="X87" s="2"/>
      <c r="Y87" s="2"/>
      <c r="Z87" s="18" t="n">
        <f aca="false">IF(AND(F87*X87&gt;Y87,Y87&gt;0),Y87, F87*X87)</f>
        <v>0</v>
      </c>
    </row>
    <row r="88" customFormat="false" ht="15" hidden="false" customHeight="false" outlineLevel="0" collapsed="false">
      <c r="A88" s="13" t="n">
        <v>86</v>
      </c>
      <c r="B88" s="14"/>
      <c r="C88" s="14"/>
      <c r="D88" s="15"/>
      <c r="E88" s="16"/>
      <c r="F88" s="17"/>
      <c r="G88" s="13"/>
      <c r="H88" s="2"/>
      <c r="I88" s="2"/>
      <c r="J88" s="18" t="n">
        <f aca="false">IF(AND(F88*H88&gt;I88,I88&gt;0),I88, F88*H88)</f>
        <v>0</v>
      </c>
      <c r="K88" s="13"/>
      <c r="L88" s="2"/>
      <c r="M88" s="2"/>
      <c r="N88" s="18" t="n">
        <f aca="false">IF(AND(F88*L88&gt;M88,M88&gt;0),M88, F88*L88)</f>
        <v>0</v>
      </c>
      <c r="O88" s="13"/>
      <c r="P88" s="2"/>
      <c r="Q88" s="2"/>
      <c r="R88" s="18" t="n">
        <f aca="false">IF(AND(F88*P88&gt;Q88,Q88&gt;0),Q88, F88*P88)</f>
        <v>0</v>
      </c>
      <c r="S88" s="13"/>
      <c r="T88" s="2"/>
      <c r="U88" s="2"/>
      <c r="V88" s="18" t="n">
        <f aca="false">IF(AND(F88*T88&gt;U88,U88&gt;0),U88, F88*T88)</f>
        <v>0</v>
      </c>
      <c r="W88" s="13"/>
      <c r="X88" s="2"/>
      <c r="Y88" s="2"/>
      <c r="Z88" s="18" t="n">
        <f aca="false">IF(AND(F88*X88&gt;Y88,Y88&gt;0),Y88, F88*X88)</f>
        <v>0</v>
      </c>
    </row>
    <row r="89" customFormat="false" ht="15" hidden="false" customHeight="false" outlineLevel="0" collapsed="false">
      <c r="A89" s="13" t="n">
        <v>87</v>
      </c>
      <c r="B89" s="14"/>
      <c r="C89" s="14"/>
      <c r="D89" s="15"/>
      <c r="E89" s="16"/>
      <c r="F89" s="17"/>
      <c r="G89" s="13"/>
      <c r="H89" s="2"/>
      <c r="I89" s="2"/>
      <c r="J89" s="18" t="n">
        <f aca="false">IF(AND(F89*H89&gt;I89,I89&gt;0),I89, F89*H89)</f>
        <v>0</v>
      </c>
      <c r="K89" s="13"/>
      <c r="L89" s="2"/>
      <c r="M89" s="2"/>
      <c r="N89" s="18" t="n">
        <f aca="false">IF(AND(F89*L89&gt;M89,M89&gt;0),M89, F89*L89)</f>
        <v>0</v>
      </c>
      <c r="O89" s="13"/>
      <c r="P89" s="2"/>
      <c r="Q89" s="2"/>
      <c r="R89" s="18" t="n">
        <f aca="false">IF(AND(F89*P89&gt;Q89,Q89&gt;0),Q89, F89*P89)</f>
        <v>0</v>
      </c>
      <c r="S89" s="13"/>
      <c r="T89" s="2"/>
      <c r="U89" s="2"/>
      <c r="V89" s="18" t="n">
        <f aca="false">IF(AND(F89*T89&gt;U89,U89&gt;0),U89, F89*T89)</f>
        <v>0</v>
      </c>
      <c r="W89" s="13"/>
      <c r="X89" s="2"/>
      <c r="Y89" s="2"/>
      <c r="Z89" s="18" t="n">
        <f aca="false">IF(AND(F89*X89&gt;Y89,Y89&gt;0),Y89, F89*X89)</f>
        <v>0</v>
      </c>
    </row>
    <row r="90" customFormat="false" ht="15" hidden="false" customHeight="false" outlineLevel="0" collapsed="false">
      <c r="A90" s="13" t="n">
        <v>88</v>
      </c>
      <c r="B90" s="14"/>
      <c r="C90" s="14"/>
      <c r="D90" s="15"/>
      <c r="E90" s="16"/>
      <c r="F90" s="17"/>
      <c r="G90" s="13"/>
      <c r="H90" s="2"/>
      <c r="I90" s="2"/>
      <c r="J90" s="18" t="n">
        <f aca="false">IF(AND(F90*H90&gt;I90,I90&gt;0),I90, F90*H90)</f>
        <v>0</v>
      </c>
      <c r="K90" s="13"/>
      <c r="L90" s="2"/>
      <c r="M90" s="2"/>
      <c r="N90" s="18" t="n">
        <f aca="false">IF(AND(F90*L90&gt;M90,M90&gt;0),M90, F90*L90)</f>
        <v>0</v>
      </c>
      <c r="O90" s="13"/>
      <c r="P90" s="2"/>
      <c r="Q90" s="2"/>
      <c r="R90" s="18" t="n">
        <f aca="false">IF(AND(F90*P90&gt;Q90,Q90&gt;0),Q90, F90*P90)</f>
        <v>0</v>
      </c>
      <c r="S90" s="13"/>
      <c r="T90" s="2"/>
      <c r="U90" s="2"/>
      <c r="V90" s="18" t="n">
        <f aca="false">IF(AND(F90*T90&gt;U90,U90&gt;0),U90, F90*T90)</f>
        <v>0</v>
      </c>
      <c r="W90" s="13"/>
      <c r="X90" s="2"/>
      <c r="Y90" s="2"/>
      <c r="Z90" s="18" t="n">
        <f aca="false">IF(AND(F90*X90&gt;Y90,Y90&gt;0),Y90, F90*X90)</f>
        <v>0</v>
      </c>
    </row>
    <row r="91" customFormat="false" ht="15" hidden="false" customHeight="false" outlineLevel="0" collapsed="false">
      <c r="A91" s="13" t="n">
        <v>89</v>
      </c>
      <c r="B91" s="14"/>
      <c r="C91" s="14"/>
      <c r="D91" s="15"/>
      <c r="E91" s="16"/>
      <c r="F91" s="17"/>
      <c r="G91" s="13"/>
      <c r="H91" s="2"/>
      <c r="I91" s="2"/>
      <c r="J91" s="18" t="n">
        <f aca="false">IF(AND(F91*H91&gt;I91,I91&gt;0),I91, F91*H91)</f>
        <v>0</v>
      </c>
      <c r="K91" s="13"/>
      <c r="L91" s="2"/>
      <c r="M91" s="2"/>
      <c r="N91" s="18" t="n">
        <f aca="false">IF(AND(F91*L91&gt;M91,M91&gt;0),M91, F91*L91)</f>
        <v>0</v>
      </c>
      <c r="O91" s="13"/>
      <c r="P91" s="2"/>
      <c r="Q91" s="2"/>
      <c r="R91" s="18" t="n">
        <f aca="false">IF(AND(F91*P91&gt;Q91,Q91&gt;0),Q91, F91*P91)</f>
        <v>0</v>
      </c>
      <c r="S91" s="13"/>
      <c r="T91" s="2"/>
      <c r="U91" s="2"/>
      <c r="V91" s="18" t="n">
        <f aca="false">IF(AND(F91*T91&gt;U91,U91&gt;0),U91, F91*T91)</f>
        <v>0</v>
      </c>
      <c r="W91" s="13"/>
      <c r="X91" s="2"/>
      <c r="Y91" s="2"/>
      <c r="Z91" s="18" t="n">
        <f aca="false">IF(AND(F91*X91&gt;Y91,Y91&gt;0),Y91, F91*X91)</f>
        <v>0</v>
      </c>
    </row>
    <row r="92" customFormat="false" ht="15" hidden="false" customHeight="false" outlineLevel="0" collapsed="false">
      <c r="A92" s="13" t="n">
        <v>90</v>
      </c>
      <c r="B92" s="14"/>
      <c r="C92" s="14"/>
      <c r="D92" s="15"/>
      <c r="E92" s="16"/>
      <c r="F92" s="17"/>
      <c r="G92" s="13"/>
      <c r="H92" s="2"/>
      <c r="I92" s="2"/>
      <c r="J92" s="18" t="n">
        <f aca="false">IF(AND(F92*H92&gt;I92,I92&gt;0),I92, F92*H92)</f>
        <v>0</v>
      </c>
      <c r="K92" s="13"/>
      <c r="L92" s="2"/>
      <c r="M92" s="2"/>
      <c r="N92" s="18" t="n">
        <f aca="false">IF(AND(F92*L92&gt;M92,M92&gt;0),M92, F92*L92)</f>
        <v>0</v>
      </c>
      <c r="O92" s="13"/>
      <c r="P92" s="2"/>
      <c r="Q92" s="2"/>
      <c r="R92" s="18" t="n">
        <f aca="false">IF(AND(F92*P92&gt;Q92,Q92&gt;0),Q92, F92*P92)</f>
        <v>0</v>
      </c>
      <c r="S92" s="13"/>
      <c r="T92" s="2"/>
      <c r="U92" s="2"/>
      <c r="V92" s="18" t="n">
        <f aca="false">IF(AND(F92*T92&gt;U92,U92&gt;0),U92, F92*T92)</f>
        <v>0</v>
      </c>
      <c r="W92" s="13"/>
      <c r="X92" s="2"/>
      <c r="Y92" s="2"/>
      <c r="Z92" s="18" t="n">
        <f aca="false">IF(AND(F92*X92&gt;Y92,Y92&gt;0),Y92, F92*X92)</f>
        <v>0</v>
      </c>
    </row>
    <row r="93" customFormat="false" ht="15" hidden="false" customHeight="false" outlineLevel="0" collapsed="false">
      <c r="A93" s="13" t="n">
        <v>91</v>
      </c>
      <c r="B93" s="14"/>
      <c r="C93" s="14"/>
      <c r="D93" s="15"/>
      <c r="E93" s="16"/>
      <c r="F93" s="17"/>
      <c r="G93" s="13"/>
      <c r="H93" s="2"/>
      <c r="I93" s="2"/>
      <c r="J93" s="18" t="n">
        <f aca="false">IF(AND(F93*H93&gt;I93,I93&gt;0),I93, F93*H93)</f>
        <v>0</v>
      </c>
      <c r="K93" s="13"/>
      <c r="L93" s="2"/>
      <c r="M93" s="2"/>
      <c r="N93" s="18" t="n">
        <f aca="false">IF(AND(F93*L93&gt;M93,M93&gt;0),M93, F93*L93)</f>
        <v>0</v>
      </c>
      <c r="O93" s="13"/>
      <c r="P93" s="2"/>
      <c r="Q93" s="2"/>
      <c r="R93" s="18" t="n">
        <f aca="false">IF(AND(F93*P93&gt;Q93,Q93&gt;0),Q93, F93*P93)</f>
        <v>0</v>
      </c>
      <c r="S93" s="13"/>
      <c r="T93" s="2"/>
      <c r="U93" s="2"/>
      <c r="V93" s="18" t="n">
        <f aca="false">IF(AND(F93*T93&gt;U93,U93&gt;0),U93, F93*T93)</f>
        <v>0</v>
      </c>
      <c r="W93" s="13"/>
      <c r="X93" s="2"/>
      <c r="Y93" s="2"/>
      <c r="Z93" s="18" t="n">
        <f aca="false">IF(AND(F93*X93&gt;Y93,Y93&gt;0),Y93, F93*X93)</f>
        <v>0</v>
      </c>
    </row>
    <row r="94" customFormat="false" ht="15" hidden="false" customHeight="false" outlineLevel="0" collapsed="false">
      <c r="A94" s="13" t="n">
        <v>92</v>
      </c>
      <c r="B94" s="14"/>
      <c r="C94" s="14"/>
      <c r="D94" s="15"/>
      <c r="E94" s="16"/>
      <c r="F94" s="17"/>
      <c r="G94" s="13"/>
      <c r="H94" s="2"/>
      <c r="I94" s="2"/>
      <c r="J94" s="18" t="n">
        <f aca="false">IF(AND(F94*H94&gt;I94,I94&gt;0),I94, F94*H94)</f>
        <v>0</v>
      </c>
      <c r="K94" s="13"/>
      <c r="L94" s="2"/>
      <c r="M94" s="2"/>
      <c r="N94" s="18" t="n">
        <f aca="false">IF(AND(F94*L94&gt;M94,M94&gt;0),M94, F94*L94)</f>
        <v>0</v>
      </c>
      <c r="O94" s="13"/>
      <c r="P94" s="2"/>
      <c r="Q94" s="2"/>
      <c r="R94" s="18" t="n">
        <f aca="false">IF(AND(F94*P94&gt;Q94,Q94&gt;0),Q94, F94*P94)</f>
        <v>0</v>
      </c>
      <c r="S94" s="13"/>
      <c r="T94" s="2"/>
      <c r="U94" s="2"/>
      <c r="V94" s="18" t="n">
        <f aca="false">IF(AND(F94*T94&gt;U94,U94&gt;0),U94, F94*T94)</f>
        <v>0</v>
      </c>
      <c r="W94" s="13"/>
      <c r="X94" s="2"/>
      <c r="Y94" s="2"/>
      <c r="Z94" s="18" t="n">
        <f aca="false">IF(AND(F94*X94&gt;Y94,Y94&gt;0),Y94, F94*X94)</f>
        <v>0</v>
      </c>
    </row>
    <row r="95" customFormat="false" ht="15" hidden="false" customHeight="false" outlineLevel="0" collapsed="false">
      <c r="A95" s="13" t="n">
        <v>93</v>
      </c>
      <c r="B95" s="14"/>
      <c r="C95" s="14"/>
      <c r="D95" s="15"/>
      <c r="E95" s="16"/>
      <c r="F95" s="17"/>
      <c r="G95" s="13"/>
      <c r="H95" s="2"/>
      <c r="I95" s="2"/>
      <c r="J95" s="18" t="n">
        <f aca="false">IF(AND(F95*H95&gt;I95,I95&gt;0),I95, F95*H95)</f>
        <v>0</v>
      </c>
      <c r="K95" s="13"/>
      <c r="L95" s="2"/>
      <c r="M95" s="2"/>
      <c r="N95" s="18" t="n">
        <f aca="false">IF(AND(F95*L95&gt;M95,M95&gt;0),M95, F95*L95)</f>
        <v>0</v>
      </c>
      <c r="O95" s="13"/>
      <c r="P95" s="2"/>
      <c r="Q95" s="2"/>
      <c r="R95" s="18" t="n">
        <f aca="false">IF(AND(F95*P95&gt;Q95,Q95&gt;0),Q95, F95*P95)</f>
        <v>0</v>
      </c>
      <c r="S95" s="13"/>
      <c r="T95" s="2"/>
      <c r="U95" s="2"/>
      <c r="V95" s="18" t="n">
        <f aca="false">IF(AND(F95*T95&gt;U95,U95&gt;0),U95, F95*T95)</f>
        <v>0</v>
      </c>
      <c r="W95" s="13"/>
      <c r="X95" s="2"/>
      <c r="Y95" s="2"/>
      <c r="Z95" s="18" t="n">
        <f aca="false">IF(AND(F95*X95&gt;Y95,Y95&gt;0),Y95, F95*X95)</f>
        <v>0</v>
      </c>
    </row>
    <row r="96" customFormat="false" ht="15" hidden="false" customHeight="false" outlineLevel="0" collapsed="false">
      <c r="A96" s="13" t="n">
        <v>97</v>
      </c>
      <c r="B96" s="14"/>
      <c r="C96" s="14"/>
      <c r="D96" s="15"/>
      <c r="E96" s="16"/>
      <c r="F96" s="17"/>
      <c r="G96" s="13"/>
      <c r="H96" s="2"/>
      <c r="I96" s="2"/>
      <c r="J96" s="18" t="n">
        <f aca="false">IF(AND(F96*H96&gt;I96,I96&gt;0),I96, F96*H96)</f>
        <v>0</v>
      </c>
      <c r="K96" s="13"/>
      <c r="L96" s="2"/>
      <c r="M96" s="2"/>
      <c r="N96" s="18" t="n">
        <f aca="false">IF(AND(F96*L96&gt;M96,M96&gt;0),M96, F96*L96)</f>
        <v>0</v>
      </c>
      <c r="O96" s="13"/>
      <c r="P96" s="2"/>
      <c r="Q96" s="2"/>
      <c r="R96" s="18" t="n">
        <f aca="false">IF(AND(F96*P96&gt;Q96,Q96&gt;0),Q96, F96*P96)</f>
        <v>0</v>
      </c>
      <c r="S96" s="13"/>
      <c r="T96" s="2"/>
      <c r="U96" s="2"/>
      <c r="V96" s="18" t="n">
        <f aca="false">IF(AND(F96*T96&gt;U96,U96&gt;0),U96, F96*T96)</f>
        <v>0</v>
      </c>
      <c r="W96" s="13"/>
      <c r="X96" s="2"/>
      <c r="Y96" s="2"/>
      <c r="Z96" s="18" t="n">
        <f aca="false">IF(AND(F96*X96&gt;Y96,Y96&gt;0),Y96, F96*X96)</f>
        <v>0</v>
      </c>
    </row>
    <row r="97" customFormat="false" ht="15" hidden="false" customHeight="false" outlineLevel="0" collapsed="false">
      <c r="A97" s="13" t="n">
        <v>98</v>
      </c>
      <c r="B97" s="14"/>
      <c r="C97" s="14"/>
      <c r="D97" s="15"/>
      <c r="E97" s="16"/>
      <c r="F97" s="17"/>
      <c r="G97" s="13"/>
      <c r="H97" s="2"/>
      <c r="I97" s="2"/>
      <c r="J97" s="18" t="n">
        <f aca="false">IF(AND(F97*H97&gt;I97,I97&gt;0),I97, F97*H97)</f>
        <v>0</v>
      </c>
      <c r="K97" s="13"/>
      <c r="L97" s="2"/>
      <c r="M97" s="2"/>
      <c r="N97" s="18" t="n">
        <f aca="false">IF(AND(F97*L97&gt;M97,M97&gt;0),M97, F97*L97)</f>
        <v>0</v>
      </c>
      <c r="O97" s="13"/>
      <c r="P97" s="2"/>
      <c r="Q97" s="2"/>
      <c r="R97" s="18" t="n">
        <f aca="false">IF(AND(F97*P97&gt;Q97,Q97&gt;0),Q97, F97*P97)</f>
        <v>0</v>
      </c>
      <c r="S97" s="13"/>
      <c r="T97" s="2"/>
      <c r="U97" s="2"/>
      <c r="V97" s="18" t="n">
        <f aca="false">IF(AND(F97*T97&gt;U97,U97&gt;0),U97, F97*T97)</f>
        <v>0</v>
      </c>
      <c r="W97" s="13"/>
      <c r="X97" s="2"/>
      <c r="Y97" s="2"/>
      <c r="Z97" s="18" t="n">
        <f aca="false">IF(AND(F97*X97&gt;Y97,Y97&gt;0),Y97, F97*X97)</f>
        <v>0</v>
      </c>
    </row>
    <row r="98" customFormat="false" ht="15" hidden="false" customHeight="false" outlineLevel="0" collapsed="false">
      <c r="A98" s="13" t="n">
        <v>99</v>
      </c>
      <c r="B98" s="14"/>
      <c r="C98" s="14"/>
      <c r="D98" s="15"/>
      <c r="E98" s="16"/>
      <c r="F98" s="17"/>
      <c r="G98" s="13"/>
      <c r="H98" s="2"/>
      <c r="I98" s="2"/>
      <c r="J98" s="18" t="n">
        <f aca="false">IF(AND(F98*H98&gt;I98,I98&gt;0),I98, F98*H98)</f>
        <v>0</v>
      </c>
      <c r="K98" s="13"/>
      <c r="L98" s="2"/>
      <c r="M98" s="2"/>
      <c r="N98" s="18" t="n">
        <f aca="false">IF(AND(F98*L98&gt;M98,M98&gt;0),M98, F98*L98)</f>
        <v>0</v>
      </c>
      <c r="O98" s="13"/>
      <c r="P98" s="2"/>
      <c r="Q98" s="2"/>
      <c r="R98" s="18" t="n">
        <f aca="false">IF(AND(F98*P98&gt;Q98,Q98&gt;0),Q98, F98*P98)</f>
        <v>0</v>
      </c>
      <c r="S98" s="13"/>
      <c r="T98" s="2"/>
      <c r="U98" s="2"/>
      <c r="V98" s="18" t="n">
        <f aca="false">IF(AND(F98*T98&gt;U98,U98&gt;0),U98, F98*T98)</f>
        <v>0</v>
      </c>
      <c r="W98" s="13"/>
      <c r="X98" s="2"/>
      <c r="Y98" s="2"/>
      <c r="Z98" s="18" t="n">
        <f aca="false">IF(AND(F98*X98&gt;Y98,Y98&gt;0),Y98, F98*X98)</f>
        <v>0</v>
      </c>
    </row>
    <row r="99" customFormat="false" ht="15" hidden="false" customHeight="false" outlineLevel="0" collapsed="false">
      <c r="A99" s="13" t="n">
        <v>100</v>
      </c>
      <c r="B99" s="14"/>
      <c r="C99" s="14"/>
      <c r="D99" s="15"/>
      <c r="E99" s="16"/>
      <c r="F99" s="17"/>
      <c r="G99" s="13"/>
      <c r="H99" s="2"/>
      <c r="I99" s="2"/>
      <c r="J99" s="18" t="n">
        <f aca="false">IF(AND(F99*H99&gt;I99,I99&gt;0),I99, F99*H99)</f>
        <v>0</v>
      </c>
      <c r="K99" s="13"/>
      <c r="L99" s="2"/>
      <c r="M99" s="2"/>
      <c r="N99" s="18" t="n">
        <f aca="false">IF(AND(F99*L99&gt;M99,M99&gt;0),M99, F99*L99)</f>
        <v>0</v>
      </c>
      <c r="O99" s="13"/>
      <c r="P99" s="2"/>
      <c r="Q99" s="2"/>
      <c r="R99" s="18" t="n">
        <f aca="false">IF(AND(F99*P99&gt;Q99,Q99&gt;0),Q99, F99*P99)</f>
        <v>0</v>
      </c>
      <c r="S99" s="13"/>
      <c r="T99" s="2"/>
      <c r="U99" s="2"/>
      <c r="V99" s="18" t="n">
        <f aca="false">IF(AND(F99*T99&gt;U99,U99&gt;0),U99, F99*T99)</f>
        <v>0</v>
      </c>
      <c r="W99" s="13"/>
      <c r="X99" s="2"/>
      <c r="Y99" s="2"/>
      <c r="Z99" s="18" t="n">
        <f aca="false">IF(AND(F99*X99&gt;Y99,Y99&gt;0),Y99, F99*X99)</f>
        <v>0</v>
      </c>
    </row>
    <row r="100" customFormat="false" ht="15" hidden="false" customHeight="false" outlineLevel="0" collapsed="false">
      <c r="F100" s="22" t="n">
        <v>0</v>
      </c>
    </row>
    <row r="103" customFormat="false" ht="15" hidden="false" customHeight="false" outlineLevel="0" collapsed="false">
      <c r="S103" s="1" t="n">
        <f aca="false">SUMIF('Stammdaten - Schwimmer'!S$4:S$99,1002,'Stammdaten - Schwimmer'!$F$4:$F$99)</f>
        <v>0</v>
      </c>
      <c r="W103" s="1" t="n">
        <f aca="false">SUMIF('Stammdaten - Schwimmer'!W$4:W$99,1002,'Stammdaten - Schwimmer'!$F$4:$F$99)</f>
        <v>0</v>
      </c>
    </row>
    <row r="104" customFormat="false" ht="15" hidden="false" customHeight="false" outlineLevel="0" collapsed="false">
      <c r="G104" s="1" t="n">
        <f aca="false">SUMIF('Stammdaten - Schwimmer'!G$4:G$99,1002,'Stammdaten - Schwimmer'!$F$4:$F$99)</f>
        <v>769</v>
      </c>
      <c r="K104" s="1" t="n">
        <f aca="false">SUMIF('Stammdaten - Schwimmer'!K$4:K$99,1002,'Stammdaten - Schwimmer'!$F$4:$F$99)</f>
        <v>0</v>
      </c>
      <c r="O104" s="1" t="n">
        <f aca="false">SUMIF('Stammdaten - Schwimmer'!O$4:O$99,1002,'Stammdaten - Schwimmer'!$F$4:$F$99)</f>
        <v>0</v>
      </c>
      <c r="S104" s="1" t="e">
        <f aca="false">SUMIF('Stammdaten - Schwimmer'!S$4:S$99,'stammdaten - sponsoren'!#ref!,'Stammdaten - Schwimmer'!$F$4:$F$99)</f>
        <v>#VALUE!</v>
      </c>
      <c r="W104" s="1" t="n">
        <f aca="false">SUMIF('Stammdaten - Schwimmer'!W$4:W$99,'Stammdaten - Sponsoren'!R5,'Stammdaten - Schwimmer'!$F$4:$F$99)</f>
        <v>0</v>
      </c>
    </row>
    <row r="105" customFormat="false" ht="15" hidden="false" customHeight="false" outlineLevel="0" collapsed="false">
      <c r="G105" s="1" t="n">
        <f aca="false">SUMIF('Stammdaten - Schwimmer'!G$4:G$99,'Stammdaten - Sponsoren'!A6,'Stammdaten - Schwimmer'!$F$4:$F$99)</f>
        <v>1266</v>
      </c>
      <c r="K105" s="1" t="n">
        <f aca="false">SUMIF('Stammdaten - Schwimmer'!K$4:K$99,'Stammdaten - Sponsoren'!E6,'Stammdaten - Schwimmer'!$F$4:$F$99)</f>
        <v>0</v>
      </c>
      <c r="O105" s="1" t="n">
        <f aca="false">SUMIF('Stammdaten - Schwimmer'!O$4:O$99,'Stammdaten - Sponsoren'!I6,'Stammdaten - Schwimmer'!$F$4:$F$99)</f>
        <v>0</v>
      </c>
      <c r="S105" s="1" t="n">
        <f aca="false">SUMIF('Stammdaten - Schwimmer'!S$4:S$99,1003,'Stammdaten - Schwimmer'!$F$4:$F$99)</f>
        <v>0</v>
      </c>
      <c r="W105" s="1" t="n">
        <f aca="false">SUMIF('Stammdaten - Schwimmer'!W$4:W$99,1003,'Stammdaten - Schwimmer'!$F$4:$F$99)</f>
        <v>0</v>
      </c>
    </row>
    <row r="106" customFormat="false" ht="15" hidden="false" customHeight="false" outlineLevel="0" collapsed="false">
      <c r="G106" s="1" t="n">
        <f aca="false">SUMIF('Stammdaten - Schwimmer'!G$4:G$99,1003,'Stammdaten - Schwimmer'!$F$4:$F$99)</f>
        <v>1266</v>
      </c>
      <c r="K106" s="1" t="n">
        <f aca="false">SUMIF('Stammdaten - Schwimmer'!K$4:K$99,1003,'Stammdaten - Schwimmer'!$F$4:$F$99)</f>
        <v>0</v>
      </c>
      <c r="O106" s="1" t="n">
        <f aca="false">SUMIF('Stammdaten - Schwimmer'!O$4:O$99,1003,'Stammdaten - Schwimmer'!$F$4:$F$99)</f>
        <v>0</v>
      </c>
      <c r="S106" s="1" t="n">
        <f aca="false">SUMIF('Stammdaten - Schwimmer'!S$4:S$99,1029,'Stammdaten - Schwimmer'!$F$4:$F$99)</f>
        <v>0</v>
      </c>
      <c r="W106" s="1" t="n">
        <f aca="false">SUMIF('Stammdaten - Schwimmer'!W$4:W$99,1029,'Stammdaten - Schwimmer'!$F$4:$F$99)</f>
        <v>0</v>
      </c>
    </row>
    <row r="107" customFormat="false" ht="15" hidden="false" customHeight="false" outlineLevel="0" collapsed="false">
      <c r="G107" s="1" t="n">
        <f aca="false">SUMIF('Stammdaten - Schwimmer'!G$4:G$99,1029,'Stammdaten - Schwimmer'!$F$4:$F$99)</f>
        <v>0</v>
      </c>
      <c r="K107" s="1" t="n">
        <f aca="false">SUMIF('Stammdaten - Schwimmer'!K$4:K$99,1029,'Stammdaten - Schwimmer'!$F$4:$F$99)</f>
        <v>0</v>
      </c>
      <c r="O107" s="1" t="n">
        <f aca="false">SUMIF('Stammdaten - Schwimmer'!O$4:O$99,1029,'Stammdaten - Schwimmer'!$F$4:$F$99)</f>
        <v>0</v>
      </c>
    </row>
    <row r="108" customFormat="false" ht="15" hidden="false" customHeight="false" outlineLevel="0" collapsed="false">
      <c r="G108" s="1" t="n">
        <f aca="false">SUMIF('Stammdaten - Schwimmer'!G$4:G$99,1027,'Stammdaten - Schwimmer'!$F$4:$F$99)</f>
        <v>0</v>
      </c>
      <c r="K108" s="1" t="n">
        <f aca="false">SUMIF('Stammdaten - Schwimmer'!K$4:K$99,1027,'Stammdaten - Schwimmer'!$F$4:$F$99)</f>
        <v>0</v>
      </c>
      <c r="O108" s="1" t="n">
        <f aca="false">SUMIF('Stammdaten - Schwimmer'!O$4:O$99,1027,'Stammdaten - Schwimmer'!$F$4:$F$99)</f>
        <v>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5" activeCellId="0" sqref="H25"/>
    </sheetView>
  </sheetViews>
  <sheetFormatPr defaultColWidth="10.6796875" defaultRowHeight="15" customHeight="false" zeroHeight="false" outlineLevelRow="0" outlineLevelCol="0"/>
  <cols>
    <col collapsed="false" customWidth="true" hidden="false" outlineLevel="0" max="4" min="4" style="23" width="11.43"/>
    <col collapsed="false" customWidth="true" hidden="false" outlineLevel="0" max="14" min="14" style="23" width="11.43"/>
  </cols>
  <sheetData>
    <row r="1" customFormat="false" ht="15" hidden="false" customHeight="false" outlineLevel="0" collapsed="false">
      <c r="A1" s="0" t="s">
        <v>120</v>
      </c>
      <c r="K1" s="0" t="e">
        <f aca="false">#REF!</f>
        <v>#REF!</v>
      </c>
      <c r="L1" s="0" t="e">
        <f aca="false">#REF!</f>
        <v>#REF!</v>
      </c>
      <c r="M1" s="0" t="e">
        <f aca="false">#REF!</f>
        <v>#REF!</v>
      </c>
      <c r="N1" s="23" t="e">
        <f aca="false">#REF!</f>
        <v>#REF!</v>
      </c>
      <c r="O1" s="0" t="e">
        <f aca="false">#REF!</f>
        <v>#REF!</v>
      </c>
      <c r="P1" s="0" t="e">
        <f aca="false">#REF!</f>
        <v>#REF!</v>
      </c>
      <c r="Q1" s="0" t="n">
        <v>50</v>
      </c>
      <c r="R1" s="0" t="e">
        <f aca="false">P1*Q1</f>
        <v>#REF!</v>
      </c>
    </row>
    <row r="2" customFormat="false" ht="28.35" hidden="false" customHeight="false" outlineLevel="0" collapsed="false">
      <c r="A2" s="0" t="str">
        <f aca="false">'Stammdaten - Schwimmer'!A3</f>
        <v>Nummer</v>
      </c>
      <c r="B2" s="0" t="str">
        <f aca="false">'Stammdaten - Schwimmer'!B3</f>
        <v>Name </v>
      </c>
      <c r="C2" s="0" t="str">
        <f aca="false">'Stammdaten - Schwimmer'!C3</f>
        <v>Vormname</v>
      </c>
      <c r="D2" s="23" t="str">
        <f aca="false">'Stammdaten - Schwimmer'!D3</f>
        <v>Geburtstag</v>
      </c>
      <c r="E2" s="0" t="str">
        <f aca="false">'Stammdaten - Schwimmer'!E3</f>
        <v>Mannschaft</v>
      </c>
      <c r="F2" s="0" t="str">
        <f aca="false">'Stammdaten - Schwimmer'!F3</f>
        <v>Anzahl
Bahnen</v>
      </c>
      <c r="K2" s="0" t="n">
        <f aca="false">'Stammdaten - Schwimmer'!A4</f>
        <v>2</v>
      </c>
      <c r="L2" s="0" t="e">
        <f aca="false">'stammdaten - schwimmer'!#ref!</f>
        <v>#VALUE!</v>
      </c>
      <c r="M2" s="0" t="e">
        <f aca="false">'stammdaten - schwimmer'!#ref!</f>
        <v>#VALUE!</v>
      </c>
      <c r="N2" s="23" t="e">
        <f aca="false">'stammdaten - schwimmer'!#ref!</f>
        <v>#VALUE!</v>
      </c>
      <c r="O2" s="0" t="e">
        <f aca="false">'stammdaten - schwimmer'!#ref!</f>
        <v>#VALUE!</v>
      </c>
      <c r="P2" s="0" t="e">
        <f aca="false">'stammdaten - schwimmer'!#ref!</f>
        <v>#VALUE!</v>
      </c>
      <c r="Q2" s="0" t="n">
        <v>25</v>
      </c>
      <c r="R2" s="0" t="e">
        <f aca="false">P2*Q2</f>
        <v>#VALUE!</v>
      </c>
    </row>
    <row r="3" customFormat="false" ht="15" hidden="false" customHeight="false" outlineLevel="0" collapsed="false">
      <c r="A3" s="0" t="n">
        <f aca="false">'Stammdaten - Schwimmer'!A4</f>
        <v>2</v>
      </c>
      <c r="B3" s="0" t="str">
        <f aca="false">'Stammdaten - Schwimmer'!B4</f>
        <v>Grambow</v>
      </c>
      <c r="C3" s="0" t="str">
        <f aca="false">'Stammdaten - Schwimmer'!C4</f>
        <v>Kerstin</v>
      </c>
      <c r="D3" s="23" t="n">
        <f aca="false">'Stammdaten - Schwimmer'!D4</f>
        <v>35065</v>
      </c>
      <c r="E3" s="0" t="str">
        <f aca="false">'Stammdaten - Schwimmer'!E4</f>
        <v>503, 504</v>
      </c>
      <c r="F3" s="0" t="n">
        <f aca="false">'Stammdaten - Schwimmer'!F4</f>
        <v>58</v>
      </c>
      <c r="K3" s="0" t="n">
        <f aca="false">'Stammdaten - Schwimmer'!A5</f>
        <v>3</v>
      </c>
      <c r="L3" s="0" t="str">
        <f aca="false">'Stammdaten - Schwimmer'!B5</f>
        <v>Gessler </v>
      </c>
      <c r="M3" s="0" t="str">
        <f aca="false">'Stammdaten - Schwimmer'!C5</f>
        <v>Tom</v>
      </c>
      <c r="N3" s="23" t="n">
        <f aca="false">'Stammdaten - Schwimmer'!D5</f>
        <v>42230</v>
      </c>
      <c r="O3" s="0" t="n">
        <f aca="false">'Stammdaten - Schwimmer'!E5</f>
        <v>502</v>
      </c>
      <c r="P3" s="0" t="n">
        <f aca="false">'Stammdaten - Schwimmer'!F5</f>
        <v>24</v>
      </c>
      <c r="Q3" s="0" t="n">
        <v>25</v>
      </c>
      <c r="R3" s="0" t="n">
        <f aca="false">P3*Q3</f>
        <v>600</v>
      </c>
    </row>
    <row r="4" customFormat="false" ht="15" hidden="false" customHeight="false" outlineLevel="0" collapsed="false">
      <c r="A4" s="0" t="n">
        <f aca="false">'Stammdaten - Schwimmer'!A11</f>
        <v>9</v>
      </c>
      <c r="B4" s="0" t="str">
        <f aca="false">'Stammdaten - Schwimmer'!B11</f>
        <v>Künsemüller</v>
      </c>
      <c r="C4" s="23" t="str">
        <f aca="false">'Stammdaten - Schwimmer'!C11</f>
        <v>Jessika</v>
      </c>
      <c r="D4" s="23" t="n">
        <f aca="false">'Stammdaten - Schwimmer'!D11</f>
        <v>40654</v>
      </c>
      <c r="E4" s="0" t="n">
        <f aca="false">'Stammdaten - Schwimmer'!E11</f>
        <v>503</v>
      </c>
      <c r="F4" s="0" t="n">
        <f aca="false">'Stammdaten - Schwimmer'!F11</f>
        <v>74</v>
      </c>
      <c r="K4" s="0" t="n">
        <f aca="false">'Stammdaten - Schwimmer'!A6</f>
        <v>4</v>
      </c>
      <c r="L4" s="0" t="str">
        <f aca="false">'Stammdaten - Schwimmer'!B6</f>
        <v>Schwenk-Fischer</v>
      </c>
      <c r="M4" s="0" t="str">
        <f aca="false">'Stammdaten - Schwimmer'!C6</f>
        <v>Eva</v>
      </c>
      <c r="N4" s="23" t="n">
        <f aca="false">'Stammdaten - Schwimmer'!D6</f>
        <v>20973</v>
      </c>
      <c r="O4" s="0" t="n">
        <f aca="false">'Stammdaten - Schwimmer'!E6</f>
        <v>505</v>
      </c>
      <c r="P4" s="0" t="n">
        <f aca="false">'Stammdaten - Schwimmer'!F6</f>
        <v>35</v>
      </c>
      <c r="Q4" s="0" t="n">
        <v>50</v>
      </c>
      <c r="R4" s="0" t="n">
        <f aca="false">P4*Q4</f>
        <v>1750</v>
      </c>
    </row>
    <row r="5" customFormat="false" ht="15" hidden="false" customHeight="false" outlineLevel="0" collapsed="false">
      <c r="A5" s="0" t="e">
        <f aca="false">'stammdaten - schwimmer'!#ref!</f>
        <v>#VALUE!</v>
      </c>
      <c r="B5" s="0" t="e">
        <f aca="false">'stammdaten - schwimmer'!#ref!</f>
        <v>#VALUE!</v>
      </c>
      <c r="C5" s="0" t="e">
        <f aca="false">'stammdaten - schwimmer'!#ref!</f>
        <v>#VALUE!</v>
      </c>
      <c r="D5" s="23" t="e">
        <f aca="false">'stammdaten - schwimmer'!#ref!</f>
        <v>#VALUE!</v>
      </c>
      <c r="E5" s="0" t="e">
        <f aca="false">'stammdaten - schwimmer'!#ref!</f>
        <v>#VALUE!</v>
      </c>
      <c r="K5" s="0" t="n">
        <f aca="false">'Stammdaten - Schwimmer'!A7</f>
        <v>5</v>
      </c>
      <c r="L5" s="0" t="str">
        <f aca="false">'Stammdaten - Schwimmer'!B7</f>
        <v>Rink</v>
      </c>
      <c r="M5" s="0" t="str">
        <f aca="false">'Stammdaten - Schwimmer'!C7</f>
        <v>Wiebke</v>
      </c>
      <c r="N5" s="23" t="n">
        <f aca="false">'Stammdaten - Schwimmer'!D7</f>
        <v>42566</v>
      </c>
      <c r="O5" s="0" t="n">
        <f aca="false">'Stammdaten - Schwimmer'!E7</f>
        <v>503.505</v>
      </c>
      <c r="P5" s="0" t="n">
        <f aca="false">'Stammdaten - Schwimmer'!F7</f>
        <v>74</v>
      </c>
      <c r="Q5" s="0" t="n">
        <v>25</v>
      </c>
      <c r="R5" s="0" t="n">
        <f aca="false">P5*Q5</f>
        <v>1850</v>
      </c>
    </row>
    <row r="6" customFormat="false" ht="15" hidden="false" customHeight="false" outlineLevel="0" collapsed="false">
      <c r="A6" s="0" t="e">
        <f aca="false">'stammdaten - schwimmer'!#ref!</f>
        <v>#VALUE!</v>
      </c>
      <c r="B6" s="0" t="e">
        <f aca="false">'stammdaten - schwimmer'!#ref!</f>
        <v>#VALUE!</v>
      </c>
      <c r="C6" s="0" t="e">
        <f aca="false">'stammdaten - schwimmer'!#ref!</f>
        <v>#VALUE!</v>
      </c>
      <c r="D6" s="23" t="e">
        <f aca="false">'stammdaten - schwimmer'!#ref!</f>
        <v>#VALUE!</v>
      </c>
      <c r="E6" s="0" t="e">
        <f aca="false">'stammdaten - schwimmer'!#ref!</f>
        <v>#VALUE!</v>
      </c>
      <c r="K6" s="0" t="n">
        <f aca="false">'Stammdaten - Schwimmer'!A8</f>
        <v>6</v>
      </c>
      <c r="L6" s="0" t="str">
        <f aca="false">'Stammdaten - Schwimmer'!B8</f>
        <v>Künsemüller</v>
      </c>
      <c r="M6" s="0" t="str">
        <f aca="false">'Stammdaten - Schwimmer'!C8</f>
        <v>Viktoria</v>
      </c>
      <c r="N6" s="23" t="n">
        <f aca="false">'Stammdaten - Schwimmer'!D8</f>
        <v>40021</v>
      </c>
      <c r="O6" s="0" t="n">
        <f aca="false">'Stammdaten - Schwimmer'!E8</f>
        <v>503</v>
      </c>
      <c r="P6" s="0" t="n">
        <f aca="false">'Stammdaten - Schwimmer'!F8</f>
        <v>70</v>
      </c>
      <c r="Q6" s="0" t="n">
        <v>50</v>
      </c>
      <c r="R6" s="0" t="n">
        <f aca="false">P6*Q6</f>
        <v>3500</v>
      </c>
    </row>
    <row r="7" customFormat="false" ht="15" hidden="false" customHeight="false" outlineLevel="0" collapsed="false">
      <c r="A7" s="0" t="n">
        <f aca="false">'Stammdaten - Schwimmer'!A9</f>
        <v>7</v>
      </c>
      <c r="B7" s="0" t="str">
        <f aca="false">'Stammdaten - Schwimmer'!B9</f>
        <v>Gessler </v>
      </c>
      <c r="C7" s="0" t="str">
        <f aca="false">'Stammdaten - Schwimmer'!C9</f>
        <v>Anna</v>
      </c>
      <c r="D7" s="23" t="n">
        <f aca="false">'Stammdaten - Schwimmer'!D9</f>
        <v>43707</v>
      </c>
      <c r="E7" s="0" t="n">
        <f aca="false">'Stammdaten - Schwimmer'!E9</f>
        <v>502</v>
      </c>
      <c r="F7" s="0" t="n">
        <f aca="false">'Stammdaten - Schwimmer'!F9</f>
        <v>7</v>
      </c>
      <c r="K7" s="0" t="n">
        <f aca="false">'Stammdaten - Schwimmer'!A9</f>
        <v>7</v>
      </c>
      <c r="L7" s="0" t="str">
        <f aca="false">'Stammdaten - Schwimmer'!B9</f>
        <v>Gessler </v>
      </c>
      <c r="M7" s="0" t="str">
        <f aca="false">'Stammdaten - Schwimmer'!C9</f>
        <v>Anna</v>
      </c>
      <c r="N7" s="23" t="n">
        <f aca="false">'Stammdaten - Schwimmer'!D9</f>
        <v>43707</v>
      </c>
      <c r="O7" s="0" t="n">
        <f aca="false">'Stammdaten - Schwimmer'!E9</f>
        <v>502</v>
      </c>
      <c r="P7" s="0" t="n">
        <f aca="false">'Stammdaten - Schwimmer'!F9</f>
        <v>7</v>
      </c>
      <c r="Q7" s="0" t="n">
        <v>50</v>
      </c>
      <c r="R7" s="0" t="n">
        <f aca="false">P7*Q7</f>
        <v>350</v>
      </c>
    </row>
    <row r="8" customFormat="false" ht="15" hidden="false" customHeight="false" outlineLevel="0" collapsed="false">
      <c r="A8" s="0" t="n">
        <f aca="false">'Stammdaten - Schwimmer'!A32</f>
        <v>30</v>
      </c>
      <c r="B8" s="0" t="str">
        <f aca="false">'Stammdaten - Schwimmer'!B32</f>
        <v>Kombacher</v>
      </c>
      <c r="C8" s="0" t="str">
        <f aca="false">'Stammdaten - Schwimmer'!C32</f>
        <v>Mia</v>
      </c>
      <c r="D8" s="23" t="n">
        <f aca="false">'Stammdaten - Schwimmer'!D32</f>
        <v>43635</v>
      </c>
      <c r="E8" s="0" t="n">
        <f aca="false">'Stammdaten - Schwimmer'!E32</f>
        <v>502</v>
      </c>
      <c r="F8" s="0" t="n">
        <f aca="false">'Stammdaten - Schwimmer'!F32</f>
        <v>0</v>
      </c>
      <c r="K8" s="0" t="n">
        <f aca="false">'Stammdaten - Schwimmer'!A10</f>
        <v>8</v>
      </c>
      <c r="L8" s="0" t="str">
        <f aca="false">'Stammdaten - Schwimmer'!B10</f>
        <v>Gessler </v>
      </c>
      <c r="M8" s="0" t="str">
        <f aca="false">'Stammdaten - Schwimmer'!C10</f>
        <v>Birgit</v>
      </c>
      <c r="N8" s="23" t="n">
        <f aca="false">'Stammdaten - Schwimmer'!D10</f>
        <v>29380</v>
      </c>
      <c r="O8" s="0" t="n">
        <f aca="false">'Stammdaten - Schwimmer'!E10</f>
        <v>502</v>
      </c>
      <c r="P8" s="0" t="n">
        <f aca="false">'Stammdaten - Schwimmer'!F10</f>
        <v>42</v>
      </c>
      <c r="Q8" s="0" t="n">
        <v>50</v>
      </c>
      <c r="R8" s="0" t="n">
        <f aca="false">P8*Q8</f>
        <v>2100</v>
      </c>
    </row>
    <row r="9" customFormat="false" ht="15" hidden="false" customHeight="false" outlineLevel="0" collapsed="false">
      <c r="A9" s="0" t="n">
        <f aca="false">'Stammdaten - Schwimmer'!A18</f>
        <v>16</v>
      </c>
      <c r="B9" s="0" t="str">
        <f aca="false">'Stammdaten - Schwimmer'!B18</f>
        <v>Strobel</v>
      </c>
      <c r="C9" s="0" t="str">
        <f aca="false">'Stammdaten - Schwimmer'!C18</f>
        <v>Liana</v>
      </c>
      <c r="D9" s="23" t="n">
        <f aca="false">'Stammdaten - Schwimmer'!D18</f>
        <v>42732</v>
      </c>
      <c r="E9" s="0" t="n">
        <f aca="false">'Stammdaten - Schwimmer'!E18</f>
        <v>503</v>
      </c>
      <c r="F9" s="0" t="n">
        <f aca="false">'Stammdaten - Schwimmer'!F18</f>
        <v>68</v>
      </c>
      <c r="K9" s="0" t="n">
        <f aca="false">'Stammdaten - Schwimmer'!A11</f>
        <v>9</v>
      </c>
      <c r="L9" s="0" t="str">
        <f aca="false">'Stammdaten - Schwimmer'!B4</f>
        <v>Grambow</v>
      </c>
      <c r="M9" s="0" t="str">
        <f aca="false">'Stammdaten - Schwimmer'!C4</f>
        <v>Kerstin</v>
      </c>
      <c r="N9" s="23" t="n">
        <f aca="false">'Stammdaten - Schwimmer'!D4</f>
        <v>35065</v>
      </c>
      <c r="O9" s="0" t="str">
        <f aca="false">'Stammdaten - Schwimmer'!E4</f>
        <v>503, 504</v>
      </c>
      <c r="P9" s="0" t="n">
        <f aca="false">'Stammdaten - Schwimmer'!F4</f>
        <v>58</v>
      </c>
      <c r="Q9" s="0" t="n">
        <v>50</v>
      </c>
      <c r="R9" s="0" t="n">
        <f aca="false">P9*Q9</f>
        <v>2900</v>
      </c>
    </row>
    <row r="10" customFormat="false" ht="15" hidden="false" customHeight="false" outlineLevel="0" collapsed="false">
      <c r="A10" s="0" t="n">
        <f aca="false">'Stammdaten - Schwimmer'!A53</f>
        <v>51</v>
      </c>
      <c r="B10" s="0" t="str">
        <f aca="false">'Stammdaten - Schwimmer'!B53</f>
        <v>Warga</v>
      </c>
      <c r="C10" s="0" t="str">
        <f aca="false">'Stammdaten - Schwimmer'!C53</f>
        <v>Eva</v>
      </c>
      <c r="D10" s="23" t="n">
        <f aca="false">'Stammdaten - Schwimmer'!D53</f>
        <v>42629</v>
      </c>
      <c r="E10" s="0" t="n">
        <f aca="false">'Stammdaten - Schwimmer'!E53</f>
        <v>507</v>
      </c>
      <c r="F10" s="0" t="n">
        <f aca="false">'Stammdaten - Schwimmer'!F53</f>
        <v>108</v>
      </c>
      <c r="K10" s="0" t="n">
        <f aca="false">'Stammdaten - Schwimmer'!A12</f>
        <v>10</v>
      </c>
      <c r="L10" s="0" t="str">
        <f aca="false">'Stammdaten - Schwimmer'!B12</f>
        <v>Michels</v>
      </c>
      <c r="M10" s="0" t="str">
        <f aca="false">'Stammdaten - Schwimmer'!C12</f>
        <v>Laurens</v>
      </c>
      <c r="N10" s="23" t="n">
        <f aca="false">'Stammdaten - Schwimmer'!D12</f>
        <v>37401</v>
      </c>
      <c r="O10" s="0" t="n">
        <f aca="false">'Stammdaten - Schwimmer'!E12</f>
        <v>502</v>
      </c>
      <c r="P10" s="0" t="n">
        <f aca="false">'Stammdaten - Schwimmer'!F12</f>
        <v>70</v>
      </c>
      <c r="Q10" s="0" t="n">
        <v>50</v>
      </c>
      <c r="R10" s="0" t="n">
        <f aca="false">P10*Q10</f>
        <v>3500</v>
      </c>
    </row>
    <row r="11" customFormat="false" ht="15" hidden="false" customHeight="false" outlineLevel="0" collapsed="false">
      <c r="A11" s="0" t="n">
        <f aca="false">'Stammdaten - Schwimmer'!A62</f>
        <v>60</v>
      </c>
      <c r="B11" s="0" t="str">
        <f aca="false">'Stammdaten - Schwimmer'!B62</f>
        <v>Göpel</v>
      </c>
      <c r="C11" s="0" t="str">
        <f aca="false">'Stammdaten - Schwimmer'!C62</f>
        <v>Norah</v>
      </c>
      <c r="D11" s="23" t="n">
        <f aca="false">'Stammdaten - Schwimmer'!D62</f>
        <v>42602</v>
      </c>
      <c r="E11" s="0" t="n">
        <f aca="false">'Stammdaten - Schwimmer'!E62</f>
        <v>502</v>
      </c>
      <c r="F11" s="0" t="n">
        <f aca="false">'Stammdaten - Schwimmer'!F62</f>
        <v>74</v>
      </c>
      <c r="K11" s="0" t="n">
        <f aca="false">'Stammdaten - Schwimmer'!A13</f>
        <v>11</v>
      </c>
      <c r="L11" s="0" t="str">
        <f aca="false">'Stammdaten - Schwimmer'!B13</f>
        <v>Aucher</v>
      </c>
      <c r="M11" s="0" t="str">
        <f aca="false">'Stammdaten - Schwimmer'!C13</f>
        <v>Neie</v>
      </c>
      <c r="N11" s="23" t="n">
        <f aca="false">'Stammdaten - Schwimmer'!D13</f>
        <v>40173</v>
      </c>
      <c r="O11" s="0" t="n">
        <f aca="false">'Stammdaten - Schwimmer'!E13</f>
        <v>502</v>
      </c>
      <c r="P11" s="0" t="n">
        <f aca="false">'Stammdaten - Schwimmer'!F13</f>
        <v>46</v>
      </c>
      <c r="Q11" s="0" t="n">
        <v>50</v>
      </c>
      <c r="R11" s="0" t="n">
        <f aca="false">P11*Q11</f>
        <v>2300</v>
      </c>
    </row>
    <row r="12" customFormat="false" ht="15" hidden="false" customHeight="false" outlineLevel="0" collapsed="false">
      <c r="A12" s="0" t="n">
        <f aca="false">'Stammdaten - Schwimmer'!A7</f>
        <v>5</v>
      </c>
      <c r="B12" s="0" t="str">
        <f aca="false">'Stammdaten - Schwimmer'!B7</f>
        <v>Rink</v>
      </c>
      <c r="C12" s="0" t="str">
        <f aca="false">'Stammdaten - Schwimmer'!C7</f>
        <v>Wiebke</v>
      </c>
      <c r="D12" s="23" t="n">
        <f aca="false">'Stammdaten - Schwimmer'!D7</f>
        <v>42566</v>
      </c>
      <c r="E12" s="0" t="n">
        <f aca="false">'Stammdaten - Schwimmer'!E7</f>
        <v>503.505</v>
      </c>
      <c r="F12" s="0" t="n">
        <f aca="false">'Stammdaten - Schwimmer'!F7</f>
        <v>74</v>
      </c>
      <c r="K12" s="0" t="n">
        <f aca="false">'Stammdaten - Schwimmer'!A14</f>
        <v>12</v>
      </c>
      <c r="L12" s="0" t="str">
        <f aca="false">'Stammdaten - Schwimmer'!B14</f>
        <v>Glass</v>
      </c>
      <c r="M12" s="0" t="str">
        <f aca="false">'Stammdaten - Schwimmer'!C14</f>
        <v>Helmut</v>
      </c>
      <c r="N12" s="23" t="n">
        <f aca="false">'Stammdaten - Schwimmer'!D14</f>
        <v>24492</v>
      </c>
      <c r="O12" s="0" t="n">
        <f aca="false">'Stammdaten - Schwimmer'!E14</f>
        <v>505</v>
      </c>
      <c r="P12" s="0" t="n">
        <f aca="false">'Stammdaten - Schwimmer'!F14</f>
        <v>50</v>
      </c>
      <c r="Q12" s="0" t="n">
        <v>50</v>
      </c>
      <c r="R12" s="0" t="n">
        <f aca="false">P12*Q12</f>
        <v>2500</v>
      </c>
    </row>
    <row r="13" customFormat="false" ht="15" hidden="false" customHeight="false" outlineLevel="0" collapsed="false">
      <c r="A13" s="0" t="n">
        <f aca="false">'Stammdaten - Schwimmer'!A36</f>
        <v>34</v>
      </c>
      <c r="B13" s="0" t="str">
        <f aca="false">'Stammdaten - Schwimmer'!B36</f>
        <v>Kombacher</v>
      </c>
      <c r="C13" s="0" t="str">
        <f aca="false">'Stammdaten - Schwimmer'!C36</f>
        <v>Sara</v>
      </c>
      <c r="D13" s="23" t="n">
        <f aca="false">'Stammdaten - Schwimmer'!D36</f>
        <v>42528</v>
      </c>
      <c r="E13" s="0" t="n">
        <f aca="false">'Stammdaten - Schwimmer'!E36</f>
        <v>502</v>
      </c>
      <c r="F13" s="0" t="n">
        <f aca="false">'Stammdaten - Schwimmer'!F36</f>
        <v>74</v>
      </c>
      <c r="K13" s="0" t="n">
        <f aca="false">'Stammdaten - Schwimmer'!A15</f>
        <v>13</v>
      </c>
      <c r="L13" s="0" t="str">
        <f aca="false">'Stammdaten - Schwimmer'!B15</f>
        <v>Bachmann</v>
      </c>
      <c r="M13" s="0" t="str">
        <f aca="false">'Stammdaten - Schwimmer'!C15</f>
        <v>Anna</v>
      </c>
      <c r="N13" s="23" t="n">
        <f aca="false">'Stammdaten - Schwimmer'!D15</f>
        <v>36207</v>
      </c>
      <c r="O13" s="0" t="n">
        <f aca="false">'Stammdaten - Schwimmer'!E15</f>
        <v>503</v>
      </c>
      <c r="P13" s="0" t="n">
        <f aca="false">'Stammdaten - Schwimmer'!F15</f>
        <v>64</v>
      </c>
      <c r="Q13" s="0" t="n">
        <v>50</v>
      </c>
      <c r="R13" s="0" t="n">
        <f aca="false">P13*Q13</f>
        <v>3200</v>
      </c>
    </row>
    <row r="14" customFormat="false" ht="15" hidden="false" customHeight="false" outlineLevel="0" collapsed="false">
      <c r="A14" s="0" t="n">
        <f aca="false">'Stammdaten - Schwimmer'!A59</f>
        <v>57</v>
      </c>
      <c r="B14" s="0" t="str">
        <f aca="false">'Stammdaten - Schwimmer'!B59</f>
        <v>Hartmann</v>
      </c>
      <c r="C14" s="0" t="str">
        <f aca="false">'Stammdaten - Schwimmer'!C59</f>
        <v>Hanna</v>
      </c>
      <c r="D14" s="23" t="n">
        <f aca="false">'Stammdaten - Schwimmer'!D59</f>
        <v>42300</v>
      </c>
      <c r="E14" s="0" t="n">
        <f aca="false">'Stammdaten - Schwimmer'!E59</f>
        <v>0</v>
      </c>
      <c r="F14" s="0" t="n">
        <f aca="false">'Stammdaten - Schwimmer'!F59</f>
        <v>26</v>
      </c>
      <c r="K14" s="0" t="n">
        <f aca="false">'Stammdaten - Schwimmer'!A16</f>
        <v>14</v>
      </c>
      <c r="L14" s="0" t="str">
        <f aca="false">'Stammdaten - Schwimmer'!B16</f>
        <v>König</v>
      </c>
      <c r="M14" s="0" t="str">
        <f aca="false">'Stammdaten - Schwimmer'!C16</f>
        <v>Viola</v>
      </c>
      <c r="N14" s="23" t="n">
        <f aca="false">'Stammdaten - Schwimmer'!D16</f>
        <v>36605</v>
      </c>
      <c r="O14" s="0" t="n">
        <f aca="false">'Stammdaten - Schwimmer'!E16</f>
        <v>503</v>
      </c>
      <c r="P14" s="0" t="n">
        <f aca="false">'Stammdaten - Schwimmer'!F16</f>
        <v>66</v>
      </c>
      <c r="Q14" s="0" t="n">
        <v>25</v>
      </c>
      <c r="R14" s="0" t="n">
        <f aca="false">P14*Q14</f>
        <v>1650</v>
      </c>
    </row>
    <row r="15" customFormat="false" ht="15" hidden="false" customHeight="false" outlineLevel="0" collapsed="false">
      <c r="A15" s="0" t="n">
        <f aca="false">'Stammdaten - Schwimmer'!A61</f>
        <v>59</v>
      </c>
      <c r="B15" s="0" t="str">
        <f aca="false">'Stammdaten - Schwimmer'!B61</f>
        <v>Schmid</v>
      </c>
      <c r="C15" s="0" t="str">
        <f aca="false">'Stammdaten - Schwimmer'!C61</f>
        <v>Jakob</v>
      </c>
      <c r="D15" s="23" t="n">
        <f aca="false">'Stammdaten - Schwimmer'!D61</f>
        <v>42251</v>
      </c>
      <c r="E15" s="0" t="n">
        <f aca="false">'Stammdaten - Schwimmer'!E61</f>
        <v>502</v>
      </c>
      <c r="F15" s="0" t="n">
        <f aca="false">'Stammdaten - Schwimmer'!F61</f>
        <v>94</v>
      </c>
      <c r="K15" s="0" t="n">
        <f aca="false">'Stammdaten - Schwimmer'!A17</f>
        <v>15</v>
      </c>
      <c r="L15" s="0" t="str">
        <f aca="false">'Stammdaten - Schwimmer'!B17</f>
        <v>Kesten</v>
      </c>
      <c r="M15" s="0" t="str">
        <f aca="false">'Stammdaten - Schwimmer'!C17</f>
        <v>Annabelle</v>
      </c>
      <c r="N15" s="23" t="n">
        <f aca="false">'Stammdaten - Schwimmer'!D17</f>
        <v>42053</v>
      </c>
      <c r="O15" s="0" t="n">
        <f aca="false">'Stammdaten - Schwimmer'!E17</f>
        <v>503</v>
      </c>
      <c r="P15" s="0" t="n">
        <f aca="false">'Stammdaten - Schwimmer'!F17</f>
        <v>82</v>
      </c>
      <c r="Q15" s="0" t="n">
        <v>25</v>
      </c>
      <c r="R15" s="0" t="n">
        <f aca="false">P15*Q15</f>
        <v>2050</v>
      </c>
    </row>
    <row r="16" customFormat="false" ht="15" hidden="false" customHeight="false" outlineLevel="0" collapsed="false">
      <c r="A16" s="0" t="n">
        <f aca="false">'Stammdaten - Schwimmer'!A5</f>
        <v>3</v>
      </c>
      <c r="B16" s="0" t="str">
        <f aca="false">'Stammdaten - Schwimmer'!B5</f>
        <v>Gessler </v>
      </c>
      <c r="C16" s="0" t="str">
        <f aca="false">'Stammdaten - Schwimmer'!C5</f>
        <v>Tom</v>
      </c>
      <c r="D16" s="23" t="n">
        <f aca="false">'Stammdaten - Schwimmer'!D5</f>
        <v>42230</v>
      </c>
      <c r="E16" s="0" t="n">
        <f aca="false">'Stammdaten - Schwimmer'!E5</f>
        <v>502</v>
      </c>
      <c r="F16" s="0" t="n">
        <f aca="false">'Stammdaten - Schwimmer'!F5</f>
        <v>24</v>
      </c>
      <c r="K16" s="0" t="n">
        <f aca="false">'Stammdaten - Schwimmer'!A18</f>
        <v>16</v>
      </c>
      <c r="L16" s="0" t="str">
        <f aca="false">'Stammdaten - Schwimmer'!B18</f>
        <v>Strobel</v>
      </c>
      <c r="M16" s="0" t="str">
        <f aca="false">'Stammdaten - Schwimmer'!C18</f>
        <v>Liana</v>
      </c>
      <c r="N16" s="23" t="n">
        <f aca="false">'Stammdaten - Schwimmer'!D18</f>
        <v>42732</v>
      </c>
      <c r="O16" s="0" t="n">
        <f aca="false">'Stammdaten - Schwimmer'!E18</f>
        <v>503</v>
      </c>
      <c r="P16" s="0" t="n">
        <f aca="false">'Stammdaten - Schwimmer'!F18</f>
        <v>68</v>
      </c>
      <c r="Q16" s="0" t="n">
        <v>50</v>
      </c>
      <c r="R16" s="0" t="n">
        <f aca="false">P16*Q16</f>
        <v>3400</v>
      </c>
    </row>
    <row r="17" customFormat="false" ht="15" hidden="false" customHeight="false" outlineLevel="0" collapsed="false">
      <c r="A17" s="0" t="n">
        <f aca="false">'Stammdaten - Schwimmer'!A30</f>
        <v>28</v>
      </c>
      <c r="B17" s="0" t="str">
        <f aca="false">'Stammdaten - Schwimmer'!B30</f>
        <v>Zimmermann</v>
      </c>
      <c r="C17" s="0" t="str">
        <f aca="false">'Stammdaten - Schwimmer'!C30</f>
        <v>Alina</v>
      </c>
      <c r="D17" s="23" t="n">
        <f aca="false">'Stammdaten - Schwimmer'!D30</f>
        <v>42146</v>
      </c>
      <c r="E17" s="0" t="n">
        <f aca="false">'Stammdaten - Schwimmer'!E30</f>
        <v>0</v>
      </c>
      <c r="F17" s="0" t="n">
        <f aca="false">'Stammdaten - Schwimmer'!F30</f>
        <v>76</v>
      </c>
      <c r="K17" s="0" t="n">
        <f aca="false">'Stammdaten - Schwimmer'!A19</f>
        <v>17</v>
      </c>
      <c r="L17" s="0" t="str">
        <f aca="false">'Stammdaten - Schwimmer'!B19</f>
        <v>Baur</v>
      </c>
      <c r="M17" s="0" t="str">
        <f aca="false">'Stammdaten - Schwimmer'!C19</f>
        <v>Seweryn</v>
      </c>
      <c r="N17" s="23" t="n">
        <f aca="false">'Stammdaten - Schwimmer'!D19</f>
        <v>33169</v>
      </c>
      <c r="O17" s="0" t="n">
        <f aca="false">'Stammdaten - Schwimmer'!E19</f>
        <v>503.504</v>
      </c>
      <c r="P17" s="0" t="n">
        <f aca="false">'Stammdaten - Schwimmer'!F19</f>
        <v>22</v>
      </c>
      <c r="Q17" s="0" t="n">
        <v>25</v>
      </c>
      <c r="R17" s="0" t="n">
        <f aca="false">P17*Q17</f>
        <v>550</v>
      </c>
    </row>
    <row r="18" customFormat="false" ht="15" hidden="false" customHeight="false" outlineLevel="0" collapsed="false">
      <c r="A18" s="0" t="n">
        <f aca="false">'Stammdaten - Schwimmer'!A64</f>
        <v>62</v>
      </c>
      <c r="B18" s="0" t="str">
        <f aca="false">'Stammdaten - Schwimmer'!B64</f>
        <v>Zhou</v>
      </c>
      <c r="C18" s="0" t="str">
        <f aca="false">'Stammdaten - Schwimmer'!C64</f>
        <v>Robin</v>
      </c>
      <c r="D18" s="23" t="n">
        <f aca="false">'Stammdaten - Schwimmer'!D64</f>
        <v>42116</v>
      </c>
      <c r="E18" s="0" t="n">
        <f aca="false">'Stammdaten - Schwimmer'!E64</f>
        <v>503</v>
      </c>
      <c r="F18" s="0" t="n">
        <f aca="false">'Stammdaten - Schwimmer'!F64</f>
        <v>80</v>
      </c>
      <c r="K18" s="0" t="n">
        <f aca="false">'Stammdaten - Schwimmer'!A20</f>
        <v>18</v>
      </c>
      <c r="L18" s="0" t="str">
        <f aca="false">'Stammdaten - Schwimmer'!B20</f>
        <v>Baur</v>
      </c>
      <c r="M18" s="0" t="str">
        <f aca="false">'Stammdaten - Schwimmer'!C20</f>
        <v>Amelie</v>
      </c>
      <c r="N18" s="23" t="n">
        <f aca="false">'Stammdaten - Schwimmer'!D20</f>
        <v>34191</v>
      </c>
      <c r="O18" s="0" t="n">
        <f aca="false">'Stammdaten - Schwimmer'!E20</f>
        <v>503.504</v>
      </c>
      <c r="P18" s="0" t="n">
        <f aca="false">'Stammdaten - Schwimmer'!F20</f>
        <v>30</v>
      </c>
      <c r="Q18" s="0" t="n">
        <v>25</v>
      </c>
      <c r="R18" s="0" t="n">
        <f aca="false">P18*Q18</f>
        <v>750</v>
      </c>
    </row>
    <row r="19" customFormat="false" ht="15" hidden="false" customHeight="false" outlineLevel="0" collapsed="false">
      <c r="A19" s="0" t="n">
        <f aca="false">'Stammdaten - Schwimmer'!A17</f>
        <v>15</v>
      </c>
      <c r="B19" s="0" t="str">
        <f aca="false">'Stammdaten - Schwimmer'!B17</f>
        <v>Kesten</v>
      </c>
      <c r="C19" s="0" t="str">
        <f aca="false">'Stammdaten - Schwimmer'!C17</f>
        <v>Annabelle</v>
      </c>
      <c r="D19" s="23" t="n">
        <f aca="false">'Stammdaten - Schwimmer'!D17</f>
        <v>42053</v>
      </c>
      <c r="E19" s="0" t="n">
        <f aca="false">'Stammdaten - Schwimmer'!E17</f>
        <v>503</v>
      </c>
      <c r="F19" s="0" t="n">
        <f aca="false">'Stammdaten - Schwimmer'!F17</f>
        <v>82</v>
      </c>
      <c r="K19" s="0" t="n">
        <f aca="false">'Stammdaten - Schwimmer'!A21</f>
        <v>19</v>
      </c>
      <c r="L19" s="0" t="str">
        <f aca="false">'Stammdaten - Schwimmer'!B21</f>
        <v>Maier</v>
      </c>
      <c r="M19" s="0" t="str">
        <f aca="false">'Stammdaten - Schwimmer'!C21</f>
        <v>Johannes</v>
      </c>
      <c r="N19" s="23" t="n">
        <f aca="false">'Stammdaten - Schwimmer'!D21</f>
        <v>41125</v>
      </c>
      <c r="O19" s="0" t="n">
        <f aca="false">'Stammdaten - Schwimmer'!E21</f>
        <v>0</v>
      </c>
      <c r="P19" s="0" t="n">
        <f aca="false">'Stammdaten - Schwimmer'!F21</f>
        <v>90</v>
      </c>
      <c r="Q19" s="0" t="n">
        <v>25</v>
      </c>
      <c r="R19" s="0" t="n">
        <f aca="false">P19*Q19</f>
        <v>2250</v>
      </c>
    </row>
    <row r="20" customFormat="false" ht="15" hidden="false" customHeight="false" outlineLevel="0" collapsed="false">
      <c r="A20" s="0" t="n">
        <f aca="false">'Stammdaten - Schwimmer'!A50</f>
        <v>48</v>
      </c>
      <c r="B20" s="0" t="str">
        <f aca="false">'Stammdaten - Schwimmer'!B50</f>
        <v>Holste</v>
      </c>
      <c r="C20" s="0" t="str">
        <f aca="false">'Stammdaten - Schwimmer'!C50</f>
        <v>Oscar</v>
      </c>
      <c r="D20" s="23" t="n">
        <f aca="false">'Stammdaten - Schwimmer'!D50</f>
        <v>42027</v>
      </c>
      <c r="E20" s="0" t="n">
        <f aca="false">'Stammdaten - Schwimmer'!E50</f>
        <v>503</v>
      </c>
      <c r="F20" s="0" t="n">
        <f aca="false">'Stammdaten - Schwimmer'!F50</f>
        <v>122</v>
      </c>
      <c r="K20" s="0" t="n">
        <f aca="false">'Stammdaten - Schwimmer'!A22</f>
        <v>20</v>
      </c>
      <c r="L20" s="0" t="str">
        <f aca="false">'Stammdaten - Schwimmer'!B22</f>
        <v>Winkler</v>
      </c>
      <c r="M20" s="0" t="str">
        <f aca="false">'Stammdaten - Schwimmer'!C22</f>
        <v>Anette</v>
      </c>
      <c r="N20" s="23" t="n">
        <f aca="false">'Stammdaten - Schwimmer'!D22</f>
        <v>22984</v>
      </c>
      <c r="O20" s="0" t="n">
        <f aca="false">'Stammdaten - Schwimmer'!E22</f>
        <v>0</v>
      </c>
      <c r="P20" s="0" t="n">
        <f aca="false">'Stammdaten - Schwimmer'!F22</f>
        <v>30</v>
      </c>
      <c r="Q20" s="0" t="n">
        <v>50</v>
      </c>
      <c r="R20" s="0" t="n">
        <f aca="false">P20*Q20</f>
        <v>1500</v>
      </c>
    </row>
    <row r="21" customFormat="false" ht="15" hidden="false" customHeight="false" outlineLevel="0" collapsed="false">
      <c r="A21" s="0" t="n">
        <f aca="false">'Stammdaten - Schwimmer'!A23</f>
        <v>21</v>
      </c>
      <c r="B21" s="0" t="str">
        <f aca="false">'Stammdaten - Schwimmer'!B23</f>
        <v>Laub</v>
      </c>
      <c r="C21" s="0" t="str">
        <f aca="false">'Stammdaten - Schwimmer'!C23</f>
        <v>Emma</v>
      </c>
      <c r="D21" s="23" t="n">
        <f aca="false">'Stammdaten - Schwimmer'!D23</f>
        <v>42017</v>
      </c>
      <c r="E21" s="0" t="n">
        <f aca="false">'Stammdaten - Schwimmer'!E23</f>
        <v>0</v>
      </c>
      <c r="F21" s="0" t="n">
        <f aca="false">'Stammdaten - Schwimmer'!F23</f>
        <v>22</v>
      </c>
      <c r="K21" s="0" t="n">
        <f aca="false">'Stammdaten - Schwimmer'!A23</f>
        <v>21</v>
      </c>
      <c r="L21" s="0" t="str">
        <f aca="false">'Stammdaten - Schwimmer'!B23</f>
        <v>Laub</v>
      </c>
      <c r="M21" s="0" t="str">
        <f aca="false">'Stammdaten - Schwimmer'!C23</f>
        <v>Emma</v>
      </c>
      <c r="N21" s="23" t="n">
        <f aca="false">'Stammdaten - Schwimmer'!D23</f>
        <v>42017</v>
      </c>
      <c r="O21" s="0" t="n">
        <f aca="false">'Stammdaten - Schwimmer'!E23</f>
        <v>0</v>
      </c>
      <c r="P21" s="0" t="n">
        <f aca="false">'Stammdaten - Schwimmer'!F23</f>
        <v>22</v>
      </c>
      <c r="Q21" s="0" t="n">
        <v>50</v>
      </c>
      <c r="R21" s="0" t="n">
        <f aca="false">P21*Q21</f>
        <v>1100</v>
      </c>
    </row>
    <row r="22" customFormat="false" ht="15" hidden="false" customHeight="false" outlineLevel="0" collapsed="false">
      <c r="A22" s="0" t="n">
        <f aca="false">'Stammdaten - Schwimmer'!A65</f>
        <v>63</v>
      </c>
      <c r="B22" s="0" t="str">
        <f aca="false">'Stammdaten - Schwimmer'!B65</f>
        <v>Buuck</v>
      </c>
      <c r="C22" s="0" t="str">
        <f aca="false">'Stammdaten - Schwimmer'!C65</f>
        <v>Jan-Alexander</v>
      </c>
      <c r="D22" s="23" t="n">
        <f aca="false">'Stammdaten - Schwimmer'!D65</f>
        <v>41849</v>
      </c>
      <c r="E22" s="0" t="n">
        <f aca="false">'Stammdaten - Schwimmer'!E65</f>
        <v>502</v>
      </c>
      <c r="F22" s="0" t="n">
        <f aca="false">'Stammdaten - Schwimmer'!F65</f>
        <v>40</v>
      </c>
      <c r="K22" s="0" t="n">
        <f aca="false">'Stammdaten - Schwimmer'!A24</f>
        <v>22</v>
      </c>
      <c r="L22" s="0" t="str">
        <f aca="false">'Stammdaten - Schwimmer'!B24</f>
        <v>Laub</v>
      </c>
      <c r="M22" s="0" t="str">
        <f aca="false">'Stammdaten - Schwimmer'!C24</f>
        <v>Jasper</v>
      </c>
      <c r="N22" s="23" t="n">
        <f aca="false">'Stammdaten - Schwimmer'!D24</f>
        <v>41553</v>
      </c>
      <c r="O22" s="0" t="n">
        <f aca="false">'Stammdaten - Schwimmer'!E24</f>
        <v>0</v>
      </c>
      <c r="P22" s="0" t="n">
        <f aca="false">'Stammdaten - Schwimmer'!F24</f>
        <v>24</v>
      </c>
      <c r="Q22" s="0" t="n">
        <v>50</v>
      </c>
      <c r="R22" s="0" t="n">
        <f aca="false">P22*Q22</f>
        <v>1200</v>
      </c>
    </row>
    <row r="23" customFormat="false" ht="15" hidden="false" customHeight="false" outlineLevel="0" collapsed="false">
      <c r="A23" s="0" t="n">
        <f aca="false">'Stammdaten - Schwimmer'!A34</f>
        <v>32</v>
      </c>
      <c r="B23" s="0" t="str">
        <f aca="false">'Stammdaten - Schwimmer'!B34</f>
        <v>Kombacher</v>
      </c>
      <c r="C23" s="0" t="str">
        <f aca="false">'Stammdaten - Schwimmer'!C34</f>
        <v>Lea</v>
      </c>
      <c r="D23" s="23" t="n">
        <f aca="false">'Stammdaten - Schwimmer'!D34</f>
        <v>41712</v>
      </c>
      <c r="E23" s="0" t="n">
        <f aca="false">'Stammdaten - Schwimmer'!E34</f>
        <v>502</v>
      </c>
      <c r="F23" s="0" t="n">
        <f aca="false">'Stammdaten - Schwimmer'!F34</f>
        <v>94</v>
      </c>
      <c r="K23" s="0" t="n">
        <f aca="false">'Stammdaten - Schwimmer'!A25</f>
        <v>23</v>
      </c>
      <c r="L23" s="0" t="str">
        <f aca="false">'Stammdaten - Schwimmer'!B25</f>
        <v>Engel</v>
      </c>
      <c r="M23" s="0" t="str">
        <f aca="false">'Stammdaten - Schwimmer'!C25</f>
        <v>Katrin</v>
      </c>
      <c r="N23" s="23" t="n">
        <f aca="false">'Stammdaten - Schwimmer'!D25</f>
        <v>25956</v>
      </c>
      <c r="O23" s="0" t="n">
        <f aca="false">'Stammdaten - Schwimmer'!E25</f>
        <v>503.504</v>
      </c>
      <c r="P23" s="0" t="n">
        <f aca="false">'Stammdaten - Schwimmer'!F25</f>
        <v>58</v>
      </c>
      <c r="Q23" s="0" t="n">
        <v>25</v>
      </c>
      <c r="R23" s="0" t="n">
        <f aca="false">P23*Q23</f>
        <v>1450</v>
      </c>
    </row>
    <row r="24" customFormat="false" ht="15" hidden="false" customHeight="false" outlineLevel="0" collapsed="false">
      <c r="A24" s="0" t="n">
        <f aca="false">'Stammdaten - Schwimmer'!A24</f>
        <v>22</v>
      </c>
      <c r="B24" s="0" t="str">
        <f aca="false">'Stammdaten - Schwimmer'!B24</f>
        <v>Laub</v>
      </c>
      <c r="C24" s="0" t="str">
        <f aca="false">'Stammdaten - Schwimmer'!C24</f>
        <v>Jasper</v>
      </c>
      <c r="D24" s="23" t="n">
        <f aca="false">'Stammdaten - Schwimmer'!D24</f>
        <v>41553</v>
      </c>
      <c r="E24" s="0" t="n">
        <f aca="false">'Stammdaten - Schwimmer'!E24</f>
        <v>0</v>
      </c>
      <c r="F24" s="0" t="n">
        <f aca="false">'Stammdaten - Schwimmer'!F24</f>
        <v>24</v>
      </c>
      <c r="K24" s="0" t="n">
        <f aca="false">'Stammdaten - Schwimmer'!A26</f>
        <v>24</v>
      </c>
      <c r="L24" s="0" t="str">
        <f aca="false">'Stammdaten - Schwimmer'!B26</f>
        <v>Engel</v>
      </c>
      <c r="M24" s="0" t="str">
        <f aca="false">'Stammdaten - Schwimmer'!C26</f>
        <v>Ulrike</v>
      </c>
      <c r="N24" s="23" t="n">
        <f aca="false">'Stammdaten - Schwimmer'!D26</f>
        <v>23938</v>
      </c>
      <c r="O24" s="0" t="n">
        <f aca="false">'Stammdaten - Schwimmer'!E26</f>
        <v>503.504</v>
      </c>
      <c r="P24" s="0" t="n">
        <f aca="false">'Stammdaten - Schwimmer'!F26</f>
        <v>60</v>
      </c>
      <c r="Q24" s="0" t="n">
        <v>25</v>
      </c>
      <c r="R24" s="0" t="n">
        <f aca="false">P24*Q24</f>
        <v>1500</v>
      </c>
    </row>
    <row r="25" customFormat="false" ht="15" hidden="false" customHeight="false" outlineLevel="0" collapsed="false">
      <c r="A25" s="0" t="n">
        <f aca="false">'Stammdaten - Schwimmer'!A57</f>
        <v>55</v>
      </c>
      <c r="B25" s="0" t="str">
        <f aca="false">'Stammdaten - Schwimmer'!B57</f>
        <v>Veit</v>
      </c>
      <c r="C25" s="0" t="str">
        <f aca="false">'Stammdaten - Schwimmer'!C57</f>
        <v>Dorothea</v>
      </c>
      <c r="D25" s="23" t="n">
        <f aca="false">'Stammdaten - Schwimmer'!D57</f>
        <v>41475</v>
      </c>
      <c r="E25" s="0" t="n">
        <f aca="false">'Stammdaten - Schwimmer'!E57</f>
        <v>503</v>
      </c>
      <c r="F25" s="0" t="n">
        <f aca="false">'Stammdaten - Schwimmer'!F57</f>
        <v>32</v>
      </c>
      <c r="K25" s="0" t="n">
        <f aca="false">'Stammdaten - Schwimmer'!A27</f>
        <v>25</v>
      </c>
      <c r="L25" s="0" t="str">
        <f aca="false">'Stammdaten - Schwimmer'!B27</f>
        <v>Sure</v>
      </c>
      <c r="M25" s="0" t="str">
        <f aca="false">'Stammdaten - Schwimmer'!C27</f>
        <v>Doris</v>
      </c>
      <c r="N25" s="23" t="n">
        <f aca="false">'Stammdaten - Schwimmer'!D27</f>
        <v>22857</v>
      </c>
      <c r="O25" s="0" t="n">
        <f aca="false">'Stammdaten - Schwimmer'!E27</f>
        <v>502</v>
      </c>
      <c r="P25" s="0" t="n">
        <f aca="false">'Stammdaten - Schwimmer'!F27</f>
        <v>22</v>
      </c>
      <c r="Q25" s="0" t="n">
        <v>25</v>
      </c>
      <c r="R25" s="0" t="n">
        <f aca="false">P25*Q25</f>
        <v>550</v>
      </c>
    </row>
    <row r="26" customFormat="false" ht="15" hidden="false" customHeight="false" outlineLevel="0" collapsed="false">
      <c r="A26" s="0" t="n">
        <f aca="false">'Stammdaten - Schwimmer'!A51</f>
        <v>49</v>
      </c>
      <c r="B26" s="0" t="str">
        <f aca="false">'Stammdaten - Schwimmer'!B51</f>
        <v>Holste</v>
      </c>
      <c r="C26" s="0" t="str">
        <f aca="false">'Stammdaten - Schwimmer'!C51</f>
        <v>Lotte</v>
      </c>
      <c r="D26" s="23" t="n">
        <f aca="false">'Stammdaten - Schwimmer'!D51</f>
        <v>41408</v>
      </c>
      <c r="E26" s="0" t="n">
        <f aca="false">'Stammdaten - Schwimmer'!E51</f>
        <v>503</v>
      </c>
      <c r="F26" s="0" t="n">
        <f aca="false">'Stammdaten - Schwimmer'!F51</f>
        <v>120</v>
      </c>
      <c r="K26" s="0" t="n">
        <f aca="false">'Stammdaten - Schwimmer'!A28</f>
        <v>26</v>
      </c>
      <c r="L26" s="0" t="str">
        <f aca="false">'Stammdaten - Schwimmer'!B28</f>
        <v>Bauer</v>
      </c>
      <c r="M26" s="0" t="str">
        <f aca="false">'Stammdaten - Schwimmer'!C28</f>
        <v>Tim</v>
      </c>
      <c r="N26" s="23" t="n">
        <f aca="false">'Stammdaten - Schwimmer'!D28</f>
        <v>35823</v>
      </c>
      <c r="O26" s="0" t="n">
        <f aca="false">'Stammdaten - Schwimmer'!E28</f>
        <v>503</v>
      </c>
      <c r="P26" s="0" t="n">
        <f aca="false">'Stammdaten - Schwimmer'!F28</f>
        <v>50</v>
      </c>
      <c r="Q26" s="0" t="n">
        <v>25</v>
      </c>
      <c r="R26" s="0" t="n">
        <f aca="false">P26*Q26</f>
        <v>1250</v>
      </c>
    </row>
    <row r="27" customFormat="false" ht="15" hidden="false" customHeight="false" outlineLevel="0" collapsed="false">
      <c r="A27" s="0" t="n">
        <f aca="false">'Stammdaten - Schwimmer'!A60</f>
        <v>58</v>
      </c>
      <c r="B27" s="0" t="str">
        <f aca="false">'Stammdaten - Schwimmer'!B60</f>
        <v>Schmid</v>
      </c>
      <c r="C27" s="0" t="str">
        <f aca="false">'Stammdaten - Schwimmer'!C60</f>
        <v>Hannes</v>
      </c>
      <c r="D27" s="23" t="n">
        <f aca="false">'Stammdaten - Schwimmer'!D60</f>
        <v>41282</v>
      </c>
      <c r="E27" s="0" t="n">
        <f aca="false">'Stammdaten - Schwimmer'!E60</f>
        <v>502</v>
      </c>
      <c r="F27" s="0" t="n">
        <f aca="false">'Stammdaten - Schwimmer'!F60</f>
        <v>108</v>
      </c>
      <c r="K27" s="0" t="n">
        <f aca="false">'Stammdaten - Schwimmer'!A29</f>
        <v>27</v>
      </c>
      <c r="L27" s="0" t="str">
        <f aca="false">'Stammdaten - Schwimmer'!B29</f>
        <v>Engel</v>
      </c>
      <c r="M27" s="0" t="str">
        <f aca="false">'Stammdaten - Schwimmer'!C29</f>
        <v>Brigitte</v>
      </c>
      <c r="N27" s="23" t="n">
        <f aca="false">'Stammdaten - Schwimmer'!D29</f>
        <v>23066</v>
      </c>
      <c r="O27" s="0" t="n">
        <f aca="false">'Stammdaten - Schwimmer'!E29</f>
        <v>0</v>
      </c>
      <c r="P27" s="0" t="n">
        <f aca="false">'Stammdaten - Schwimmer'!F29</f>
        <v>40</v>
      </c>
      <c r="Q27" s="0" t="n">
        <v>25</v>
      </c>
      <c r="R27" s="0" t="n">
        <f aca="false">P27*Q27</f>
        <v>1000</v>
      </c>
    </row>
    <row r="28" customFormat="false" ht="15" hidden="false" customHeight="false" outlineLevel="0" collapsed="false">
      <c r="A28" s="0" t="n">
        <f aca="false">'Stammdaten - Schwimmer'!A21</f>
        <v>19</v>
      </c>
      <c r="B28" s="0" t="str">
        <f aca="false">'Stammdaten - Schwimmer'!B21</f>
        <v>Maier</v>
      </c>
      <c r="C28" s="0" t="str">
        <f aca="false">'Stammdaten - Schwimmer'!C21</f>
        <v>Johannes</v>
      </c>
      <c r="D28" s="23" t="n">
        <f aca="false">'Stammdaten - Schwimmer'!D21</f>
        <v>41125</v>
      </c>
      <c r="E28" s="0" t="n">
        <f aca="false">'Stammdaten - Schwimmer'!E21</f>
        <v>0</v>
      </c>
      <c r="F28" s="0" t="n">
        <f aca="false">'Stammdaten - Schwimmer'!F21</f>
        <v>90</v>
      </c>
      <c r="K28" s="0" t="n">
        <f aca="false">'Stammdaten - Schwimmer'!A30</f>
        <v>28</v>
      </c>
      <c r="L28" s="0" t="str">
        <f aca="false">'Stammdaten - Schwimmer'!B30</f>
        <v>Zimmermann</v>
      </c>
      <c r="M28" s="0" t="str">
        <f aca="false">'Stammdaten - Schwimmer'!C30</f>
        <v>Alina</v>
      </c>
      <c r="N28" s="23" t="n">
        <f aca="false">'Stammdaten - Schwimmer'!D30</f>
        <v>42146</v>
      </c>
      <c r="O28" s="0" t="n">
        <f aca="false">'Stammdaten - Schwimmer'!E30</f>
        <v>0</v>
      </c>
      <c r="P28" s="0" t="n">
        <f aca="false">'Stammdaten - Schwimmer'!F30</f>
        <v>76</v>
      </c>
      <c r="Q28" s="0" t="n">
        <v>25</v>
      </c>
      <c r="R28" s="0" t="n">
        <f aca="false">P28*Q28</f>
        <v>1900</v>
      </c>
    </row>
    <row r="29" customFormat="false" ht="15" hidden="false" customHeight="false" outlineLevel="0" collapsed="false">
      <c r="A29" s="0" t="n">
        <f aca="false">'Stammdaten - Schwimmer'!A58</f>
        <v>56</v>
      </c>
      <c r="B29" s="0" t="str">
        <f aca="false">'Stammdaten - Schwimmer'!B58</f>
        <v>Heineke</v>
      </c>
      <c r="C29" s="0" t="str">
        <f aca="false">'Stammdaten - Schwimmer'!C58</f>
        <v>Jana</v>
      </c>
      <c r="D29" s="23" t="n">
        <f aca="false">'Stammdaten - Schwimmer'!D58</f>
        <v>40445</v>
      </c>
      <c r="E29" s="0" t="n">
        <f aca="false">'Stammdaten - Schwimmer'!E58</f>
        <v>503</v>
      </c>
      <c r="F29" s="0" t="n">
        <f aca="false">'Stammdaten - Schwimmer'!F58</f>
        <v>40</v>
      </c>
      <c r="K29" s="0" t="n">
        <f aca="false">'Stammdaten - Schwimmer'!A31</f>
        <v>29</v>
      </c>
      <c r="L29" s="0" t="str">
        <f aca="false">'Stammdaten - Schwimmer'!B31</f>
        <v>Zimmermann</v>
      </c>
      <c r="M29" s="0" t="str">
        <f aca="false">'Stammdaten - Schwimmer'!C31</f>
        <v>Markus</v>
      </c>
      <c r="N29" s="23" t="n">
        <f aca="false">'Stammdaten - Schwimmer'!D31</f>
        <v>28193</v>
      </c>
      <c r="O29" s="0" t="n">
        <f aca="false">'Stammdaten - Schwimmer'!E31</f>
        <v>0</v>
      </c>
      <c r="P29" s="0" t="n">
        <f aca="false">'Stammdaten - Schwimmer'!F31</f>
        <v>42</v>
      </c>
      <c r="Q29" s="0" t="n">
        <v>25</v>
      </c>
      <c r="R29" s="0" t="n">
        <f aca="false">P29*Q29</f>
        <v>1050</v>
      </c>
    </row>
    <row r="30" customFormat="false" ht="15" hidden="false" customHeight="false" outlineLevel="0" collapsed="false">
      <c r="A30" s="0" t="n">
        <f aca="false">'Stammdaten - Schwimmer'!A45</f>
        <v>43</v>
      </c>
      <c r="B30" s="0" t="str">
        <f aca="false">'Stammdaten - Schwimmer'!B45</f>
        <v>Fischer</v>
      </c>
      <c r="C30" s="0" t="str">
        <f aca="false">'Stammdaten - Schwimmer'!C45</f>
        <v>Luca</v>
      </c>
      <c r="D30" s="23" t="n">
        <f aca="false">'Stammdaten - Schwimmer'!D45</f>
        <v>40369</v>
      </c>
      <c r="E30" s="0" t="n">
        <f aca="false">'Stammdaten - Schwimmer'!E45</f>
        <v>506</v>
      </c>
      <c r="F30" s="0" t="n">
        <f aca="false">'Stammdaten - Schwimmer'!F45</f>
        <v>20</v>
      </c>
      <c r="K30" s="0" t="n">
        <f aca="false">'Stammdaten - Schwimmer'!A32</f>
        <v>30</v>
      </c>
      <c r="L30" s="0" t="str">
        <f aca="false">'Stammdaten - Schwimmer'!B32</f>
        <v>Kombacher</v>
      </c>
      <c r="M30" s="0" t="str">
        <f aca="false">'Stammdaten - Schwimmer'!C32</f>
        <v>Mia</v>
      </c>
      <c r="N30" s="23" t="n">
        <f aca="false">'Stammdaten - Schwimmer'!D32</f>
        <v>43635</v>
      </c>
      <c r="O30" s="0" t="n">
        <f aca="false">'Stammdaten - Schwimmer'!E32</f>
        <v>502</v>
      </c>
      <c r="P30" s="0" t="n">
        <f aca="false">'Stammdaten - Schwimmer'!F32</f>
        <v>0</v>
      </c>
      <c r="Q30" s="0" t="n">
        <v>50</v>
      </c>
      <c r="R30" s="0" t="n">
        <f aca="false">P30*Q30</f>
        <v>0</v>
      </c>
    </row>
    <row r="31" customFormat="false" ht="15" hidden="false" customHeight="false" outlineLevel="0" collapsed="false">
      <c r="A31" s="0" t="n">
        <f aca="false">'Stammdaten - Schwimmer'!A52</f>
        <v>50</v>
      </c>
      <c r="B31" s="0" t="str">
        <f aca="false">'Stammdaten - Schwimmer'!B52</f>
        <v>Ludwig</v>
      </c>
      <c r="C31" s="0" t="str">
        <f aca="false">'Stammdaten - Schwimmer'!C52</f>
        <v>Mariya</v>
      </c>
      <c r="D31" s="23" t="n">
        <f aca="false">'Stammdaten - Schwimmer'!D52</f>
        <v>40298</v>
      </c>
      <c r="E31" s="0" t="n">
        <f aca="false">'Stammdaten - Schwimmer'!E52</f>
        <v>502</v>
      </c>
      <c r="F31" s="0" t="n">
        <f aca="false">'Stammdaten - Schwimmer'!F52</f>
        <v>52</v>
      </c>
      <c r="K31" s="0" t="n">
        <f aca="false">'Stammdaten - Schwimmer'!A33</f>
        <v>31</v>
      </c>
      <c r="L31" s="0" t="str">
        <f aca="false">'Stammdaten - Schwimmer'!B33</f>
        <v>Kombacher</v>
      </c>
      <c r="M31" s="0" t="str">
        <f aca="false">'Stammdaten - Schwimmer'!C33</f>
        <v>Anja</v>
      </c>
      <c r="N31" s="23" t="n">
        <f aca="false">'Stammdaten - Schwimmer'!D33</f>
        <v>30515</v>
      </c>
      <c r="O31" s="0" t="n">
        <f aca="false">'Stammdaten - Schwimmer'!E33</f>
        <v>502</v>
      </c>
      <c r="P31" s="0" t="n">
        <f aca="false">'Stammdaten - Schwimmer'!F33</f>
        <v>0</v>
      </c>
      <c r="Q31" s="0" t="n">
        <v>25</v>
      </c>
      <c r="R31" s="0" t="n">
        <f aca="false">P31*Q31</f>
        <v>0</v>
      </c>
    </row>
    <row r="32" customFormat="false" ht="15" hidden="false" customHeight="false" outlineLevel="0" collapsed="false">
      <c r="A32" s="0" t="e">
        <f aca="false">#REF!</f>
        <v>#REF!</v>
      </c>
      <c r="B32" s="0" t="e">
        <f aca="false">#REF!</f>
        <v>#REF!</v>
      </c>
      <c r="C32" s="0" t="e">
        <f aca="false">#REF!</f>
        <v>#REF!</v>
      </c>
      <c r="D32" s="23" t="e">
        <f aca="false">#REF!</f>
        <v>#REF!</v>
      </c>
      <c r="E32" s="0" t="e">
        <f aca="false">#REF!</f>
        <v>#REF!</v>
      </c>
      <c r="F32" s="0" t="e">
        <f aca="false">#REF!</f>
        <v>#REF!</v>
      </c>
      <c r="K32" s="0" t="n">
        <f aca="false">'Stammdaten - Schwimmer'!A34</f>
        <v>32</v>
      </c>
      <c r="L32" s="0" t="str">
        <f aca="false">'Stammdaten - Schwimmer'!B34</f>
        <v>Kombacher</v>
      </c>
      <c r="M32" s="0" t="str">
        <f aca="false">'Stammdaten - Schwimmer'!C34</f>
        <v>Lea</v>
      </c>
      <c r="N32" s="23" t="n">
        <f aca="false">'Stammdaten - Schwimmer'!D34</f>
        <v>41712</v>
      </c>
      <c r="O32" s="0" t="n">
        <f aca="false">'Stammdaten - Schwimmer'!E34</f>
        <v>502</v>
      </c>
      <c r="P32" s="0" t="n">
        <f aca="false">'Stammdaten - Schwimmer'!F34</f>
        <v>94</v>
      </c>
      <c r="Q32" s="0" t="n">
        <v>25</v>
      </c>
      <c r="R32" s="0" t="n">
        <f aca="false">P32*Q32</f>
        <v>2350</v>
      </c>
    </row>
    <row r="33" customFormat="false" ht="15" hidden="false" customHeight="false" outlineLevel="0" collapsed="false">
      <c r="A33" s="0" t="n">
        <f aca="false">'Stammdaten - Schwimmer'!A13</f>
        <v>11</v>
      </c>
      <c r="B33" s="0" t="str">
        <f aca="false">'Stammdaten - Schwimmer'!B13</f>
        <v>Aucher</v>
      </c>
      <c r="C33" s="0" t="str">
        <f aca="false">'Stammdaten - Schwimmer'!C13</f>
        <v>Neie</v>
      </c>
      <c r="D33" s="23" t="n">
        <f aca="false">'Stammdaten - Schwimmer'!D13</f>
        <v>40173</v>
      </c>
      <c r="E33" s="0" t="n">
        <f aca="false">'Stammdaten - Schwimmer'!E13</f>
        <v>502</v>
      </c>
      <c r="F33" s="0" t="n">
        <f aca="false">'Stammdaten - Schwimmer'!F13</f>
        <v>46</v>
      </c>
      <c r="K33" s="0" t="n">
        <f aca="false">'Stammdaten - Schwimmer'!A35</f>
        <v>33</v>
      </c>
      <c r="L33" s="0" t="n">
        <f aca="false">'Stammdaten - Schwimmer'!B35</f>
        <v>0</v>
      </c>
      <c r="M33" s="0" t="n">
        <f aca="false">'Stammdaten - Schwimmer'!C35</f>
        <v>0</v>
      </c>
      <c r="N33" s="23" t="n">
        <f aca="false">'Stammdaten - Schwimmer'!D35</f>
        <v>0</v>
      </c>
      <c r="O33" s="0" t="n">
        <f aca="false">'Stammdaten - Schwimmer'!E35</f>
        <v>0</v>
      </c>
      <c r="P33" s="0" t="n">
        <f aca="false">'Stammdaten - Schwimmer'!F35</f>
        <v>0</v>
      </c>
      <c r="Q33" s="0" t="n">
        <v>50</v>
      </c>
      <c r="R33" s="0" t="n">
        <f aca="false">P33*Q33</f>
        <v>0</v>
      </c>
    </row>
    <row r="34" customFormat="false" ht="15" hidden="false" customHeight="false" outlineLevel="0" collapsed="false">
      <c r="A34" s="0" t="n">
        <f aca="false">'Stammdaten - Schwimmer'!A8</f>
        <v>6</v>
      </c>
      <c r="B34" s="0" t="str">
        <f aca="false">'Stammdaten - Schwimmer'!B8</f>
        <v>Künsemüller</v>
      </c>
      <c r="C34" s="0" t="str">
        <f aca="false">'Stammdaten - Schwimmer'!C8</f>
        <v>Viktoria</v>
      </c>
      <c r="D34" s="23" t="n">
        <f aca="false">'Stammdaten - Schwimmer'!D8</f>
        <v>40021</v>
      </c>
      <c r="E34" s="0" t="n">
        <f aca="false">'Stammdaten - Schwimmer'!E8</f>
        <v>503</v>
      </c>
      <c r="F34" s="0" t="n">
        <f aca="false">'Stammdaten - Schwimmer'!F8</f>
        <v>70</v>
      </c>
      <c r="K34" s="0" t="n">
        <f aca="false">'Stammdaten - Schwimmer'!A36</f>
        <v>34</v>
      </c>
      <c r="L34" s="0" t="str">
        <f aca="false">'Stammdaten - Schwimmer'!B36</f>
        <v>Kombacher</v>
      </c>
      <c r="M34" s="0" t="str">
        <f aca="false">'Stammdaten - Schwimmer'!C36</f>
        <v>Sara</v>
      </c>
      <c r="N34" s="23" t="n">
        <f aca="false">'Stammdaten - Schwimmer'!D36</f>
        <v>42528</v>
      </c>
      <c r="O34" s="0" t="n">
        <f aca="false">'Stammdaten - Schwimmer'!E36</f>
        <v>502</v>
      </c>
      <c r="P34" s="0" t="n">
        <f aca="false">'Stammdaten - Schwimmer'!F36</f>
        <v>74</v>
      </c>
      <c r="Q34" s="0" t="n">
        <v>50</v>
      </c>
      <c r="R34" s="0" t="n">
        <f aca="false">P34*Q34</f>
        <v>3700</v>
      </c>
    </row>
    <row r="35" customFormat="false" ht="15" hidden="false" customHeight="false" outlineLevel="0" collapsed="false">
      <c r="A35" s="0" t="n">
        <f aca="false">'Stammdaten - Schwimmer'!A55</f>
        <v>53</v>
      </c>
      <c r="B35" s="0" t="str">
        <f aca="false">'Stammdaten - Schwimmer'!B55</f>
        <v>Warga</v>
      </c>
      <c r="C35" s="0" t="str">
        <f aca="false">'Stammdaten - Schwimmer'!C55</f>
        <v>Paula</v>
      </c>
      <c r="D35" s="23" t="n">
        <f aca="false">'Stammdaten - Schwimmer'!D55</f>
        <v>39823</v>
      </c>
      <c r="E35" s="0" t="n">
        <f aca="false">'Stammdaten - Schwimmer'!E55</f>
        <v>507</v>
      </c>
      <c r="F35" s="0" t="n">
        <f aca="false">'Stammdaten - Schwimmer'!F55</f>
        <v>60</v>
      </c>
      <c r="K35" s="0" t="n">
        <f aca="false">'Stammdaten - Schwimmer'!A37</f>
        <v>35</v>
      </c>
      <c r="L35" s="0" t="n">
        <f aca="false">'Stammdaten - Schwimmer'!B37</f>
        <v>0</v>
      </c>
      <c r="M35" s="0" t="n">
        <f aca="false">'Stammdaten - Schwimmer'!C37</f>
        <v>0</v>
      </c>
      <c r="N35" s="23" t="n">
        <f aca="false">'Stammdaten - Schwimmer'!D37</f>
        <v>0</v>
      </c>
      <c r="O35" s="0" t="n">
        <f aca="false">'Stammdaten - Schwimmer'!E37</f>
        <v>0</v>
      </c>
      <c r="P35" s="0" t="n">
        <f aca="false">'Stammdaten - Schwimmer'!F37</f>
        <v>0</v>
      </c>
      <c r="Q35" s="0" t="n">
        <v>25</v>
      </c>
      <c r="R35" s="0" t="n">
        <f aca="false">P35*Q35</f>
        <v>0</v>
      </c>
    </row>
    <row r="36" customFormat="false" ht="15" hidden="false" customHeight="false" outlineLevel="0" collapsed="false">
      <c r="A36" s="0" t="n">
        <f aca="false">'Stammdaten - Schwimmer'!A43</f>
        <v>41</v>
      </c>
      <c r="B36" s="0" t="str">
        <f aca="false">'Stammdaten - Schwimmer'!B43</f>
        <v>Fischer</v>
      </c>
      <c r="C36" s="0" t="str">
        <f aca="false">'Stammdaten - Schwimmer'!C43</f>
        <v>Chiara</v>
      </c>
      <c r="D36" s="23" t="n">
        <f aca="false">'Stammdaten - Schwimmer'!D43</f>
        <v>38846</v>
      </c>
      <c r="E36" s="0" t="n">
        <f aca="false">'Stammdaten - Schwimmer'!E43</f>
        <v>506</v>
      </c>
      <c r="F36" s="0" t="n">
        <f aca="false">'Stammdaten - Schwimmer'!F43</f>
        <v>24</v>
      </c>
      <c r="K36" s="0" t="n">
        <f aca="false">'Stammdaten - Schwimmer'!A38</f>
        <v>36</v>
      </c>
      <c r="L36" s="0" t="str">
        <f aca="false">'Stammdaten - Schwimmer'!B38</f>
        <v>Hanke</v>
      </c>
      <c r="M36" s="0" t="str">
        <f aca="false">'Stammdaten - Schwimmer'!C38</f>
        <v>Kerstin</v>
      </c>
      <c r="N36" s="23" t="n">
        <f aca="false">'Stammdaten - Schwimmer'!D38</f>
        <v>24695</v>
      </c>
      <c r="O36" s="0" t="n">
        <f aca="false">'Stammdaten - Schwimmer'!E38</f>
        <v>506</v>
      </c>
      <c r="P36" s="0" t="n">
        <f aca="false">'Stammdaten - Schwimmer'!F38</f>
        <v>20</v>
      </c>
      <c r="Q36" s="0" t="n">
        <v>50</v>
      </c>
      <c r="R36" s="0" t="n">
        <f aca="false">P36*Q36</f>
        <v>1000</v>
      </c>
    </row>
    <row r="37" customFormat="false" ht="15" hidden="false" customHeight="false" outlineLevel="0" collapsed="false">
      <c r="A37" s="0" t="n">
        <f aca="false">'Stammdaten - Schwimmer'!A71</f>
        <v>69</v>
      </c>
      <c r="B37" s="0" t="str">
        <f aca="false">'Stammdaten - Schwimmer'!B71</f>
        <v>Müller</v>
      </c>
      <c r="C37" s="0" t="str">
        <f aca="false">'Stammdaten - Schwimmer'!C71</f>
        <v>Nick</v>
      </c>
      <c r="D37" s="23" t="n">
        <f aca="false">'Stammdaten - Schwimmer'!D71</f>
        <v>38183</v>
      </c>
      <c r="E37" s="0" t="n">
        <f aca="false">'Stammdaten - Schwimmer'!E71</f>
        <v>0</v>
      </c>
      <c r="F37" s="0" t="n">
        <f aca="false">'Stammdaten - Schwimmer'!F71</f>
        <v>30</v>
      </c>
      <c r="K37" s="0" t="n">
        <f aca="false">'Stammdaten - Schwimmer'!A39</f>
        <v>37</v>
      </c>
      <c r="L37" s="0" t="str">
        <f aca="false">'Stammdaten - Schwimmer'!B39</f>
        <v>Frank</v>
      </c>
      <c r="M37" s="0" t="str">
        <f aca="false">'Stammdaten - Schwimmer'!C39</f>
        <v>Konstantin</v>
      </c>
      <c r="N37" s="23" t="n">
        <f aca="false">'Stammdaten - Schwimmer'!D39</f>
        <v>34462</v>
      </c>
      <c r="O37" s="0" t="n">
        <f aca="false">'Stammdaten - Schwimmer'!E39</f>
        <v>506</v>
      </c>
      <c r="P37" s="0" t="n">
        <f aca="false">'Stammdaten - Schwimmer'!F39</f>
        <v>30</v>
      </c>
      <c r="Q37" s="0" t="n">
        <v>50</v>
      </c>
      <c r="R37" s="0" t="n">
        <f aca="false">P37*Q37</f>
        <v>1500</v>
      </c>
    </row>
    <row r="38" customFormat="false" ht="15" hidden="false" customHeight="false" outlineLevel="0" collapsed="false">
      <c r="A38" s="0" t="n">
        <f aca="false">'Stammdaten - Schwimmer'!A70</f>
        <v>68</v>
      </c>
      <c r="B38" s="0" t="str">
        <f aca="false">'Stammdaten - Schwimmer'!B70</f>
        <v>Michaelis</v>
      </c>
      <c r="C38" s="0" t="str">
        <f aca="false">'Stammdaten - Schwimmer'!C70</f>
        <v>Jochen</v>
      </c>
      <c r="D38" s="23" t="n">
        <f aca="false">'Stammdaten - Schwimmer'!D70</f>
        <v>37973</v>
      </c>
      <c r="E38" s="0" t="n">
        <f aca="false">'Stammdaten - Schwimmer'!E70</f>
        <v>0</v>
      </c>
      <c r="F38" s="0" t="n">
        <f aca="false">'Stammdaten - Schwimmer'!F70</f>
        <v>30</v>
      </c>
      <c r="K38" s="0" t="n">
        <f aca="false">'Stammdaten - Schwimmer'!A40</f>
        <v>38</v>
      </c>
      <c r="L38" s="0" t="str">
        <f aca="false">'Stammdaten - Schwimmer'!B40</f>
        <v>Laub</v>
      </c>
      <c r="M38" s="0" t="str">
        <f aca="false">'Stammdaten - Schwimmer'!C40</f>
        <v>Noel</v>
      </c>
      <c r="N38" s="23" t="n">
        <f aca="false">'Stammdaten - Schwimmer'!D40</f>
        <v>32001</v>
      </c>
      <c r="O38" s="0" t="n">
        <f aca="false">'Stammdaten - Schwimmer'!E40</f>
        <v>506</v>
      </c>
      <c r="P38" s="0" t="n">
        <f aca="false">'Stammdaten - Schwimmer'!F40</f>
        <v>38</v>
      </c>
      <c r="Q38" s="0" t="n">
        <v>50</v>
      </c>
      <c r="R38" s="0" t="n">
        <f aca="false">P38*Q38</f>
        <v>1900</v>
      </c>
    </row>
    <row r="39" customFormat="false" ht="15" hidden="false" customHeight="false" outlineLevel="0" collapsed="false">
      <c r="A39" s="0" t="n">
        <f aca="false">'Stammdaten - Schwimmer'!A12</f>
        <v>10</v>
      </c>
      <c r="B39" s="0" t="str">
        <f aca="false">'Stammdaten - Schwimmer'!B12</f>
        <v>Michels</v>
      </c>
      <c r="C39" s="0" t="str">
        <f aca="false">'Stammdaten - Schwimmer'!C12</f>
        <v>Laurens</v>
      </c>
      <c r="D39" s="23" t="n">
        <f aca="false">'Stammdaten - Schwimmer'!D12</f>
        <v>37401</v>
      </c>
      <c r="E39" s="0" t="n">
        <f aca="false">'Stammdaten - Schwimmer'!E12</f>
        <v>502</v>
      </c>
      <c r="F39" s="0" t="n">
        <f aca="false">'Stammdaten - Schwimmer'!F12</f>
        <v>70</v>
      </c>
      <c r="K39" s="0" t="n">
        <f aca="false">'Stammdaten - Schwimmer'!A41</f>
        <v>39</v>
      </c>
      <c r="L39" s="0" t="str">
        <f aca="false">'Stammdaten - Schwimmer'!B41</f>
        <v>Drensek</v>
      </c>
      <c r="M39" s="0" t="str">
        <f aca="false">'Stammdaten - Schwimmer'!C41</f>
        <v>Deborah</v>
      </c>
      <c r="N39" s="23" t="n">
        <f aca="false">'Stammdaten - Schwimmer'!D41</f>
        <v>34356</v>
      </c>
      <c r="O39" s="0" t="n">
        <f aca="false">'Stammdaten - Schwimmer'!E41</f>
        <v>506</v>
      </c>
      <c r="P39" s="0" t="n">
        <f aca="false">'Stammdaten - Schwimmer'!F41</f>
        <v>20</v>
      </c>
      <c r="Q39" s="0" t="n">
        <v>50</v>
      </c>
      <c r="R39" s="0" t="n">
        <f aca="false">P39*Q39</f>
        <v>1000</v>
      </c>
    </row>
    <row r="40" customFormat="false" ht="15" hidden="false" customHeight="false" outlineLevel="0" collapsed="false">
      <c r="A40" s="0" t="n">
        <f aca="false">'Stammdaten - Schwimmer'!A16</f>
        <v>14</v>
      </c>
      <c r="B40" s="0" t="str">
        <f aca="false">'Stammdaten - Schwimmer'!B16</f>
        <v>König</v>
      </c>
      <c r="C40" s="0" t="str">
        <f aca="false">'Stammdaten - Schwimmer'!C16</f>
        <v>Viola</v>
      </c>
      <c r="D40" s="23" t="n">
        <f aca="false">'Stammdaten - Schwimmer'!D16</f>
        <v>36605</v>
      </c>
      <c r="E40" s="0" t="n">
        <f aca="false">'Stammdaten - Schwimmer'!E16</f>
        <v>503</v>
      </c>
      <c r="F40" s="0" t="n">
        <f aca="false">'Stammdaten - Schwimmer'!F16</f>
        <v>66</v>
      </c>
      <c r="K40" s="0" t="n">
        <f aca="false">'Stammdaten - Schwimmer'!A42</f>
        <v>40</v>
      </c>
      <c r="L40" s="0" t="str">
        <f aca="false">'Stammdaten - Schwimmer'!B42</f>
        <v>Laub</v>
      </c>
      <c r="M40" s="0" t="str">
        <f aca="false">'Stammdaten - Schwimmer'!C42</f>
        <v>Tanja</v>
      </c>
      <c r="N40" s="23" t="n">
        <f aca="false">'Stammdaten - Schwimmer'!D42</f>
        <v>32160</v>
      </c>
      <c r="O40" s="0" t="n">
        <f aca="false">'Stammdaten - Schwimmer'!E42</f>
        <v>506</v>
      </c>
      <c r="P40" s="0" t="n">
        <f aca="false">'Stammdaten - Schwimmer'!F42</f>
        <v>20</v>
      </c>
      <c r="Q40" s="0" t="n">
        <v>50</v>
      </c>
      <c r="R40" s="0" t="n">
        <f aca="false">P40*Q40</f>
        <v>1000</v>
      </c>
    </row>
    <row r="41" customFormat="false" ht="15" hidden="false" customHeight="false" outlineLevel="0" collapsed="false">
      <c r="A41" s="0" t="n">
        <f aca="false">'Stammdaten - Schwimmer'!A48</f>
        <v>46</v>
      </c>
      <c r="B41" s="0" t="str">
        <f aca="false">'Stammdaten - Schwimmer'!B48</f>
        <v>Bayer</v>
      </c>
      <c r="C41" s="0" t="str">
        <f aca="false">'Stammdaten - Schwimmer'!C48</f>
        <v>Kim</v>
      </c>
      <c r="D41" s="23" t="n">
        <f aca="false">'Stammdaten - Schwimmer'!D48</f>
        <v>36526</v>
      </c>
      <c r="E41" s="0" t="n">
        <f aca="false">'Stammdaten - Schwimmer'!E48</f>
        <v>506</v>
      </c>
      <c r="F41" s="0" t="n">
        <f aca="false">'Stammdaten - Schwimmer'!F48</f>
        <v>8</v>
      </c>
      <c r="K41" s="0" t="n">
        <f aca="false">'Stammdaten - Schwimmer'!A43</f>
        <v>41</v>
      </c>
      <c r="L41" s="0" t="str">
        <f aca="false">'Stammdaten - Schwimmer'!B43</f>
        <v>Fischer</v>
      </c>
      <c r="M41" s="0" t="str">
        <f aca="false">'Stammdaten - Schwimmer'!C43</f>
        <v>Chiara</v>
      </c>
      <c r="N41" s="23" t="n">
        <f aca="false">'Stammdaten - Schwimmer'!D43</f>
        <v>38846</v>
      </c>
      <c r="O41" s="0" t="n">
        <f aca="false">'Stammdaten - Schwimmer'!E43</f>
        <v>506</v>
      </c>
      <c r="P41" s="0" t="n">
        <f aca="false">'Stammdaten - Schwimmer'!F43</f>
        <v>24</v>
      </c>
      <c r="Q41" s="0" t="n">
        <v>50</v>
      </c>
      <c r="R41" s="0" t="n">
        <f aca="false">P41*Q41</f>
        <v>1200</v>
      </c>
    </row>
    <row r="42" customFormat="false" ht="15" hidden="false" customHeight="false" outlineLevel="0" collapsed="false">
      <c r="A42" s="0" t="n">
        <f aca="false">'Stammdaten - Schwimmer'!A15</f>
        <v>13</v>
      </c>
      <c r="B42" s="0" t="str">
        <f aca="false">'Stammdaten - Schwimmer'!B15</f>
        <v>Bachmann</v>
      </c>
      <c r="C42" s="0" t="str">
        <f aca="false">'Stammdaten - Schwimmer'!C15</f>
        <v>Anna</v>
      </c>
      <c r="D42" s="23" t="n">
        <f aca="false">'Stammdaten - Schwimmer'!D15</f>
        <v>36207</v>
      </c>
      <c r="E42" s="0" t="n">
        <f aca="false">'Stammdaten - Schwimmer'!E15</f>
        <v>503</v>
      </c>
      <c r="F42" s="0" t="n">
        <f aca="false">'Stammdaten - Schwimmer'!F15</f>
        <v>64</v>
      </c>
      <c r="K42" s="0" t="n">
        <f aca="false">'Stammdaten - Schwimmer'!A44</f>
        <v>42</v>
      </c>
      <c r="L42" s="0" t="str">
        <f aca="false">'Stammdaten - Schwimmer'!B44</f>
        <v>Nielitz</v>
      </c>
      <c r="M42" s="0" t="str">
        <f aca="false">'Stammdaten - Schwimmer'!C44</f>
        <v>Andre</v>
      </c>
      <c r="N42" s="23" t="n">
        <f aca="false">'Stammdaten - Schwimmer'!D44</f>
        <v>36156</v>
      </c>
      <c r="O42" s="0" t="n">
        <f aca="false">'Stammdaten - Schwimmer'!E44</f>
        <v>506</v>
      </c>
      <c r="P42" s="0" t="n">
        <f aca="false">'Stammdaten - Schwimmer'!F44</f>
        <v>22</v>
      </c>
      <c r="Q42" s="0" t="n">
        <v>50</v>
      </c>
      <c r="R42" s="0" t="n">
        <f aca="false">P42*Q42</f>
        <v>1100</v>
      </c>
    </row>
    <row r="43" customFormat="false" ht="15" hidden="false" customHeight="false" outlineLevel="0" collapsed="false">
      <c r="A43" s="0" t="n">
        <f aca="false">'Stammdaten - Schwimmer'!A44</f>
        <v>42</v>
      </c>
      <c r="B43" s="0" t="str">
        <f aca="false">'Stammdaten - Schwimmer'!B44</f>
        <v>Nielitz</v>
      </c>
      <c r="C43" s="0" t="str">
        <f aca="false">'Stammdaten - Schwimmer'!C44</f>
        <v>Andre</v>
      </c>
      <c r="D43" s="23" t="n">
        <f aca="false">'Stammdaten - Schwimmer'!D44</f>
        <v>36156</v>
      </c>
      <c r="E43" s="0" t="n">
        <f aca="false">'Stammdaten - Schwimmer'!E44</f>
        <v>506</v>
      </c>
      <c r="F43" s="0" t="n">
        <f aca="false">'Stammdaten - Schwimmer'!F44</f>
        <v>22</v>
      </c>
      <c r="K43" s="0" t="n">
        <f aca="false">'Stammdaten - Schwimmer'!A45</f>
        <v>43</v>
      </c>
      <c r="L43" s="0" t="str">
        <f aca="false">'Stammdaten - Schwimmer'!B45</f>
        <v>Fischer</v>
      </c>
      <c r="M43" s="0" t="str">
        <f aca="false">'Stammdaten - Schwimmer'!C45</f>
        <v>Luca</v>
      </c>
      <c r="N43" s="23" t="n">
        <f aca="false">'Stammdaten - Schwimmer'!D45</f>
        <v>40369</v>
      </c>
      <c r="O43" s="0" t="n">
        <f aca="false">'Stammdaten - Schwimmer'!E45</f>
        <v>506</v>
      </c>
      <c r="P43" s="0" t="n">
        <f aca="false">'Stammdaten - Schwimmer'!F45</f>
        <v>20</v>
      </c>
      <c r="Q43" s="0" t="n">
        <v>25</v>
      </c>
      <c r="R43" s="0" t="n">
        <f aca="false">P43*Q43</f>
        <v>500</v>
      </c>
    </row>
    <row r="44" customFormat="false" ht="15" hidden="false" customHeight="false" outlineLevel="0" collapsed="false">
      <c r="A44" s="0" t="n">
        <f aca="false">'Stammdaten - Schwimmer'!A28</f>
        <v>26</v>
      </c>
      <c r="B44" s="0" t="str">
        <f aca="false">'Stammdaten - Schwimmer'!B28</f>
        <v>Bauer</v>
      </c>
      <c r="C44" s="0" t="str">
        <f aca="false">'Stammdaten - Schwimmer'!C28</f>
        <v>Tim</v>
      </c>
      <c r="D44" s="23" t="n">
        <f aca="false">'Stammdaten - Schwimmer'!D28</f>
        <v>35823</v>
      </c>
      <c r="E44" s="0" t="n">
        <f aca="false">'Stammdaten - Schwimmer'!E28</f>
        <v>503</v>
      </c>
      <c r="F44" s="0" t="n">
        <f aca="false">'Stammdaten - Schwimmer'!F28</f>
        <v>50</v>
      </c>
      <c r="K44" s="0" t="n">
        <f aca="false">'Stammdaten - Schwimmer'!A46</f>
        <v>44</v>
      </c>
      <c r="L44" s="0" t="str">
        <f aca="false">'Stammdaten - Schwimmer'!B46</f>
        <v>Flohr</v>
      </c>
      <c r="M44" s="0" t="str">
        <f aca="false">'Stammdaten - Schwimmer'!C46</f>
        <v>Alisa</v>
      </c>
      <c r="N44" s="23" t="n">
        <f aca="false">'Stammdaten - Schwimmer'!D46</f>
        <v>34206</v>
      </c>
      <c r="O44" s="0" t="n">
        <f aca="false">'Stammdaten - Schwimmer'!E46</f>
        <v>506</v>
      </c>
      <c r="P44" s="0" t="n">
        <f aca="false">'Stammdaten - Schwimmer'!F46</f>
        <v>14</v>
      </c>
      <c r="Q44" s="0" t="n">
        <v>50</v>
      </c>
      <c r="R44" s="0" t="n">
        <f aca="false">P44*Q44</f>
        <v>700</v>
      </c>
    </row>
    <row r="45" customFormat="false" ht="15" hidden="false" customHeight="false" outlineLevel="0" collapsed="false">
      <c r="A45" s="0" t="n">
        <f aca="false">'Stammdaten - Schwimmer'!A47</f>
        <v>45</v>
      </c>
      <c r="B45" s="0" t="str">
        <f aca="false">'Stammdaten - Schwimmer'!B47</f>
        <v>Frank</v>
      </c>
      <c r="C45" s="0" t="str">
        <f aca="false">'Stammdaten - Schwimmer'!C47</f>
        <v>Laura</v>
      </c>
      <c r="D45" s="23" t="n">
        <f aca="false">'Stammdaten - Schwimmer'!D47</f>
        <v>35767</v>
      </c>
      <c r="E45" s="0" t="n">
        <f aca="false">'Stammdaten - Schwimmer'!E47</f>
        <v>506</v>
      </c>
      <c r="F45" s="0" t="n">
        <f aca="false">'Stammdaten - Schwimmer'!F47</f>
        <v>28</v>
      </c>
      <c r="K45" s="0" t="n">
        <f aca="false">'Stammdaten - Schwimmer'!A47</f>
        <v>45</v>
      </c>
      <c r="L45" s="0" t="str">
        <f aca="false">'Stammdaten - Schwimmer'!B47</f>
        <v>Frank</v>
      </c>
      <c r="M45" s="0" t="str">
        <f aca="false">'Stammdaten - Schwimmer'!C47</f>
        <v>Laura</v>
      </c>
      <c r="N45" s="23" t="n">
        <f aca="false">'Stammdaten - Schwimmer'!D47</f>
        <v>35767</v>
      </c>
      <c r="O45" s="0" t="n">
        <f aca="false">'Stammdaten - Schwimmer'!E47</f>
        <v>506</v>
      </c>
      <c r="P45" s="0" t="n">
        <f aca="false">'Stammdaten - Schwimmer'!F47</f>
        <v>28</v>
      </c>
      <c r="Q45" s="0" t="n">
        <v>50</v>
      </c>
      <c r="R45" s="0" t="n">
        <f aca="false">P45*Q45</f>
        <v>1400</v>
      </c>
    </row>
    <row r="46" customFormat="false" ht="15" hidden="false" customHeight="false" outlineLevel="0" collapsed="false">
      <c r="A46" s="0" t="n">
        <f aca="false">'Stammdaten - Schwimmer'!A11</f>
        <v>9</v>
      </c>
      <c r="B46" s="0" t="str">
        <f aca="false">'Stammdaten - Schwimmer'!B4</f>
        <v>Grambow</v>
      </c>
      <c r="C46" s="0" t="str">
        <f aca="false">'Stammdaten - Schwimmer'!C4</f>
        <v>Kerstin</v>
      </c>
      <c r="D46" s="23" t="n">
        <f aca="false">'Stammdaten - Schwimmer'!D4</f>
        <v>35065</v>
      </c>
      <c r="E46" s="0" t="str">
        <f aca="false">'Stammdaten - Schwimmer'!E4</f>
        <v>503, 504</v>
      </c>
      <c r="F46" s="0" t="n">
        <f aca="false">'Stammdaten - Schwimmer'!F4</f>
        <v>58</v>
      </c>
      <c r="K46" s="0" t="n">
        <f aca="false">'Stammdaten - Schwimmer'!A48</f>
        <v>46</v>
      </c>
      <c r="L46" s="0" t="str">
        <f aca="false">'Stammdaten - Schwimmer'!B48</f>
        <v>Bayer</v>
      </c>
      <c r="M46" s="0" t="str">
        <f aca="false">'Stammdaten - Schwimmer'!C48</f>
        <v>Kim</v>
      </c>
      <c r="N46" s="23" t="n">
        <f aca="false">'Stammdaten - Schwimmer'!D48</f>
        <v>36526</v>
      </c>
      <c r="O46" s="0" t="n">
        <f aca="false">'Stammdaten - Schwimmer'!E48</f>
        <v>506</v>
      </c>
      <c r="P46" s="0" t="n">
        <f aca="false">'Stammdaten - Schwimmer'!F48</f>
        <v>8</v>
      </c>
      <c r="Q46" s="0" t="n">
        <v>50</v>
      </c>
      <c r="R46" s="0" t="n">
        <f aca="false">P46*Q46</f>
        <v>400</v>
      </c>
    </row>
    <row r="47" customFormat="false" ht="15" hidden="false" customHeight="false" outlineLevel="0" collapsed="false">
      <c r="A47" s="0" t="n">
        <f aca="false">'Stammdaten - Schwimmer'!A39</f>
        <v>37</v>
      </c>
      <c r="B47" s="0" t="str">
        <f aca="false">'Stammdaten - Schwimmer'!B39</f>
        <v>Frank</v>
      </c>
      <c r="C47" s="0" t="str">
        <f aca="false">'Stammdaten - Schwimmer'!C39</f>
        <v>Konstantin</v>
      </c>
      <c r="D47" s="23" t="n">
        <f aca="false">'Stammdaten - Schwimmer'!D39</f>
        <v>34462</v>
      </c>
      <c r="E47" s="0" t="n">
        <f aca="false">'Stammdaten - Schwimmer'!E39</f>
        <v>506</v>
      </c>
      <c r="F47" s="0" t="n">
        <f aca="false">'Stammdaten - Schwimmer'!F39</f>
        <v>30</v>
      </c>
      <c r="K47" s="0" t="n">
        <f aca="false">'Stammdaten - Schwimmer'!A49</f>
        <v>47</v>
      </c>
      <c r="L47" s="0" t="str">
        <f aca="false">'Stammdaten - Schwimmer'!B49</f>
        <v>Holste</v>
      </c>
      <c r="M47" s="0" t="str">
        <f aca="false">'Stammdaten - Schwimmer'!C49</f>
        <v>Ruben</v>
      </c>
      <c r="N47" s="23" t="n">
        <f aca="false">'Stammdaten - Schwimmer'!D49</f>
        <v>30358</v>
      </c>
      <c r="O47" s="0" t="n">
        <f aca="false">'Stammdaten - Schwimmer'!E49</f>
        <v>503</v>
      </c>
      <c r="P47" s="0" t="n">
        <f aca="false">'Stammdaten - Schwimmer'!F49</f>
        <v>70</v>
      </c>
      <c r="Q47" s="0" t="n">
        <v>25</v>
      </c>
      <c r="R47" s="0" t="n">
        <f aca="false">P47*Q47</f>
        <v>1750</v>
      </c>
    </row>
    <row r="48" customFormat="false" ht="15" hidden="false" customHeight="false" outlineLevel="0" collapsed="false">
      <c r="A48" s="0" t="n">
        <f aca="false">'Stammdaten - Schwimmer'!A41</f>
        <v>39</v>
      </c>
      <c r="B48" s="0" t="str">
        <f aca="false">'Stammdaten - Schwimmer'!B41</f>
        <v>Drensek</v>
      </c>
      <c r="C48" s="0" t="str">
        <f aca="false">'Stammdaten - Schwimmer'!C41</f>
        <v>Deborah</v>
      </c>
      <c r="D48" s="23" t="n">
        <f aca="false">'Stammdaten - Schwimmer'!D41</f>
        <v>34356</v>
      </c>
      <c r="E48" s="0" t="n">
        <f aca="false">'Stammdaten - Schwimmer'!E41</f>
        <v>506</v>
      </c>
      <c r="F48" s="0" t="n">
        <f aca="false">'Stammdaten - Schwimmer'!F41</f>
        <v>20</v>
      </c>
      <c r="K48" s="0" t="n">
        <f aca="false">'Stammdaten - Schwimmer'!A50</f>
        <v>48</v>
      </c>
      <c r="L48" s="0" t="str">
        <f aca="false">'Stammdaten - Schwimmer'!B50</f>
        <v>Holste</v>
      </c>
      <c r="M48" s="0" t="str">
        <f aca="false">'Stammdaten - Schwimmer'!C50</f>
        <v>Oscar</v>
      </c>
      <c r="N48" s="23" t="n">
        <f aca="false">'Stammdaten - Schwimmer'!D50</f>
        <v>42027</v>
      </c>
      <c r="O48" s="0" t="n">
        <f aca="false">'Stammdaten - Schwimmer'!E50</f>
        <v>503</v>
      </c>
      <c r="P48" s="0" t="n">
        <f aca="false">'Stammdaten - Schwimmer'!F50</f>
        <v>122</v>
      </c>
      <c r="Q48" s="0" t="n">
        <v>25</v>
      </c>
      <c r="R48" s="0" t="n">
        <f aca="false">P48*Q48</f>
        <v>3050</v>
      </c>
    </row>
    <row r="49" customFormat="false" ht="15" hidden="false" customHeight="false" outlineLevel="0" collapsed="false">
      <c r="A49" s="0" t="n">
        <f aca="false">'Stammdaten - Schwimmer'!A46</f>
        <v>44</v>
      </c>
      <c r="B49" s="0" t="str">
        <f aca="false">'Stammdaten - Schwimmer'!B46</f>
        <v>Flohr</v>
      </c>
      <c r="C49" s="0" t="str">
        <f aca="false">'Stammdaten - Schwimmer'!C46</f>
        <v>Alisa</v>
      </c>
      <c r="D49" s="23" t="n">
        <f aca="false">'Stammdaten - Schwimmer'!D46</f>
        <v>34206</v>
      </c>
      <c r="E49" s="0" t="n">
        <f aca="false">'Stammdaten - Schwimmer'!E46</f>
        <v>506</v>
      </c>
      <c r="F49" s="0" t="n">
        <f aca="false">'Stammdaten - Schwimmer'!F46</f>
        <v>14</v>
      </c>
      <c r="K49" s="0" t="n">
        <f aca="false">'Stammdaten - Schwimmer'!A51</f>
        <v>49</v>
      </c>
      <c r="L49" s="0" t="str">
        <f aca="false">'Stammdaten - Schwimmer'!B51</f>
        <v>Holste</v>
      </c>
      <c r="M49" s="0" t="str">
        <f aca="false">'Stammdaten - Schwimmer'!C51</f>
        <v>Lotte</v>
      </c>
      <c r="N49" s="23" t="n">
        <f aca="false">'Stammdaten - Schwimmer'!D51</f>
        <v>41408</v>
      </c>
      <c r="O49" s="0" t="n">
        <f aca="false">'Stammdaten - Schwimmer'!E51</f>
        <v>503</v>
      </c>
      <c r="P49" s="0" t="n">
        <f aca="false">'Stammdaten - Schwimmer'!F51</f>
        <v>120</v>
      </c>
      <c r="Q49" s="0" t="n">
        <v>50</v>
      </c>
      <c r="R49" s="0" t="n">
        <f aca="false">P49*Q49</f>
        <v>6000</v>
      </c>
    </row>
    <row r="50" customFormat="false" ht="15" hidden="false" customHeight="false" outlineLevel="0" collapsed="false">
      <c r="A50" s="0" t="n">
        <f aca="false">'Stammdaten - Schwimmer'!A20</f>
        <v>18</v>
      </c>
      <c r="B50" s="0" t="str">
        <f aca="false">'Stammdaten - Schwimmer'!B20</f>
        <v>Baur</v>
      </c>
      <c r="C50" s="0" t="str">
        <f aca="false">'Stammdaten - Schwimmer'!C20</f>
        <v>Amelie</v>
      </c>
      <c r="D50" s="23" t="n">
        <f aca="false">'Stammdaten - Schwimmer'!D20</f>
        <v>34191</v>
      </c>
      <c r="E50" s="0" t="n">
        <f aca="false">'Stammdaten - Schwimmer'!E20</f>
        <v>503.504</v>
      </c>
      <c r="F50" s="0" t="n">
        <f aca="false">'Stammdaten - Schwimmer'!F20</f>
        <v>30</v>
      </c>
      <c r="K50" s="0" t="n">
        <f aca="false">'Stammdaten - Schwimmer'!A52</f>
        <v>50</v>
      </c>
      <c r="L50" s="0" t="str">
        <f aca="false">'Stammdaten - Schwimmer'!B52</f>
        <v>Ludwig</v>
      </c>
      <c r="M50" s="0" t="str">
        <f aca="false">'Stammdaten - Schwimmer'!C52</f>
        <v>Mariya</v>
      </c>
      <c r="N50" s="23" t="n">
        <f aca="false">'Stammdaten - Schwimmer'!D52</f>
        <v>40298</v>
      </c>
      <c r="O50" s="0" t="n">
        <f aca="false">'Stammdaten - Schwimmer'!E52</f>
        <v>502</v>
      </c>
      <c r="P50" s="0" t="n">
        <f aca="false">'Stammdaten - Schwimmer'!F52</f>
        <v>52</v>
      </c>
      <c r="Q50" s="0" t="n">
        <v>50</v>
      </c>
      <c r="R50" s="0" t="n">
        <f aca="false">P50*Q50</f>
        <v>2600</v>
      </c>
    </row>
    <row r="51" customFormat="false" ht="15" hidden="false" customHeight="false" outlineLevel="0" collapsed="false">
      <c r="A51" s="0" t="n">
        <f aca="false">'Stammdaten - Schwimmer'!A19</f>
        <v>17</v>
      </c>
      <c r="B51" s="0" t="str">
        <f aca="false">'Stammdaten - Schwimmer'!B19</f>
        <v>Baur</v>
      </c>
      <c r="C51" s="0" t="str">
        <f aca="false">'Stammdaten - Schwimmer'!C19</f>
        <v>Seweryn</v>
      </c>
      <c r="D51" s="23" t="n">
        <f aca="false">'Stammdaten - Schwimmer'!D19</f>
        <v>33169</v>
      </c>
      <c r="E51" s="0" t="n">
        <f aca="false">'Stammdaten - Schwimmer'!E19</f>
        <v>503.504</v>
      </c>
      <c r="F51" s="0" t="n">
        <f aca="false">'Stammdaten - Schwimmer'!F19</f>
        <v>22</v>
      </c>
      <c r="K51" s="0" t="n">
        <f aca="false">'Stammdaten - Schwimmer'!A53</f>
        <v>51</v>
      </c>
      <c r="L51" s="0" t="str">
        <f aca="false">'Stammdaten - Schwimmer'!B53</f>
        <v>Warga</v>
      </c>
      <c r="M51" s="0" t="str">
        <f aca="false">'Stammdaten - Schwimmer'!C53</f>
        <v>Eva</v>
      </c>
      <c r="N51" s="23" t="n">
        <f aca="false">'Stammdaten - Schwimmer'!D53</f>
        <v>42629</v>
      </c>
      <c r="O51" s="0" t="n">
        <f aca="false">'Stammdaten - Schwimmer'!E53</f>
        <v>507</v>
      </c>
      <c r="P51" s="0" t="n">
        <f aca="false">'Stammdaten - Schwimmer'!F53</f>
        <v>108</v>
      </c>
      <c r="Q51" s="0" t="n">
        <v>50</v>
      </c>
      <c r="R51" s="0" t="n">
        <f aca="false">P51*Q51</f>
        <v>5400</v>
      </c>
    </row>
    <row r="52" customFormat="false" ht="15" hidden="false" customHeight="false" outlineLevel="0" collapsed="false">
      <c r="A52" s="0" t="n">
        <f aca="false">'Stammdaten - Schwimmer'!A66</f>
        <v>64</v>
      </c>
      <c r="B52" s="0" t="str">
        <f aca="false">'Stammdaten - Schwimmer'!B66</f>
        <v>Fritz</v>
      </c>
      <c r="C52" s="0" t="str">
        <f aca="false">'Stammdaten - Schwimmer'!C66</f>
        <v>Johannes</v>
      </c>
      <c r="D52" s="23" t="n">
        <f aca="false">'Stammdaten - Schwimmer'!D66</f>
        <v>33038</v>
      </c>
      <c r="E52" s="0" t="n">
        <f aca="false">'Stammdaten - Schwimmer'!E66</f>
        <v>0</v>
      </c>
      <c r="F52" s="0" t="n">
        <f aca="false">'Stammdaten - Schwimmer'!F66</f>
        <v>40</v>
      </c>
      <c r="K52" s="0" t="n">
        <f aca="false">'Stammdaten - Schwimmer'!A54</f>
        <v>52</v>
      </c>
      <c r="L52" s="0" t="str">
        <f aca="false">'Stammdaten - Schwimmer'!B54</f>
        <v>Warga</v>
      </c>
      <c r="M52" s="0" t="str">
        <f aca="false">'Stammdaten - Schwimmer'!C54</f>
        <v>Christina</v>
      </c>
      <c r="N52" s="23" t="n">
        <f aca="false">'Stammdaten - Schwimmer'!D54</f>
        <v>27766</v>
      </c>
      <c r="O52" s="0" t="n">
        <f aca="false">'Stammdaten - Schwimmer'!E54</f>
        <v>507</v>
      </c>
      <c r="P52" s="0" t="n">
        <f aca="false">'Stammdaten - Schwimmer'!F54</f>
        <v>38</v>
      </c>
      <c r="Q52" s="0" t="n">
        <v>50</v>
      </c>
      <c r="R52" s="0" t="n">
        <f aca="false">P52*Q52</f>
        <v>1900</v>
      </c>
    </row>
    <row r="53" customFormat="false" ht="15" hidden="false" customHeight="false" outlineLevel="0" collapsed="false">
      <c r="A53" s="0" t="n">
        <f aca="false">'Stammdaten - Schwimmer'!A42</f>
        <v>40</v>
      </c>
      <c r="B53" s="0" t="str">
        <f aca="false">'Stammdaten - Schwimmer'!B42</f>
        <v>Laub</v>
      </c>
      <c r="C53" s="0" t="str">
        <f aca="false">'Stammdaten - Schwimmer'!C42</f>
        <v>Tanja</v>
      </c>
      <c r="D53" s="23" t="n">
        <f aca="false">'Stammdaten - Schwimmer'!D42</f>
        <v>32160</v>
      </c>
      <c r="E53" s="0" t="n">
        <f aca="false">'Stammdaten - Schwimmer'!E42</f>
        <v>506</v>
      </c>
      <c r="F53" s="0" t="n">
        <f aca="false">'Stammdaten - Schwimmer'!F42</f>
        <v>20</v>
      </c>
      <c r="K53" s="0" t="n">
        <f aca="false">'Stammdaten - Schwimmer'!A55</f>
        <v>53</v>
      </c>
      <c r="L53" s="0" t="str">
        <f aca="false">'Stammdaten - Schwimmer'!B55</f>
        <v>Warga</v>
      </c>
      <c r="M53" s="0" t="str">
        <f aca="false">'Stammdaten - Schwimmer'!C55</f>
        <v>Paula</v>
      </c>
      <c r="N53" s="23" t="n">
        <f aca="false">'Stammdaten - Schwimmer'!D55</f>
        <v>39823</v>
      </c>
      <c r="O53" s="0" t="n">
        <f aca="false">'Stammdaten - Schwimmer'!E55</f>
        <v>507</v>
      </c>
      <c r="P53" s="0" t="n">
        <f aca="false">'Stammdaten - Schwimmer'!F55</f>
        <v>60</v>
      </c>
      <c r="Q53" s="0" t="n">
        <v>50</v>
      </c>
      <c r="R53" s="0" t="n">
        <f aca="false">P53*Q53</f>
        <v>3000</v>
      </c>
    </row>
    <row r="54" customFormat="false" ht="15" hidden="false" customHeight="false" outlineLevel="0" collapsed="false">
      <c r="A54" s="0" t="n">
        <f aca="false">'Stammdaten - Schwimmer'!A63</f>
        <v>61</v>
      </c>
      <c r="B54" s="0" t="str">
        <f aca="false">'Stammdaten - Schwimmer'!B63</f>
        <v>Göpel</v>
      </c>
      <c r="C54" s="0" t="str">
        <f aca="false">'Stammdaten - Schwimmer'!C63</f>
        <v>Joana</v>
      </c>
      <c r="D54" s="23" t="n">
        <f aca="false">'Stammdaten - Schwimmer'!D63</f>
        <v>32090</v>
      </c>
      <c r="E54" s="0" t="n">
        <f aca="false">'Stammdaten - Schwimmer'!E63</f>
        <v>502</v>
      </c>
      <c r="F54" s="0" t="n">
        <f aca="false">'Stammdaten - Schwimmer'!F63</f>
        <v>22</v>
      </c>
      <c r="K54" s="0" t="n">
        <f aca="false">'Stammdaten - Schwimmer'!A56</f>
        <v>54</v>
      </c>
      <c r="L54" s="0" t="str">
        <f aca="false">'Stammdaten - Schwimmer'!B56</f>
        <v>Warga</v>
      </c>
      <c r="M54" s="0" t="str">
        <f aca="false">'Stammdaten - Schwimmer'!C56</f>
        <v>Christian</v>
      </c>
      <c r="N54" s="23" t="n">
        <f aca="false">'Stammdaten - Schwimmer'!D56</f>
        <v>27486</v>
      </c>
      <c r="O54" s="0" t="n">
        <f aca="false">'Stammdaten - Schwimmer'!E56</f>
        <v>507</v>
      </c>
      <c r="P54" s="0" t="n">
        <f aca="false">'Stammdaten - Schwimmer'!F56</f>
        <v>40</v>
      </c>
      <c r="Q54" s="0" t="n">
        <v>25</v>
      </c>
      <c r="R54" s="0" t="n">
        <f aca="false">P54*Q54</f>
        <v>1000</v>
      </c>
    </row>
    <row r="55" customFormat="false" ht="15" hidden="false" customHeight="false" outlineLevel="0" collapsed="false">
      <c r="A55" s="0" t="n">
        <f aca="false">'Stammdaten - Schwimmer'!A40</f>
        <v>38</v>
      </c>
      <c r="B55" s="0" t="str">
        <f aca="false">'Stammdaten - Schwimmer'!B40</f>
        <v>Laub</v>
      </c>
      <c r="C55" s="0" t="str">
        <f aca="false">'Stammdaten - Schwimmer'!C40</f>
        <v>Noel</v>
      </c>
      <c r="D55" s="23" t="n">
        <f aca="false">'Stammdaten - Schwimmer'!D40</f>
        <v>32001</v>
      </c>
      <c r="E55" s="0" t="n">
        <f aca="false">'Stammdaten - Schwimmer'!E40</f>
        <v>506</v>
      </c>
      <c r="F55" s="0" t="n">
        <f aca="false">'Stammdaten - Schwimmer'!F40</f>
        <v>38</v>
      </c>
      <c r="K55" s="0" t="n">
        <f aca="false">'Stammdaten - Schwimmer'!A57</f>
        <v>55</v>
      </c>
      <c r="L55" s="0" t="str">
        <f aca="false">'Stammdaten - Schwimmer'!B57</f>
        <v>Veit</v>
      </c>
      <c r="M55" s="0" t="str">
        <f aca="false">'Stammdaten - Schwimmer'!C57</f>
        <v>Dorothea</v>
      </c>
      <c r="N55" s="23" t="n">
        <f aca="false">'Stammdaten - Schwimmer'!D57</f>
        <v>41475</v>
      </c>
      <c r="O55" s="0" t="n">
        <f aca="false">'Stammdaten - Schwimmer'!E57</f>
        <v>503</v>
      </c>
      <c r="P55" s="0" t="n">
        <f aca="false">'Stammdaten - Schwimmer'!F57</f>
        <v>32</v>
      </c>
      <c r="Q55" s="0" t="n">
        <v>50</v>
      </c>
      <c r="R55" s="0" t="n">
        <f aca="false">P55*Q55</f>
        <v>1600</v>
      </c>
    </row>
    <row r="56" customFormat="false" ht="15" hidden="false" customHeight="false" outlineLevel="0" collapsed="false">
      <c r="A56" s="0" t="n">
        <f aca="false">'Stammdaten - Schwimmer'!A67</f>
        <v>65</v>
      </c>
      <c r="B56" s="0" t="str">
        <f aca="false">'Stammdaten - Schwimmer'!B67</f>
        <v>Franz</v>
      </c>
      <c r="C56" s="0" t="str">
        <f aca="false">'Stammdaten - Schwimmer'!C67</f>
        <v>Franziska</v>
      </c>
      <c r="D56" s="23" t="n">
        <f aca="false">'Stammdaten - Schwimmer'!D67</f>
        <v>31320</v>
      </c>
      <c r="E56" s="0" t="n">
        <f aca="false">'Stammdaten - Schwimmer'!E67</f>
        <v>503.504</v>
      </c>
      <c r="F56" s="0" t="n">
        <f aca="false">'Stammdaten - Schwimmer'!F67</f>
        <v>26</v>
      </c>
      <c r="K56" s="0" t="n">
        <f aca="false">'Stammdaten - Schwimmer'!A58</f>
        <v>56</v>
      </c>
      <c r="L56" s="0" t="str">
        <f aca="false">'Stammdaten - Schwimmer'!B58</f>
        <v>Heineke</v>
      </c>
      <c r="M56" s="0" t="str">
        <f aca="false">'Stammdaten - Schwimmer'!C58</f>
        <v>Jana</v>
      </c>
      <c r="N56" s="23" t="n">
        <f aca="false">'Stammdaten - Schwimmer'!D58</f>
        <v>40445</v>
      </c>
      <c r="O56" s="0" t="n">
        <f aca="false">'Stammdaten - Schwimmer'!E58</f>
        <v>503</v>
      </c>
      <c r="P56" s="0" t="n">
        <f aca="false">'Stammdaten - Schwimmer'!F58</f>
        <v>40</v>
      </c>
      <c r="Q56" s="0" t="n">
        <v>50</v>
      </c>
      <c r="R56" s="0" t="n">
        <f aca="false">P56*Q56</f>
        <v>2000</v>
      </c>
    </row>
    <row r="57" customFormat="false" ht="15" hidden="false" customHeight="false" outlineLevel="0" collapsed="false">
      <c r="A57" s="0" t="n">
        <f aca="false">'Stammdaten - Schwimmer'!A33</f>
        <v>31</v>
      </c>
      <c r="B57" s="0" t="str">
        <f aca="false">'Stammdaten - Schwimmer'!B33</f>
        <v>Kombacher</v>
      </c>
      <c r="C57" s="0" t="str">
        <f aca="false">'Stammdaten - Schwimmer'!C33</f>
        <v>Anja</v>
      </c>
      <c r="D57" s="23" t="n">
        <f aca="false">'Stammdaten - Schwimmer'!D33</f>
        <v>30515</v>
      </c>
      <c r="E57" s="0" t="n">
        <f aca="false">'Stammdaten - Schwimmer'!E33</f>
        <v>502</v>
      </c>
      <c r="F57" s="0" t="n">
        <f aca="false">'Stammdaten - Schwimmer'!F33</f>
        <v>0</v>
      </c>
      <c r="K57" s="0" t="n">
        <f aca="false">'Stammdaten - Schwimmer'!A59</f>
        <v>57</v>
      </c>
      <c r="L57" s="0" t="str">
        <f aca="false">'Stammdaten - Schwimmer'!B59</f>
        <v>Hartmann</v>
      </c>
      <c r="M57" s="0" t="str">
        <f aca="false">'Stammdaten - Schwimmer'!C59</f>
        <v>Hanna</v>
      </c>
      <c r="N57" s="23" t="n">
        <f aca="false">'Stammdaten - Schwimmer'!D59</f>
        <v>42300</v>
      </c>
      <c r="O57" s="0" t="n">
        <f aca="false">'Stammdaten - Schwimmer'!E59</f>
        <v>0</v>
      </c>
      <c r="P57" s="0" t="n">
        <f aca="false">'Stammdaten - Schwimmer'!F59</f>
        <v>26</v>
      </c>
      <c r="Q57" s="0" t="n">
        <v>25</v>
      </c>
      <c r="R57" s="0" t="n">
        <f aca="false">P57*Q57</f>
        <v>650</v>
      </c>
    </row>
    <row r="58" customFormat="false" ht="15" hidden="false" customHeight="false" outlineLevel="0" collapsed="false">
      <c r="A58" s="0" t="n">
        <f aca="false">'Stammdaten - Schwimmer'!A49</f>
        <v>47</v>
      </c>
      <c r="B58" s="0" t="str">
        <f aca="false">'Stammdaten - Schwimmer'!B49</f>
        <v>Holste</v>
      </c>
      <c r="C58" s="0" t="str">
        <f aca="false">'Stammdaten - Schwimmer'!C49</f>
        <v>Ruben</v>
      </c>
      <c r="D58" s="23" t="n">
        <f aca="false">'Stammdaten - Schwimmer'!D49</f>
        <v>30358</v>
      </c>
      <c r="E58" s="0" t="n">
        <f aca="false">'Stammdaten - Schwimmer'!E49</f>
        <v>503</v>
      </c>
      <c r="F58" s="0" t="n">
        <f aca="false">'Stammdaten - Schwimmer'!F49</f>
        <v>70</v>
      </c>
      <c r="K58" s="0" t="n">
        <f aca="false">'Stammdaten - Schwimmer'!A60</f>
        <v>58</v>
      </c>
      <c r="L58" s="0" t="str">
        <f aca="false">'Stammdaten - Schwimmer'!B60</f>
        <v>Schmid</v>
      </c>
      <c r="M58" s="0" t="str">
        <f aca="false">'Stammdaten - Schwimmer'!C60</f>
        <v>Hannes</v>
      </c>
      <c r="N58" s="23" t="n">
        <f aca="false">'Stammdaten - Schwimmer'!D60</f>
        <v>41282</v>
      </c>
      <c r="O58" s="0" t="n">
        <f aca="false">'Stammdaten - Schwimmer'!E60</f>
        <v>502</v>
      </c>
      <c r="P58" s="0" t="n">
        <f aca="false">'Stammdaten - Schwimmer'!F60</f>
        <v>108</v>
      </c>
      <c r="Q58" s="0" t="n">
        <v>50</v>
      </c>
      <c r="R58" s="0" t="n">
        <f aca="false">P58*Q58</f>
        <v>5400</v>
      </c>
    </row>
    <row r="59" customFormat="false" ht="15" hidden="false" customHeight="false" outlineLevel="0" collapsed="false">
      <c r="A59" s="0" t="n">
        <f aca="false">'Stammdaten - Schwimmer'!A10</f>
        <v>8</v>
      </c>
      <c r="B59" s="0" t="str">
        <f aca="false">'Stammdaten - Schwimmer'!B10</f>
        <v>Gessler </v>
      </c>
      <c r="C59" s="0" t="str">
        <f aca="false">'Stammdaten - Schwimmer'!C10</f>
        <v>Birgit</v>
      </c>
      <c r="D59" s="23" t="n">
        <f aca="false">'Stammdaten - Schwimmer'!D10</f>
        <v>29380</v>
      </c>
      <c r="E59" s="0" t="n">
        <f aca="false">'Stammdaten - Schwimmer'!E10</f>
        <v>502</v>
      </c>
      <c r="F59" s="0" t="n">
        <f aca="false">'Stammdaten - Schwimmer'!F10</f>
        <v>42</v>
      </c>
      <c r="K59" s="0" t="n">
        <f aca="false">'Stammdaten - Schwimmer'!A61</f>
        <v>59</v>
      </c>
      <c r="L59" s="0" t="str">
        <f aca="false">'Stammdaten - Schwimmer'!B61</f>
        <v>Schmid</v>
      </c>
      <c r="M59" s="0" t="str">
        <f aca="false">'Stammdaten - Schwimmer'!C61</f>
        <v>Jakob</v>
      </c>
      <c r="N59" s="23" t="n">
        <f aca="false">'Stammdaten - Schwimmer'!D61</f>
        <v>42251</v>
      </c>
      <c r="O59" s="0" t="n">
        <f aca="false">'Stammdaten - Schwimmer'!E61</f>
        <v>502</v>
      </c>
      <c r="P59" s="0" t="n">
        <f aca="false">'Stammdaten - Schwimmer'!F61</f>
        <v>94</v>
      </c>
      <c r="Q59" s="0" t="n">
        <v>50</v>
      </c>
      <c r="R59" s="0" t="n">
        <f aca="false">P59*Q59</f>
        <v>4700</v>
      </c>
    </row>
    <row r="60" customFormat="false" ht="15" hidden="false" customHeight="false" outlineLevel="0" collapsed="false">
      <c r="A60" s="0" t="n">
        <f aca="false">'Stammdaten - Schwimmer'!A31</f>
        <v>29</v>
      </c>
      <c r="B60" s="0" t="str">
        <f aca="false">'Stammdaten - Schwimmer'!B31</f>
        <v>Zimmermann</v>
      </c>
      <c r="C60" s="0" t="str">
        <f aca="false">'Stammdaten - Schwimmer'!C31</f>
        <v>Markus</v>
      </c>
      <c r="D60" s="23" t="n">
        <f aca="false">'Stammdaten - Schwimmer'!D31</f>
        <v>28193</v>
      </c>
      <c r="E60" s="0" t="n">
        <f aca="false">'Stammdaten - Schwimmer'!E31</f>
        <v>0</v>
      </c>
      <c r="F60" s="0" t="n">
        <f aca="false">'Stammdaten - Schwimmer'!F31</f>
        <v>42</v>
      </c>
      <c r="K60" s="0" t="n">
        <f aca="false">'Stammdaten - Schwimmer'!A62</f>
        <v>60</v>
      </c>
      <c r="L60" s="0" t="str">
        <f aca="false">'Stammdaten - Schwimmer'!B62</f>
        <v>Göpel</v>
      </c>
      <c r="M60" s="0" t="str">
        <f aca="false">'Stammdaten - Schwimmer'!C62</f>
        <v>Norah</v>
      </c>
      <c r="N60" s="23" t="n">
        <f aca="false">'Stammdaten - Schwimmer'!D62</f>
        <v>42602</v>
      </c>
      <c r="O60" s="0" t="n">
        <f aca="false">'Stammdaten - Schwimmer'!E62</f>
        <v>502</v>
      </c>
      <c r="P60" s="0" t="n">
        <f aca="false">'Stammdaten - Schwimmer'!F62</f>
        <v>74</v>
      </c>
      <c r="Q60" s="0" t="n">
        <v>50</v>
      </c>
      <c r="R60" s="0" t="n">
        <f aca="false">P60*Q60</f>
        <v>3700</v>
      </c>
    </row>
    <row r="61" customFormat="false" ht="15" hidden="false" customHeight="false" outlineLevel="0" collapsed="false">
      <c r="A61" s="0" t="n">
        <f aca="false">'Stammdaten - Schwimmer'!A68</f>
        <v>66</v>
      </c>
      <c r="B61" s="0" t="str">
        <f aca="false">'Stammdaten - Schwimmer'!B68</f>
        <v>Bronner</v>
      </c>
      <c r="C61" s="0" t="str">
        <f aca="false">'Stammdaten - Schwimmer'!C68</f>
        <v>Myrian</v>
      </c>
      <c r="D61" s="23" t="n">
        <f aca="false">'Stammdaten - Schwimmer'!D68</f>
        <v>28129</v>
      </c>
      <c r="E61" s="0" t="n">
        <f aca="false">'Stammdaten - Schwimmer'!E68</f>
        <v>0</v>
      </c>
      <c r="F61" s="0" t="n">
        <f aca="false">'Stammdaten - Schwimmer'!F68</f>
        <v>36</v>
      </c>
      <c r="K61" s="0" t="n">
        <f aca="false">'Stammdaten - Schwimmer'!A63</f>
        <v>61</v>
      </c>
      <c r="L61" s="0" t="str">
        <f aca="false">'Stammdaten - Schwimmer'!B63</f>
        <v>Göpel</v>
      </c>
      <c r="M61" s="0" t="str">
        <f aca="false">'Stammdaten - Schwimmer'!C63</f>
        <v>Joana</v>
      </c>
      <c r="N61" s="23" t="n">
        <f aca="false">'Stammdaten - Schwimmer'!D63</f>
        <v>32090</v>
      </c>
      <c r="O61" s="0" t="n">
        <f aca="false">'Stammdaten - Schwimmer'!E63</f>
        <v>502</v>
      </c>
      <c r="P61" s="0" t="n">
        <f aca="false">'Stammdaten - Schwimmer'!F63</f>
        <v>22</v>
      </c>
      <c r="Q61" s="0" t="n">
        <v>25</v>
      </c>
      <c r="R61" s="0" t="n">
        <f aca="false">P61*Q61</f>
        <v>550</v>
      </c>
    </row>
    <row r="62" customFormat="false" ht="15" hidden="false" customHeight="false" outlineLevel="0" collapsed="false">
      <c r="A62" s="0" t="n">
        <f aca="false">'Stammdaten - Schwimmer'!A54</f>
        <v>52</v>
      </c>
      <c r="B62" s="0" t="str">
        <f aca="false">'Stammdaten - Schwimmer'!B54</f>
        <v>Warga</v>
      </c>
      <c r="C62" s="0" t="str">
        <f aca="false">'Stammdaten - Schwimmer'!C54</f>
        <v>Christina</v>
      </c>
      <c r="D62" s="23" t="n">
        <f aca="false">'Stammdaten - Schwimmer'!D54</f>
        <v>27766</v>
      </c>
      <c r="E62" s="0" t="n">
        <f aca="false">'Stammdaten - Schwimmer'!E54</f>
        <v>507</v>
      </c>
      <c r="F62" s="0" t="n">
        <f aca="false">'Stammdaten - Schwimmer'!F54</f>
        <v>38</v>
      </c>
      <c r="K62" s="0" t="n">
        <f aca="false">'Stammdaten - Schwimmer'!A64</f>
        <v>62</v>
      </c>
      <c r="L62" s="0" t="str">
        <f aca="false">'Stammdaten - Schwimmer'!B64</f>
        <v>Zhou</v>
      </c>
      <c r="M62" s="0" t="str">
        <f aca="false">'Stammdaten - Schwimmer'!C64</f>
        <v>Robin</v>
      </c>
      <c r="N62" s="23" t="n">
        <f aca="false">'Stammdaten - Schwimmer'!D64</f>
        <v>42116</v>
      </c>
      <c r="O62" s="0" t="n">
        <f aca="false">'Stammdaten - Schwimmer'!E64</f>
        <v>503</v>
      </c>
      <c r="P62" s="0" t="n">
        <f aca="false">'Stammdaten - Schwimmer'!F64</f>
        <v>80</v>
      </c>
      <c r="Q62" s="0" t="n">
        <v>50</v>
      </c>
      <c r="R62" s="0" t="n">
        <f aca="false">P62*Q62</f>
        <v>4000</v>
      </c>
    </row>
    <row r="63" customFormat="false" ht="15" hidden="false" customHeight="false" outlineLevel="0" collapsed="false">
      <c r="A63" s="0" t="n">
        <f aca="false">'Stammdaten - Schwimmer'!A56</f>
        <v>54</v>
      </c>
      <c r="B63" s="0" t="str">
        <f aca="false">'Stammdaten - Schwimmer'!B56</f>
        <v>Warga</v>
      </c>
      <c r="C63" s="0" t="str">
        <f aca="false">'Stammdaten - Schwimmer'!C56</f>
        <v>Christian</v>
      </c>
      <c r="D63" s="23" t="n">
        <f aca="false">'Stammdaten - Schwimmer'!D56</f>
        <v>27486</v>
      </c>
      <c r="E63" s="0" t="n">
        <f aca="false">'Stammdaten - Schwimmer'!E56</f>
        <v>507</v>
      </c>
      <c r="F63" s="0" t="n">
        <f aca="false">'Stammdaten - Schwimmer'!F56</f>
        <v>40</v>
      </c>
      <c r="K63" s="0" t="n">
        <f aca="false">'Stammdaten - Schwimmer'!A65</f>
        <v>63</v>
      </c>
      <c r="L63" s="0" t="str">
        <f aca="false">'Stammdaten - Schwimmer'!B65</f>
        <v>Buuck</v>
      </c>
      <c r="M63" s="0" t="str">
        <f aca="false">'Stammdaten - Schwimmer'!C65</f>
        <v>Jan-Alexander</v>
      </c>
      <c r="N63" s="23" t="n">
        <f aca="false">'Stammdaten - Schwimmer'!D65</f>
        <v>41849</v>
      </c>
      <c r="O63" s="0" t="n">
        <f aca="false">'Stammdaten - Schwimmer'!E65</f>
        <v>502</v>
      </c>
      <c r="P63" s="0" t="n">
        <f aca="false">'Stammdaten - Schwimmer'!F65</f>
        <v>40</v>
      </c>
      <c r="Q63" s="0" t="n">
        <v>50</v>
      </c>
      <c r="R63" s="0" t="n">
        <f aca="false">P63*Q63</f>
        <v>2000</v>
      </c>
    </row>
    <row r="64" customFormat="false" ht="15" hidden="false" customHeight="false" outlineLevel="0" collapsed="false">
      <c r="A64" s="0" t="n">
        <f aca="false">'Stammdaten - Schwimmer'!A25</f>
        <v>23</v>
      </c>
      <c r="B64" s="0" t="str">
        <f aca="false">'Stammdaten - Schwimmer'!B25</f>
        <v>Engel</v>
      </c>
      <c r="C64" s="0" t="str">
        <f aca="false">'Stammdaten - Schwimmer'!C25</f>
        <v>Katrin</v>
      </c>
      <c r="D64" s="23" t="n">
        <f aca="false">'Stammdaten - Schwimmer'!D25</f>
        <v>25956</v>
      </c>
      <c r="E64" s="0" t="n">
        <f aca="false">'Stammdaten - Schwimmer'!E25</f>
        <v>503.504</v>
      </c>
      <c r="F64" s="0" t="n">
        <f aca="false">'Stammdaten - Schwimmer'!F25</f>
        <v>58</v>
      </c>
      <c r="K64" s="0" t="n">
        <f aca="false">'Stammdaten - Schwimmer'!A66</f>
        <v>64</v>
      </c>
      <c r="L64" s="0" t="str">
        <f aca="false">'Stammdaten - Schwimmer'!B66</f>
        <v>Fritz</v>
      </c>
      <c r="M64" s="0" t="str">
        <f aca="false">'Stammdaten - Schwimmer'!C66</f>
        <v>Johannes</v>
      </c>
      <c r="N64" s="23" t="n">
        <f aca="false">'Stammdaten - Schwimmer'!D66</f>
        <v>33038</v>
      </c>
      <c r="O64" s="0" t="n">
        <f aca="false">'Stammdaten - Schwimmer'!E66</f>
        <v>0</v>
      </c>
      <c r="P64" s="0" t="n">
        <f aca="false">'Stammdaten - Schwimmer'!F66</f>
        <v>40</v>
      </c>
      <c r="Q64" s="0" t="n">
        <v>50</v>
      </c>
      <c r="R64" s="0" t="n">
        <f aca="false">P64*Q64</f>
        <v>2000</v>
      </c>
    </row>
    <row r="65" customFormat="false" ht="15" hidden="false" customHeight="false" outlineLevel="0" collapsed="false">
      <c r="A65" s="0" t="n">
        <f aca="false">'Stammdaten - Schwimmer'!A38</f>
        <v>36</v>
      </c>
      <c r="B65" s="0" t="str">
        <f aca="false">'Stammdaten - Schwimmer'!B38</f>
        <v>Hanke</v>
      </c>
      <c r="C65" s="0" t="str">
        <f aca="false">'Stammdaten - Schwimmer'!C38</f>
        <v>Kerstin</v>
      </c>
      <c r="D65" s="23" t="n">
        <f aca="false">'Stammdaten - Schwimmer'!D38</f>
        <v>24695</v>
      </c>
      <c r="E65" s="0" t="n">
        <f aca="false">'Stammdaten - Schwimmer'!E38</f>
        <v>506</v>
      </c>
      <c r="F65" s="0" t="n">
        <f aca="false">'Stammdaten - Schwimmer'!F38</f>
        <v>20</v>
      </c>
      <c r="K65" s="0" t="n">
        <f aca="false">'Stammdaten - Schwimmer'!A67</f>
        <v>65</v>
      </c>
      <c r="L65" s="0" t="str">
        <f aca="false">'Stammdaten - Schwimmer'!B67</f>
        <v>Franz</v>
      </c>
      <c r="M65" s="0" t="str">
        <f aca="false">'Stammdaten - Schwimmer'!C67</f>
        <v>Franziska</v>
      </c>
      <c r="N65" s="23" t="n">
        <f aca="false">'Stammdaten - Schwimmer'!D67</f>
        <v>31320</v>
      </c>
      <c r="O65" s="0" t="n">
        <f aca="false">'Stammdaten - Schwimmer'!E67</f>
        <v>503.504</v>
      </c>
      <c r="P65" s="0" t="n">
        <f aca="false">'Stammdaten - Schwimmer'!F67</f>
        <v>26</v>
      </c>
      <c r="Q65" s="0" t="n">
        <v>25</v>
      </c>
      <c r="R65" s="0" t="n">
        <f aca="false">P65*Q65</f>
        <v>650</v>
      </c>
    </row>
    <row r="66" customFormat="false" ht="15" hidden="false" customHeight="false" outlineLevel="0" collapsed="false">
      <c r="A66" s="0" t="n">
        <f aca="false">'Stammdaten - Schwimmer'!A14</f>
        <v>12</v>
      </c>
      <c r="B66" s="0" t="str">
        <f aca="false">'Stammdaten - Schwimmer'!B14</f>
        <v>Glass</v>
      </c>
      <c r="C66" s="0" t="str">
        <f aca="false">'Stammdaten - Schwimmer'!C14</f>
        <v>Helmut</v>
      </c>
      <c r="D66" s="23" t="n">
        <f aca="false">'Stammdaten - Schwimmer'!D14</f>
        <v>24492</v>
      </c>
      <c r="E66" s="0" t="n">
        <f aca="false">'Stammdaten - Schwimmer'!E14</f>
        <v>505</v>
      </c>
      <c r="F66" s="0" t="n">
        <f aca="false">'Stammdaten - Schwimmer'!F14</f>
        <v>50</v>
      </c>
      <c r="K66" s="0" t="n">
        <f aca="false">'Stammdaten - Schwimmer'!A68</f>
        <v>66</v>
      </c>
      <c r="L66" s="0" t="str">
        <f aca="false">'Stammdaten - Schwimmer'!B68</f>
        <v>Bronner</v>
      </c>
      <c r="M66" s="0" t="str">
        <f aca="false">'Stammdaten - Schwimmer'!C68</f>
        <v>Myrian</v>
      </c>
      <c r="N66" s="23" t="n">
        <f aca="false">'Stammdaten - Schwimmer'!D68</f>
        <v>28129</v>
      </c>
      <c r="O66" s="0" t="n">
        <f aca="false">'Stammdaten - Schwimmer'!E68</f>
        <v>0</v>
      </c>
      <c r="P66" s="0" t="n">
        <f aca="false">'Stammdaten - Schwimmer'!F68</f>
        <v>36</v>
      </c>
      <c r="Q66" s="0" t="n">
        <v>50</v>
      </c>
      <c r="R66" s="0" t="n">
        <f aca="false">P66*Q66</f>
        <v>1800</v>
      </c>
    </row>
    <row r="67" customFormat="false" ht="15" hidden="false" customHeight="false" outlineLevel="0" collapsed="false">
      <c r="A67" s="0" t="n">
        <f aca="false">'Stammdaten - Schwimmer'!A26</f>
        <v>24</v>
      </c>
      <c r="B67" s="0" t="str">
        <f aca="false">'Stammdaten - Schwimmer'!B26</f>
        <v>Engel</v>
      </c>
      <c r="C67" s="0" t="str">
        <f aca="false">'Stammdaten - Schwimmer'!C26</f>
        <v>Ulrike</v>
      </c>
      <c r="D67" s="23" t="n">
        <f aca="false">'Stammdaten - Schwimmer'!D26</f>
        <v>23938</v>
      </c>
      <c r="E67" s="0" t="n">
        <f aca="false">'Stammdaten - Schwimmer'!E26</f>
        <v>503.504</v>
      </c>
      <c r="F67" s="0" t="n">
        <f aca="false">'Stammdaten - Schwimmer'!F26</f>
        <v>60</v>
      </c>
      <c r="K67" s="0" t="n">
        <f aca="false">'Stammdaten - Schwimmer'!A69</f>
        <v>67</v>
      </c>
      <c r="L67" s="0" t="str">
        <f aca="false">'Stammdaten - Schwimmer'!B69</f>
        <v>Siebert-Rieger</v>
      </c>
      <c r="M67" s="0" t="str">
        <f aca="false">'Stammdaten - Schwimmer'!C69</f>
        <v>Annegret</v>
      </c>
      <c r="N67" s="23" t="n">
        <f aca="false">'Stammdaten - Schwimmer'!D69</f>
        <v>19107</v>
      </c>
      <c r="O67" s="0" t="n">
        <f aca="false">'Stammdaten - Schwimmer'!E69</f>
        <v>0</v>
      </c>
      <c r="P67" s="0" t="n">
        <f aca="false">'Stammdaten - Schwimmer'!F69</f>
        <v>20</v>
      </c>
      <c r="Q67" s="0" t="n">
        <v>50</v>
      </c>
      <c r="R67" s="0" t="n">
        <f aca="false">P67*Q67</f>
        <v>1000</v>
      </c>
    </row>
    <row r="68" customFormat="false" ht="15" hidden="false" customHeight="false" outlineLevel="0" collapsed="false">
      <c r="A68" s="0" t="n">
        <f aca="false">'Stammdaten - Schwimmer'!A29</f>
        <v>27</v>
      </c>
      <c r="B68" s="0" t="str">
        <f aca="false">'Stammdaten - Schwimmer'!B29</f>
        <v>Engel</v>
      </c>
      <c r="C68" s="0" t="str">
        <f aca="false">'Stammdaten - Schwimmer'!C29</f>
        <v>Brigitte</v>
      </c>
      <c r="D68" s="23" t="n">
        <f aca="false">'Stammdaten - Schwimmer'!D29</f>
        <v>23066</v>
      </c>
      <c r="E68" s="0" t="n">
        <f aca="false">'Stammdaten - Schwimmer'!E29</f>
        <v>0</v>
      </c>
      <c r="F68" s="0" t="n">
        <f aca="false">'Stammdaten - Schwimmer'!F29</f>
        <v>40</v>
      </c>
      <c r="K68" s="0" t="n">
        <f aca="false">'Stammdaten - Schwimmer'!A70</f>
        <v>68</v>
      </c>
      <c r="L68" s="0" t="str">
        <f aca="false">'Stammdaten - Schwimmer'!B70</f>
        <v>Michaelis</v>
      </c>
      <c r="M68" s="0" t="str">
        <f aca="false">'Stammdaten - Schwimmer'!C70</f>
        <v>Jochen</v>
      </c>
      <c r="N68" s="23" t="n">
        <f aca="false">'Stammdaten - Schwimmer'!D70</f>
        <v>37973</v>
      </c>
      <c r="O68" s="0" t="n">
        <f aca="false">'Stammdaten - Schwimmer'!E70</f>
        <v>0</v>
      </c>
      <c r="P68" s="0" t="n">
        <f aca="false">'Stammdaten - Schwimmer'!F70</f>
        <v>30</v>
      </c>
      <c r="Q68" s="0" t="n">
        <v>50</v>
      </c>
      <c r="R68" s="0" t="n">
        <f aca="false">P68*Q68</f>
        <v>1500</v>
      </c>
    </row>
    <row r="69" customFormat="false" ht="15" hidden="false" customHeight="false" outlineLevel="0" collapsed="false">
      <c r="A69" s="0" t="n">
        <f aca="false">'Stammdaten - Schwimmer'!A22</f>
        <v>20</v>
      </c>
      <c r="B69" s="0" t="str">
        <f aca="false">'Stammdaten - Schwimmer'!B22</f>
        <v>Winkler</v>
      </c>
      <c r="C69" s="0" t="str">
        <f aca="false">'Stammdaten - Schwimmer'!C22</f>
        <v>Anette</v>
      </c>
      <c r="D69" s="23" t="n">
        <f aca="false">'Stammdaten - Schwimmer'!D22</f>
        <v>22984</v>
      </c>
      <c r="E69" s="0" t="n">
        <f aca="false">'Stammdaten - Schwimmer'!E22</f>
        <v>0</v>
      </c>
      <c r="F69" s="0" t="n">
        <f aca="false">'Stammdaten - Schwimmer'!F22</f>
        <v>30</v>
      </c>
      <c r="K69" s="0" t="n">
        <f aca="false">'Stammdaten - Schwimmer'!A71</f>
        <v>69</v>
      </c>
      <c r="L69" s="0" t="str">
        <f aca="false">'Stammdaten - Schwimmer'!B71</f>
        <v>Müller</v>
      </c>
      <c r="M69" s="0" t="str">
        <f aca="false">'Stammdaten - Schwimmer'!C71</f>
        <v>Nick</v>
      </c>
      <c r="N69" s="23" t="n">
        <f aca="false">'Stammdaten - Schwimmer'!D71</f>
        <v>38183</v>
      </c>
      <c r="O69" s="0" t="n">
        <f aca="false">'Stammdaten - Schwimmer'!E71</f>
        <v>0</v>
      </c>
      <c r="P69" s="0" t="n">
        <f aca="false">'Stammdaten - Schwimmer'!F71</f>
        <v>30</v>
      </c>
      <c r="Q69" s="0" t="n">
        <v>25</v>
      </c>
      <c r="R69" s="0" t="n">
        <f aca="false">P69*Q69</f>
        <v>750</v>
      </c>
    </row>
    <row r="70" customFormat="false" ht="15" hidden="false" customHeight="false" outlineLevel="0" collapsed="false">
      <c r="A70" s="0" t="n">
        <f aca="false">'Stammdaten - Schwimmer'!A27</f>
        <v>25</v>
      </c>
      <c r="B70" s="0" t="str">
        <f aca="false">'Stammdaten - Schwimmer'!B27</f>
        <v>Sure</v>
      </c>
      <c r="C70" s="0" t="str">
        <f aca="false">'Stammdaten - Schwimmer'!C27</f>
        <v>Doris</v>
      </c>
      <c r="D70" s="23" t="n">
        <f aca="false">'Stammdaten - Schwimmer'!D27</f>
        <v>22857</v>
      </c>
      <c r="E70" s="0" t="n">
        <f aca="false">'Stammdaten - Schwimmer'!E27</f>
        <v>502</v>
      </c>
      <c r="F70" s="0" t="n">
        <f aca="false">'Stammdaten - Schwimmer'!F27</f>
        <v>22</v>
      </c>
      <c r="K70" s="0" t="n">
        <f aca="false">'Stammdaten - Schwimmer'!A72</f>
        <v>70</v>
      </c>
      <c r="L70" s="0" t="n">
        <f aca="false">'Stammdaten - Schwimmer'!B72</f>
        <v>0</v>
      </c>
      <c r="M70" s="0" t="n">
        <f aca="false">'Stammdaten - Schwimmer'!C72</f>
        <v>0</v>
      </c>
      <c r="N70" s="23" t="n">
        <f aca="false">'Stammdaten - Schwimmer'!D72</f>
        <v>0</v>
      </c>
      <c r="O70" s="0" t="n">
        <f aca="false">'Stammdaten - Schwimmer'!E72</f>
        <v>0</v>
      </c>
      <c r="P70" s="0" t="n">
        <f aca="false">'Stammdaten - Schwimmer'!F72</f>
        <v>3116</v>
      </c>
      <c r="Q70" s="0" t="n">
        <v>50</v>
      </c>
      <c r="R70" s="0" t="n">
        <f aca="false">P70*Q70</f>
        <v>155800</v>
      </c>
    </row>
    <row r="71" customFormat="false" ht="15" hidden="false" customHeight="false" outlineLevel="0" collapsed="false">
      <c r="A71" s="0" t="n">
        <f aca="false">'Stammdaten - Schwimmer'!A6</f>
        <v>4</v>
      </c>
      <c r="B71" s="0" t="str">
        <f aca="false">'Stammdaten - Schwimmer'!B6</f>
        <v>Schwenk-Fischer</v>
      </c>
      <c r="C71" s="0" t="str">
        <f aca="false">'Stammdaten - Schwimmer'!C6</f>
        <v>Eva</v>
      </c>
      <c r="D71" s="23" t="n">
        <f aca="false">'Stammdaten - Schwimmer'!D6</f>
        <v>20973</v>
      </c>
      <c r="E71" s="0" t="n">
        <f aca="false">'Stammdaten - Schwimmer'!E6</f>
        <v>505</v>
      </c>
      <c r="F71" s="0" t="n">
        <f aca="false">'Stammdaten - Schwimmer'!F6</f>
        <v>35</v>
      </c>
      <c r="K71" s="0" t="n">
        <f aca="false">'Stammdaten - Schwimmer'!A73</f>
        <v>71</v>
      </c>
      <c r="L71" s="0" t="n">
        <f aca="false">'Stammdaten - Schwimmer'!B73</f>
        <v>0</v>
      </c>
      <c r="M71" s="0" t="n">
        <f aca="false">'Stammdaten - Schwimmer'!C73</f>
        <v>0</v>
      </c>
      <c r="N71" s="23" t="n">
        <f aca="false">'Stammdaten - Schwimmer'!D73</f>
        <v>0</v>
      </c>
      <c r="O71" s="0" t="n">
        <f aca="false">'Stammdaten - Schwimmer'!E73</f>
        <v>0</v>
      </c>
      <c r="P71" s="0" t="n">
        <f aca="false">'Stammdaten - Schwimmer'!F73</f>
        <v>0</v>
      </c>
      <c r="Q71" s="0" t="n">
        <v>25</v>
      </c>
      <c r="R71" s="0" t="n">
        <f aca="false">P71*Q71</f>
        <v>0</v>
      </c>
    </row>
    <row r="72" customFormat="false" ht="15" hidden="false" customHeight="false" outlineLevel="0" collapsed="false">
      <c r="A72" s="0" t="n">
        <f aca="false">'Stammdaten - Schwimmer'!A69</f>
        <v>67</v>
      </c>
      <c r="B72" s="0" t="str">
        <f aca="false">'Stammdaten - Schwimmer'!B69</f>
        <v>Siebert-Rieger</v>
      </c>
      <c r="C72" s="0" t="str">
        <f aca="false">'Stammdaten - Schwimmer'!C69</f>
        <v>Annegret</v>
      </c>
      <c r="D72" s="23" t="n">
        <f aca="false">'Stammdaten - Schwimmer'!D69</f>
        <v>19107</v>
      </c>
      <c r="E72" s="0" t="n">
        <f aca="false">'Stammdaten - Schwimmer'!E69</f>
        <v>0</v>
      </c>
      <c r="F72" s="0" t="n">
        <f aca="false">'Stammdaten - Schwimmer'!F69</f>
        <v>20</v>
      </c>
      <c r="K72" s="0" t="n">
        <f aca="false">'Stammdaten - Schwimmer'!A74</f>
        <v>72</v>
      </c>
      <c r="L72" s="0" t="n">
        <f aca="false">'Stammdaten - Schwimmer'!B74</f>
        <v>0</v>
      </c>
      <c r="M72" s="0" t="n">
        <f aca="false">'Stammdaten - Schwimmer'!C74</f>
        <v>0</v>
      </c>
      <c r="N72" s="23" t="n">
        <f aca="false">'Stammdaten - Schwimmer'!D74</f>
        <v>0</v>
      </c>
      <c r="O72" s="0" t="n">
        <f aca="false">'Stammdaten - Schwimmer'!E74</f>
        <v>0</v>
      </c>
      <c r="P72" s="0" t="n">
        <f aca="false">'Stammdaten - Schwimmer'!F74</f>
        <v>0</v>
      </c>
      <c r="Q72" s="0" t="n">
        <v>25</v>
      </c>
      <c r="R72" s="0" t="n">
        <f aca="false">P72*Q72</f>
        <v>0</v>
      </c>
    </row>
    <row r="73" customFormat="false" ht="15" hidden="false" customHeight="false" outlineLevel="0" collapsed="false">
      <c r="A73" s="0" t="n">
        <f aca="false">'Stammdaten - Schwimmer'!A88</f>
        <v>86</v>
      </c>
      <c r="B73" s="0" t="n">
        <f aca="false">'Stammdaten - Schwimmer'!B88</f>
        <v>0</v>
      </c>
      <c r="C73" s="0" t="n">
        <f aca="false">'Stammdaten - Schwimmer'!C88</f>
        <v>0</v>
      </c>
      <c r="D73" s="23" t="n">
        <f aca="false">'Stammdaten - Schwimmer'!D88</f>
        <v>0</v>
      </c>
      <c r="E73" s="0" t="n">
        <f aca="false">'Stammdaten - Schwimmer'!E88</f>
        <v>0</v>
      </c>
      <c r="F73" s="0" t="n">
        <f aca="false">'Stammdaten - Schwimmer'!F88</f>
        <v>0</v>
      </c>
      <c r="K73" s="0" t="n">
        <f aca="false">'Stammdaten - Schwimmer'!A75</f>
        <v>73</v>
      </c>
      <c r="L73" s="0" t="n">
        <f aca="false">'Stammdaten - Schwimmer'!B75</f>
        <v>0</v>
      </c>
      <c r="M73" s="0" t="n">
        <f aca="false">'Stammdaten - Schwimmer'!C75</f>
        <v>66</v>
      </c>
      <c r="N73" s="23" t="n">
        <f aca="false">'Stammdaten - Schwimmer'!D75</f>
        <v>0</v>
      </c>
      <c r="O73" s="0" t="n">
        <f aca="false">'Stammdaten - Schwimmer'!E75</f>
        <v>0</v>
      </c>
      <c r="P73" s="0" t="n">
        <f aca="false">'Stammdaten - Schwimmer'!F75</f>
        <v>0</v>
      </c>
      <c r="Q73" s="0" t="n">
        <v>50</v>
      </c>
      <c r="R73" s="0" t="n">
        <f aca="false">P73*Q73</f>
        <v>0</v>
      </c>
    </row>
    <row r="74" customFormat="false" ht="15" hidden="false" customHeight="false" outlineLevel="0" collapsed="false">
      <c r="A74" s="0" t="n">
        <f aca="false">'Stammdaten - Schwimmer'!A79</f>
        <v>77</v>
      </c>
      <c r="B74" s="0" t="n">
        <f aca="false">'Stammdaten - Schwimmer'!B79</f>
        <v>0</v>
      </c>
      <c r="C74" s="0" t="n">
        <f aca="false">'Stammdaten - Schwimmer'!C79</f>
        <v>0</v>
      </c>
      <c r="D74" s="23" t="n">
        <f aca="false">'Stammdaten - Schwimmer'!D79</f>
        <v>0</v>
      </c>
      <c r="E74" s="0" t="n">
        <f aca="false">'Stammdaten - Schwimmer'!E79</f>
        <v>0</v>
      </c>
      <c r="F74" s="0" t="n">
        <f aca="false">'Stammdaten - Schwimmer'!F79</f>
        <v>0</v>
      </c>
      <c r="K74" s="0" t="n">
        <f aca="false">'Stammdaten - Schwimmer'!A76</f>
        <v>74</v>
      </c>
      <c r="L74" s="0" t="n">
        <f aca="false">'Stammdaten - Schwimmer'!B76</f>
        <v>0</v>
      </c>
      <c r="M74" s="0" t="n">
        <f aca="false">'Stammdaten - Schwimmer'!C76</f>
        <v>0</v>
      </c>
      <c r="N74" s="23" t="n">
        <f aca="false">'Stammdaten - Schwimmer'!D76</f>
        <v>0</v>
      </c>
      <c r="O74" s="0" t="n">
        <f aca="false">'Stammdaten - Schwimmer'!E76</f>
        <v>0</v>
      </c>
      <c r="P74" s="0" t="n">
        <f aca="false">'Stammdaten - Schwimmer'!F76</f>
        <v>0</v>
      </c>
      <c r="Q74" s="0" t="n">
        <v>50</v>
      </c>
      <c r="R74" s="0" t="n">
        <f aca="false">P74*Q74</f>
        <v>0</v>
      </c>
    </row>
    <row r="75" customFormat="false" ht="15" hidden="false" customHeight="false" outlineLevel="0" collapsed="false">
      <c r="A75" s="0" t="n">
        <f aca="false">'Stammdaten - Schwimmer'!A84</f>
        <v>82</v>
      </c>
      <c r="B75" s="0" t="n">
        <f aca="false">'Stammdaten - Schwimmer'!B84</f>
        <v>0</v>
      </c>
      <c r="C75" s="0" t="n">
        <f aca="false">'Stammdaten - Schwimmer'!C84</f>
        <v>0</v>
      </c>
      <c r="D75" s="23" t="n">
        <f aca="false">'Stammdaten - Schwimmer'!D84</f>
        <v>0</v>
      </c>
      <c r="E75" s="0" t="n">
        <f aca="false">'Stammdaten - Schwimmer'!E84</f>
        <v>0</v>
      </c>
      <c r="F75" s="0" t="n">
        <f aca="false">'Stammdaten - Schwimmer'!F84</f>
        <v>0</v>
      </c>
      <c r="K75" s="0" t="n">
        <f aca="false">'Stammdaten - Schwimmer'!A77</f>
        <v>75</v>
      </c>
      <c r="L75" s="0" t="n">
        <f aca="false">'Stammdaten - Schwimmer'!B77</f>
        <v>0</v>
      </c>
      <c r="M75" s="0" t="n">
        <f aca="false">'Stammdaten - Schwimmer'!C77</f>
        <v>0</v>
      </c>
      <c r="N75" s="23" t="n">
        <f aca="false">'Stammdaten - Schwimmer'!D77</f>
        <v>0</v>
      </c>
      <c r="O75" s="0" t="n">
        <f aca="false">'Stammdaten - Schwimmer'!E77</f>
        <v>0</v>
      </c>
      <c r="P75" s="0" t="n">
        <f aca="false">'Stammdaten - Schwimmer'!F77</f>
        <v>0</v>
      </c>
      <c r="Q75" s="0" t="n">
        <v>50</v>
      </c>
      <c r="R75" s="0" t="n">
        <f aca="false">P75*Q75</f>
        <v>0</v>
      </c>
    </row>
    <row r="76" customFormat="false" ht="15" hidden="false" customHeight="false" outlineLevel="0" collapsed="false">
      <c r="A76" s="0" t="n">
        <f aca="false">'Stammdaten - Schwimmer'!A83</f>
        <v>81</v>
      </c>
      <c r="B76" s="0" t="n">
        <f aca="false">'Stammdaten - Schwimmer'!B83</f>
        <v>0</v>
      </c>
      <c r="C76" s="0" t="n">
        <f aca="false">'Stammdaten - Schwimmer'!C83</f>
        <v>0</v>
      </c>
      <c r="D76" s="23" t="n">
        <f aca="false">'Stammdaten - Schwimmer'!D83</f>
        <v>0</v>
      </c>
      <c r="E76" s="0" t="n">
        <f aca="false">'Stammdaten - Schwimmer'!E83</f>
        <v>0</v>
      </c>
      <c r="F76" s="0" t="n">
        <f aca="false">'Stammdaten - Schwimmer'!F83</f>
        <v>0</v>
      </c>
      <c r="K76" s="0" t="n">
        <f aca="false">'Stammdaten - Schwimmer'!A78</f>
        <v>76</v>
      </c>
      <c r="L76" s="0" t="n">
        <f aca="false">'Stammdaten - Schwimmer'!B78</f>
        <v>0</v>
      </c>
      <c r="M76" s="0" t="n">
        <f aca="false">'Stammdaten - Schwimmer'!C78</f>
        <v>0</v>
      </c>
      <c r="N76" s="23" t="n">
        <f aca="false">'Stammdaten - Schwimmer'!D78</f>
        <v>0</v>
      </c>
      <c r="O76" s="0" t="n">
        <f aca="false">'Stammdaten - Schwimmer'!E78</f>
        <v>0</v>
      </c>
      <c r="P76" s="0" t="n">
        <f aca="false">'Stammdaten - Schwimmer'!F78</f>
        <v>0</v>
      </c>
      <c r="Q76" s="0" t="n">
        <v>25</v>
      </c>
      <c r="R76" s="0" t="n">
        <f aca="false">P76*Q76</f>
        <v>0</v>
      </c>
    </row>
    <row r="77" customFormat="false" ht="15" hidden="false" customHeight="false" outlineLevel="0" collapsed="false">
      <c r="A77" s="0" t="n">
        <f aca="false">'Stammdaten - Schwimmer'!A80</f>
        <v>78</v>
      </c>
      <c r="B77" s="0" t="n">
        <f aca="false">'Stammdaten - Schwimmer'!B80</f>
        <v>0</v>
      </c>
      <c r="C77" s="0" t="n">
        <f aca="false">'Stammdaten - Schwimmer'!C80</f>
        <v>0</v>
      </c>
      <c r="D77" s="23" t="n">
        <f aca="false">'Stammdaten - Schwimmer'!D80</f>
        <v>0</v>
      </c>
      <c r="E77" s="0" t="n">
        <f aca="false">'Stammdaten - Schwimmer'!E80</f>
        <v>0</v>
      </c>
      <c r="F77" s="0" t="n">
        <f aca="false">'Stammdaten - Schwimmer'!F80</f>
        <v>0</v>
      </c>
      <c r="K77" s="0" t="n">
        <f aca="false">'Stammdaten - Schwimmer'!A79</f>
        <v>77</v>
      </c>
      <c r="L77" s="0" t="n">
        <f aca="false">'Stammdaten - Schwimmer'!B79</f>
        <v>0</v>
      </c>
      <c r="M77" s="0" t="n">
        <f aca="false">'Stammdaten - Schwimmer'!C79</f>
        <v>0</v>
      </c>
      <c r="N77" s="23" t="n">
        <f aca="false">'Stammdaten - Schwimmer'!D79</f>
        <v>0</v>
      </c>
      <c r="O77" s="0" t="n">
        <f aca="false">'Stammdaten - Schwimmer'!E79</f>
        <v>0</v>
      </c>
      <c r="P77" s="0" t="n">
        <f aca="false">'Stammdaten - Schwimmer'!F79</f>
        <v>0</v>
      </c>
      <c r="Q77" s="0" t="n">
        <v>25</v>
      </c>
      <c r="R77" s="0" t="n">
        <f aca="false">P77*Q77</f>
        <v>0</v>
      </c>
    </row>
    <row r="78" customFormat="false" ht="15" hidden="false" customHeight="false" outlineLevel="0" collapsed="false">
      <c r="A78" s="0" t="n">
        <f aca="false">'Stammdaten - Schwimmer'!A73</f>
        <v>71</v>
      </c>
      <c r="B78" s="0" t="n">
        <f aca="false">'Stammdaten - Schwimmer'!B73</f>
        <v>0</v>
      </c>
      <c r="C78" s="0" t="n">
        <f aca="false">'Stammdaten - Schwimmer'!C73</f>
        <v>0</v>
      </c>
      <c r="D78" s="23" t="n">
        <f aca="false">'Stammdaten - Schwimmer'!D73</f>
        <v>0</v>
      </c>
      <c r="E78" s="0" t="n">
        <f aca="false">'Stammdaten - Schwimmer'!E73</f>
        <v>0</v>
      </c>
      <c r="F78" s="0" t="n">
        <f aca="false">'Stammdaten - Schwimmer'!F73</f>
        <v>0</v>
      </c>
      <c r="K78" s="0" t="n">
        <f aca="false">'Stammdaten - Schwimmer'!A80</f>
        <v>78</v>
      </c>
      <c r="L78" s="0" t="n">
        <f aca="false">'Stammdaten - Schwimmer'!B80</f>
        <v>0</v>
      </c>
      <c r="M78" s="0" t="n">
        <f aca="false">'Stammdaten - Schwimmer'!C80</f>
        <v>0</v>
      </c>
      <c r="N78" s="23" t="n">
        <f aca="false">'Stammdaten - Schwimmer'!D80</f>
        <v>0</v>
      </c>
      <c r="O78" s="0" t="n">
        <f aca="false">'Stammdaten - Schwimmer'!E80</f>
        <v>0</v>
      </c>
      <c r="P78" s="0" t="n">
        <f aca="false">'Stammdaten - Schwimmer'!F80</f>
        <v>0</v>
      </c>
      <c r="Q78" s="0" t="n">
        <v>25</v>
      </c>
      <c r="R78" s="0" t="n">
        <f aca="false">P78*Q78</f>
        <v>0</v>
      </c>
    </row>
    <row r="79" customFormat="false" ht="15" hidden="false" customHeight="false" outlineLevel="0" collapsed="false">
      <c r="A79" s="0" t="n">
        <f aca="false">'Stammdaten - Schwimmer'!A78</f>
        <v>76</v>
      </c>
      <c r="B79" s="0" t="n">
        <f aca="false">'Stammdaten - Schwimmer'!B78</f>
        <v>0</v>
      </c>
      <c r="C79" s="0" t="n">
        <f aca="false">'Stammdaten - Schwimmer'!C78</f>
        <v>0</v>
      </c>
      <c r="D79" s="23" t="n">
        <f aca="false">'Stammdaten - Schwimmer'!D78</f>
        <v>0</v>
      </c>
      <c r="E79" s="0" t="n">
        <f aca="false">'Stammdaten - Schwimmer'!E78</f>
        <v>0</v>
      </c>
      <c r="F79" s="0" t="n">
        <f aca="false">'Stammdaten - Schwimmer'!F78</f>
        <v>0</v>
      </c>
      <c r="K79" s="0" t="n">
        <f aca="false">'Stammdaten - Schwimmer'!A81</f>
        <v>79</v>
      </c>
      <c r="L79" s="0" t="n">
        <f aca="false">'Stammdaten - Schwimmer'!B81</f>
        <v>0</v>
      </c>
      <c r="M79" s="0" t="n">
        <f aca="false">'Stammdaten - Schwimmer'!C81</f>
        <v>0</v>
      </c>
      <c r="N79" s="23" t="n">
        <f aca="false">'Stammdaten - Schwimmer'!D81</f>
        <v>0</v>
      </c>
      <c r="O79" s="0" t="n">
        <f aca="false">'Stammdaten - Schwimmer'!E81</f>
        <v>0</v>
      </c>
      <c r="P79" s="0" t="n">
        <f aca="false">'Stammdaten - Schwimmer'!F81</f>
        <v>0</v>
      </c>
      <c r="Q79" s="0" t="n">
        <v>50</v>
      </c>
      <c r="R79" s="0" t="n">
        <f aca="false">P79*Q79</f>
        <v>0</v>
      </c>
    </row>
    <row r="80" customFormat="false" ht="15" hidden="false" customHeight="false" outlineLevel="0" collapsed="false">
      <c r="A80" s="0" t="n">
        <f aca="false">'Stammdaten - Schwimmer'!A74</f>
        <v>72</v>
      </c>
      <c r="B80" s="0" t="n">
        <f aca="false">'Stammdaten - Schwimmer'!B74</f>
        <v>0</v>
      </c>
      <c r="C80" s="0" t="n">
        <f aca="false">'Stammdaten - Schwimmer'!C74</f>
        <v>0</v>
      </c>
      <c r="D80" s="23" t="n">
        <f aca="false">'Stammdaten - Schwimmer'!D74</f>
        <v>0</v>
      </c>
      <c r="E80" s="0" t="n">
        <f aca="false">'Stammdaten - Schwimmer'!E74</f>
        <v>0</v>
      </c>
      <c r="F80" s="0" t="n">
        <f aca="false">'Stammdaten - Schwimmer'!F74</f>
        <v>0</v>
      </c>
      <c r="K80" s="0" t="n">
        <f aca="false">'Stammdaten - Schwimmer'!A82</f>
        <v>80</v>
      </c>
      <c r="L80" s="0" t="n">
        <f aca="false">'Stammdaten - Schwimmer'!B82</f>
        <v>0</v>
      </c>
      <c r="M80" s="0" t="n">
        <f aca="false">'Stammdaten - Schwimmer'!C82</f>
        <v>0</v>
      </c>
      <c r="N80" s="23" t="n">
        <f aca="false">'Stammdaten - Schwimmer'!D82</f>
        <v>0</v>
      </c>
      <c r="O80" s="0" t="n">
        <f aca="false">'Stammdaten - Schwimmer'!E82</f>
        <v>0</v>
      </c>
      <c r="P80" s="0" t="n">
        <f aca="false">'Stammdaten - Schwimmer'!F82</f>
        <v>0</v>
      </c>
      <c r="Q80" s="0" t="n">
        <v>50</v>
      </c>
      <c r="R80" s="0" t="n">
        <f aca="false">P80*Q80</f>
        <v>0</v>
      </c>
    </row>
    <row r="81" customFormat="false" ht="15" hidden="false" customHeight="false" outlineLevel="0" collapsed="false">
      <c r="A81" s="0" t="n">
        <f aca="false">'Stammdaten - Schwimmer'!A37</f>
        <v>35</v>
      </c>
      <c r="B81" s="0" t="n">
        <f aca="false">'Stammdaten - Schwimmer'!B37</f>
        <v>0</v>
      </c>
      <c r="C81" s="0" t="n">
        <f aca="false">'Stammdaten - Schwimmer'!C37</f>
        <v>0</v>
      </c>
      <c r="D81" s="23" t="n">
        <f aca="false">'Stammdaten - Schwimmer'!D37</f>
        <v>0</v>
      </c>
      <c r="E81" s="0" t="n">
        <f aca="false">'Stammdaten - Schwimmer'!E37</f>
        <v>0</v>
      </c>
      <c r="F81" s="0" t="n">
        <f aca="false">'Stammdaten - Schwimmer'!F37</f>
        <v>0</v>
      </c>
      <c r="K81" s="0" t="n">
        <f aca="false">'Stammdaten - Schwimmer'!A83</f>
        <v>81</v>
      </c>
      <c r="L81" s="0" t="n">
        <f aca="false">'Stammdaten - Schwimmer'!B83</f>
        <v>0</v>
      </c>
      <c r="M81" s="0" t="n">
        <f aca="false">'Stammdaten - Schwimmer'!C83</f>
        <v>0</v>
      </c>
      <c r="N81" s="23" t="n">
        <f aca="false">'Stammdaten - Schwimmer'!D83</f>
        <v>0</v>
      </c>
      <c r="O81" s="0" t="n">
        <f aca="false">'Stammdaten - Schwimmer'!E83</f>
        <v>0</v>
      </c>
      <c r="P81" s="0" t="n">
        <f aca="false">'Stammdaten - Schwimmer'!F83</f>
        <v>0</v>
      </c>
      <c r="Q81" s="0" t="n">
        <v>25</v>
      </c>
      <c r="R81" s="0" t="n">
        <f aca="false">P81*Q81</f>
        <v>0</v>
      </c>
    </row>
    <row r="82" customFormat="false" ht="15" hidden="false" customHeight="false" outlineLevel="0" collapsed="false">
      <c r="A82" s="0" t="n">
        <f aca="false">'Stammdaten - Schwimmer'!A76</f>
        <v>74</v>
      </c>
      <c r="B82" s="0" t="n">
        <f aca="false">'Stammdaten - Schwimmer'!B76</f>
        <v>0</v>
      </c>
      <c r="C82" s="0" t="n">
        <f aca="false">'Stammdaten - Schwimmer'!C76</f>
        <v>0</v>
      </c>
      <c r="D82" s="23" t="n">
        <f aca="false">'Stammdaten - Schwimmer'!D76</f>
        <v>0</v>
      </c>
      <c r="E82" s="0" t="n">
        <f aca="false">'Stammdaten - Schwimmer'!E76</f>
        <v>0</v>
      </c>
      <c r="F82" s="0" t="n">
        <f aca="false">'Stammdaten - Schwimmer'!F76</f>
        <v>0</v>
      </c>
      <c r="K82" s="0" t="n">
        <f aca="false">'Stammdaten - Schwimmer'!A84</f>
        <v>82</v>
      </c>
      <c r="L82" s="0" t="n">
        <f aca="false">'Stammdaten - Schwimmer'!B84</f>
        <v>0</v>
      </c>
      <c r="M82" s="0" t="n">
        <f aca="false">'Stammdaten - Schwimmer'!C84</f>
        <v>0</v>
      </c>
      <c r="N82" s="23" t="n">
        <f aca="false">'Stammdaten - Schwimmer'!D84</f>
        <v>0</v>
      </c>
      <c r="O82" s="0" t="n">
        <f aca="false">'Stammdaten - Schwimmer'!E84</f>
        <v>0</v>
      </c>
      <c r="P82" s="0" t="n">
        <f aca="false">'Stammdaten - Schwimmer'!F84</f>
        <v>0</v>
      </c>
      <c r="Q82" s="0" t="n">
        <v>25</v>
      </c>
      <c r="R82" s="0" t="n">
        <f aca="false">P82*Q82</f>
        <v>0</v>
      </c>
    </row>
    <row r="83" customFormat="false" ht="15" hidden="false" customHeight="false" outlineLevel="0" collapsed="false">
      <c r="A83" s="0" t="n">
        <f aca="false">'Stammdaten - Schwimmer'!A89</f>
        <v>87</v>
      </c>
      <c r="B83" s="0" t="n">
        <f aca="false">'Stammdaten - Schwimmer'!B89</f>
        <v>0</v>
      </c>
      <c r="C83" s="0" t="n">
        <f aca="false">'Stammdaten - Schwimmer'!C89</f>
        <v>0</v>
      </c>
      <c r="D83" s="23" t="n">
        <f aca="false">'Stammdaten - Schwimmer'!D89</f>
        <v>0</v>
      </c>
      <c r="E83" s="0" t="n">
        <f aca="false">'Stammdaten - Schwimmer'!E89</f>
        <v>0</v>
      </c>
      <c r="F83" s="0" t="n">
        <f aca="false">'Stammdaten - Schwimmer'!F89</f>
        <v>0</v>
      </c>
      <c r="K83" s="0" t="n">
        <f aca="false">'Stammdaten - Schwimmer'!A85</f>
        <v>83</v>
      </c>
      <c r="L83" s="0" t="n">
        <f aca="false">'Stammdaten - Schwimmer'!B85</f>
        <v>0</v>
      </c>
      <c r="M83" s="0" t="n">
        <f aca="false">'Stammdaten - Schwimmer'!C85</f>
        <v>0</v>
      </c>
      <c r="N83" s="23" t="n">
        <f aca="false">'Stammdaten - Schwimmer'!D85</f>
        <v>0</v>
      </c>
      <c r="O83" s="0" t="n">
        <f aca="false">'Stammdaten - Schwimmer'!E85</f>
        <v>0</v>
      </c>
      <c r="P83" s="0" t="n">
        <f aca="false">'Stammdaten - Schwimmer'!F85</f>
        <v>0</v>
      </c>
      <c r="Q83" s="0" t="n">
        <v>50</v>
      </c>
      <c r="R83" s="0" t="n">
        <f aca="false">P83*Q83</f>
        <v>0</v>
      </c>
    </row>
    <row r="84" customFormat="false" ht="15" hidden="false" customHeight="false" outlineLevel="0" collapsed="false">
      <c r="A84" s="0" t="n">
        <f aca="false">'Stammdaten - Schwimmer'!A90</f>
        <v>88</v>
      </c>
      <c r="B84" s="0" t="n">
        <f aca="false">'Stammdaten - Schwimmer'!B90</f>
        <v>0</v>
      </c>
      <c r="C84" s="0" t="n">
        <f aca="false">'Stammdaten - Schwimmer'!C90</f>
        <v>0</v>
      </c>
      <c r="D84" s="23" t="n">
        <f aca="false">'Stammdaten - Schwimmer'!D90</f>
        <v>0</v>
      </c>
      <c r="E84" s="0" t="n">
        <f aca="false">'Stammdaten - Schwimmer'!E90</f>
        <v>0</v>
      </c>
      <c r="F84" s="0" t="n">
        <f aca="false">'Stammdaten - Schwimmer'!F90</f>
        <v>0</v>
      </c>
      <c r="K84" s="0" t="n">
        <f aca="false">'Stammdaten - Schwimmer'!A86</f>
        <v>84</v>
      </c>
      <c r="L84" s="0" t="n">
        <f aca="false">'Stammdaten - Schwimmer'!B86</f>
        <v>0</v>
      </c>
      <c r="M84" s="0" t="n">
        <f aca="false">'Stammdaten - Schwimmer'!C86</f>
        <v>0</v>
      </c>
      <c r="N84" s="23" t="n">
        <f aca="false">'Stammdaten - Schwimmer'!D86</f>
        <v>0</v>
      </c>
      <c r="O84" s="0" t="n">
        <f aca="false">'Stammdaten - Schwimmer'!E86</f>
        <v>0</v>
      </c>
      <c r="P84" s="0" t="n">
        <f aca="false">'Stammdaten - Schwimmer'!F86</f>
        <v>0</v>
      </c>
      <c r="Q84" s="0" t="n">
        <v>50</v>
      </c>
      <c r="R84" s="0" t="n">
        <f aca="false">P84*Q84</f>
        <v>0</v>
      </c>
    </row>
    <row r="85" customFormat="false" ht="15" hidden="false" customHeight="false" outlineLevel="0" collapsed="false">
      <c r="A85" s="0" t="n">
        <f aca="false">'Stammdaten - Schwimmer'!A82</f>
        <v>80</v>
      </c>
      <c r="B85" s="0" t="n">
        <f aca="false">'Stammdaten - Schwimmer'!B82</f>
        <v>0</v>
      </c>
      <c r="C85" s="0" t="n">
        <f aca="false">'Stammdaten - Schwimmer'!C82</f>
        <v>0</v>
      </c>
      <c r="D85" s="23" t="n">
        <f aca="false">'Stammdaten - Schwimmer'!D82</f>
        <v>0</v>
      </c>
      <c r="E85" s="0" t="n">
        <f aca="false">'Stammdaten - Schwimmer'!E82</f>
        <v>0</v>
      </c>
      <c r="F85" s="0" t="n">
        <f aca="false">'Stammdaten - Schwimmer'!F82</f>
        <v>0</v>
      </c>
      <c r="K85" s="0" t="n">
        <f aca="false">'Stammdaten - Schwimmer'!A87</f>
        <v>85</v>
      </c>
      <c r="L85" s="0" t="n">
        <f aca="false">'Stammdaten - Schwimmer'!B87</f>
        <v>0</v>
      </c>
      <c r="M85" s="0" t="n">
        <f aca="false">'Stammdaten - Schwimmer'!C87</f>
        <v>0</v>
      </c>
      <c r="N85" s="23" t="n">
        <f aca="false">'Stammdaten - Schwimmer'!D87</f>
        <v>0</v>
      </c>
      <c r="O85" s="0" t="n">
        <f aca="false">'Stammdaten - Schwimmer'!E87</f>
        <v>0</v>
      </c>
      <c r="P85" s="0" t="n">
        <f aca="false">'Stammdaten - Schwimmer'!F87</f>
        <v>0</v>
      </c>
      <c r="Q85" s="0" t="n">
        <v>50</v>
      </c>
      <c r="R85" s="0" t="n">
        <f aca="false">P85*Q85</f>
        <v>0</v>
      </c>
    </row>
    <row r="86" customFormat="false" ht="15" hidden="false" customHeight="false" outlineLevel="0" collapsed="false">
      <c r="A86" s="0" t="n">
        <f aca="false">'Stammdaten - Schwimmer'!A72</f>
        <v>70</v>
      </c>
      <c r="B86" s="0" t="n">
        <f aca="false">'Stammdaten - Schwimmer'!B72</f>
        <v>0</v>
      </c>
      <c r="C86" s="0" t="n">
        <f aca="false">'Stammdaten - Schwimmer'!C72</f>
        <v>0</v>
      </c>
      <c r="D86" s="23" t="n">
        <f aca="false">'Stammdaten - Schwimmer'!D72</f>
        <v>0</v>
      </c>
      <c r="E86" s="0" t="n">
        <f aca="false">'Stammdaten - Schwimmer'!E72</f>
        <v>0</v>
      </c>
      <c r="F86" s="0" t="n">
        <f aca="false">'Stammdaten - Schwimmer'!F72</f>
        <v>3116</v>
      </c>
      <c r="K86" s="0" t="n">
        <f aca="false">'Stammdaten - Schwimmer'!A88</f>
        <v>86</v>
      </c>
      <c r="L86" s="0" t="n">
        <f aca="false">'Stammdaten - Schwimmer'!B88</f>
        <v>0</v>
      </c>
      <c r="M86" s="0" t="n">
        <f aca="false">'Stammdaten - Schwimmer'!C88</f>
        <v>0</v>
      </c>
      <c r="N86" s="23" t="n">
        <f aca="false">'Stammdaten - Schwimmer'!D88</f>
        <v>0</v>
      </c>
      <c r="O86" s="0" t="n">
        <f aca="false">'Stammdaten - Schwimmer'!E88</f>
        <v>0</v>
      </c>
      <c r="P86" s="0" t="n">
        <f aca="false">'Stammdaten - Schwimmer'!F88</f>
        <v>0</v>
      </c>
      <c r="Q86" s="0" t="n">
        <v>25</v>
      </c>
      <c r="R86" s="0" t="n">
        <f aca="false">P86*Q86</f>
        <v>0</v>
      </c>
    </row>
    <row r="87" customFormat="false" ht="15" hidden="false" customHeight="false" outlineLevel="0" collapsed="false">
      <c r="A87" s="0" t="n">
        <f aca="false">'Stammdaten - Schwimmer'!A77</f>
        <v>75</v>
      </c>
      <c r="B87" s="0" t="n">
        <f aca="false">'Stammdaten - Schwimmer'!B77</f>
        <v>0</v>
      </c>
      <c r="C87" s="0" t="n">
        <f aca="false">'Stammdaten - Schwimmer'!C77</f>
        <v>0</v>
      </c>
      <c r="D87" s="23" t="n">
        <f aca="false">'Stammdaten - Schwimmer'!D77</f>
        <v>0</v>
      </c>
      <c r="E87" s="0" t="n">
        <f aca="false">'Stammdaten - Schwimmer'!E77</f>
        <v>0</v>
      </c>
      <c r="F87" s="0" t="n">
        <f aca="false">'Stammdaten - Schwimmer'!F77</f>
        <v>0</v>
      </c>
      <c r="K87" s="0" t="n">
        <f aca="false">'Stammdaten - Schwimmer'!A89</f>
        <v>87</v>
      </c>
      <c r="L87" s="0" t="n">
        <f aca="false">'Stammdaten - Schwimmer'!B89</f>
        <v>0</v>
      </c>
      <c r="M87" s="0" t="n">
        <f aca="false">'Stammdaten - Schwimmer'!C89</f>
        <v>0</v>
      </c>
      <c r="N87" s="23" t="n">
        <f aca="false">'Stammdaten - Schwimmer'!D89</f>
        <v>0</v>
      </c>
      <c r="O87" s="0" t="n">
        <f aca="false">'Stammdaten - Schwimmer'!E89</f>
        <v>0</v>
      </c>
      <c r="P87" s="0" t="n">
        <f aca="false">'Stammdaten - Schwimmer'!F89</f>
        <v>0</v>
      </c>
      <c r="Q87" s="0" t="n">
        <v>50</v>
      </c>
      <c r="R87" s="0" t="n">
        <f aca="false">P87*Q87</f>
        <v>0</v>
      </c>
    </row>
    <row r="88" customFormat="false" ht="15" hidden="false" customHeight="false" outlineLevel="0" collapsed="false">
      <c r="A88" s="0" t="n">
        <f aca="false">'Stammdaten - Schwimmer'!A81</f>
        <v>79</v>
      </c>
      <c r="B88" s="0" t="n">
        <f aca="false">'Stammdaten - Schwimmer'!B81</f>
        <v>0</v>
      </c>
      <c r="C88" s="0" t="n">
        <f aca="false">'Stammdaten - Schwimmer'!C81</f>
        <v>0</v>
      </c>
      <c r="D88" s="23" t="n">
        <f aca="false">'Stammdaten - Schwimmer'!D81</f>
        <v>0</v>
      </c>
      <c r="E88" s="0" t="n">
        <f aca="false">'Stammdaten - Schwimmer'!E81</f>
        <v>0</v>
      </c>
      <c r="F88" s="0" t="n">
        <f aca="false">'Stammdaten - Schwimmer'!F81</f>
        <v>0</v>
      </c>
      <c r="K88" s="0" t="n">
        <f aca="false">'Stammdaten - Schwimmer'!A90</f>
        <v>88</v>
      </c>
      <c r="L88" s="0" t="n">
        <f aca="false">'Stammdaten - Schwimmer'!B90</f>
        <v>0</v>
      </c>
      <c r="M88" s="0" t="n">
        <f aca="false">'Stammdaten - Schwimmer'!C90</f>
        <v>0</v>
      </c>
      <c r="N88" s="23" t="n">
        <f aca="false">'Stammdaten - Schwimmer'!D90</f>
        <v>0</v>
      </c>
      <c r="O88" s="0" t="n">
        <f aca="false">'Stammdaten - Schwimmer'!E90</f>
        <v>0</v>
      </c>
      <c r="P88" s="0" t="n">
        <f aca="false">'Stammdaten - Schwimmer'!F90</f>
        <v>0</v>
      </c>
      <c r="Q88" s="0" t="n">
        <v>50</v>
      </c>
      <c r="R88" s="0" t="n">
        <f aca="false">P88*Q88</f>
        <v>0</v>
      </c>
    </row>
    <row r="89" customFormat="false" ht="15" hidden="false" customHeight="false" outlineLevel="0" collapsed="false">
      <c r="A89" s="0" t="n">
        <f aca="false">'Stammdaten - Schwimmer'!A75</f>
        <v>73</v>
      </c>
      <c r="B89" s="0" t="n">
        <f aca="false">'Stammdaten - Schwimmer'!B75</f>
        <v>0</v>
      </c>
      <c r="C89" s="0" t="n">
        <f aca="false">'Stammdaten - Schwimmer'!C75</f>
        <v>66</v>
      </c>
      <c r="D89" s="23" t="n">
        <f aca="false">'Stammdaten - Schwimmer'!D75</f>
        <v>0</v>
      </c>
      <c r="E89" s="0" t="n">
        <f aca="false">'Stammdaten - Schwimmer'!E75</f>
        <v>0</v>
      </c>
      <c r="F89" s="0" t="n">
        <f aca="false">'Stammdaten - Schwimmer'!F75</f>
        <v>0</v>
      </c>
      <c r="K89" s="0" t="n">
        <f aca="false">'Stammdaten - Schwimmer'!A91</f>
        <v>89</v>
      </c>
      <c r="L89" s="0" t="n">
        <f aca="false">'Stammdaten - Schwimmer'!B91</f>
        <v>0</v>
      </c>
      <c r="M89" s="0" t="n">
        <f aca="false">'Stammdaten - Schwimmer'!C91</f>
        <v>0</v>
      </c>
      <c r="N89" s="23" t="n">
        <f aca="false">'Stammdaten - Schwimmer'!D91</f>
        <v>0</v>
      </c>
      <c r="O89" s="0" t="n">
        <f aca="false">'Stammdaten - Schwimmer'!E91</f>
        <v>0</v>
      </c>
      <c r="P89" s="0" t="n">
        <f aca="false">'Stammdaten - Schwimmer'!F91</f>
        <v>0</v>
      </c>
      <c r="Q89" s="0" t="n">
        <v>50</v>
      </c>
      <c r="R89" s="0" t="n">
        <f aca="false">P89*Q89</f>
        <v>0</v>
      </c>
    </row>
    <row r="90" customFormat="false" ht="15" hidden="false" customHeight="false" outlineLevel="0" collapsed="false">
      <c r="A90" s="0" t="n">
        <f aca="false">'Stammdaten - Schwimmer'!A86</f>
        <v>84</v>
      </c>
      <c r="B90" s="0" t="n">
        <f aca="false">'Stammdaten - Schwimmer'!B86</f>
        <v>0</v>
      </c>
      <c r="C90" s="0" t="n">
        <f aca="false">'Stammdaten - Schwimmer'!C86</f>
        <v>0</v>
      </c>
      <c r="D90" s="23" t="n">
        <f aca="false">'Stammdaten - Schwimmer'!D86</f>
        <v>0</v>
      </c>
      <c r="E90" s="0" t="n">
        <f aca="false">'Stammdaten - Schwimmer'!E86</f>
        <v>0</v>
      </c>
      <c r="F90" s="0" t="n">
        <f aca="false">'Stammdaten - Schwimmer'!F86</f>
        <v>0</v>
      </c>
      <c r="K90" s="0" t="s">
        <v>121</v>
      </c>
    </row>
    <row r="91" customFormat="false" ht="28.35" hidden="false" customHeight="false" outlineLevel="0" collapsed="false">
      <c r="A91" s="0" t="n">
        <f aca="false">'Stammdaten - Schwimmer'!A91</f>
        <v>89</v>
      </c>
      <c r="B91" s="0" t="n">
        <f aca="false">'Stammdaten - Schwimmer'!B91</f>
        <v>0</v>
      </c>
      <c r="C91" s="0" t="n">
        <f aca="false">'Stammdaten - Schwimmer'!C91</f>
        <v>0</v>
      </c>
      <c r="D91" s="23" t="n">
        <f aca="false">'Stammdaten - Schwimmer'!D91</f>
        <v>0</v>
      </c>
      <c r="E91" s="0" t="n">
        <f aca="false">'Stammdaten - Schwimmer'!E91</f>
        <v>0</v>
      </c>
      <c r="F91" s="0" t="n">
        <f aca="false">'Stammdaten - Schwimmer'!F91</f>
        <v>0</v>
      </c>
      <c r="K91" s="0" t="str">
        <f aca="false">'Stammdaten - Schwimmer'!A3</f>
        <v>Nummer</v>
      </c>
      <c r="L91" s="0" t="str">
        <f aca="false">'Stammdaten - Schwimmer'!B3</f>
        <v>Name </v>
      </c>
      <c r="M91" s="0" t="str">
        <f aca="false">'Stammdaten - Schwimmer'!C3</f>
        <v>Vormname</v>
      </c>
      <c r="N91" s="23" t="str">
        <f aca="false">'Stammdaten - Schwimmer'!D3</f>
        <v>Geburtstag</v>
      </c>
      <c r="O91" s="0" t="str">
        <f aca="false">'Stammdaten - Schwimmer'!E3</f>
        <v>Mannschaft</v>
      </c>
      <c r="P91" s="0" t="str">
        <f aca="false">'Stammdaten - Schwimmer'!F3</f>
        <v>Anzahl
Bahnen</v>
      </c>
      <c r="R91" s="0" t="s">
        <v>122</v>
      </c>
    </row>
    <row r="92" customFormat="false" ht="15" hidden="false" customHeight="false" outlineLevel="0" collapsed="false">
      <c r="A92" s="0" t="n">
        <f aca="false">'Stammdaten - Schwimmer'!A87</f>
        <v>85</v>
      </c>
      <c r="B92" s="0" t="n">
        <f aca="false">'Stammdaten - Schwimmer'!B87</f>
        <v>0</v>
      </c>
      <c r="C92" s="0" t="n">
        <f aca="false">'Stammdaten - Schwimmer'!C87</f>
        <v>0</v>
      </c>
      <c r="D92" s="23" t="n">
        <f aca="false">'Stammdaten - Schwimmer'!D87</f>
        <v>0</v>
      </c>
      <c r="E92" s="0" t="n">
        <f aca="false">'Stammdaten - Schwimmer'!E87</f>
        <v>0</v>
      </c>
      <c r="F92" s="0" t="n">
        <f aca="false">'Stammdaten - Schwimmer'!F87</f>
        <v>0</v>
      </c>
      <c r="K92" s="0" t="e">
        <f aca="false">'stammdaten - schwimmer'!#ref!</f>
        <v>#VALUE!</v>
      </c>
      <c r="L92" s="0" t="e">
        <f aca="false">'stammdaten - schwimmer'!#ref!</f>
        <v>#VALUE!</v>
      </c>
      <c r="M92" s="0" t="e">
        <f aca="false">'stammdaten - schwimmer'!#ref!</f>
        <v>#VALUE!</v>
      </c>
      <c r="N92" s="23" t="e">
        <f aca="false">'stammdaten - schwimmer'!#ref!</f>
        <v>#VALUE!</v>
      </c>
      <c r="O92" s="0" t="e">
        <f aca="false">'stammdaten - schwimmer'!#ref!</f>
        <v>#VALUE!</v>
      </c>
      <c r="P92" s="0" t="e">
        <f aca="false">'stammdaten - schwimmer'!#ref!</f>
        <v>#VALUE!</v>
      </c>
      <c r="Q92" s="0" t="n">
        <v>50</v>
      </c>
      <c r="R92" s="0" t="e">
        <f aca="false">P92*Q92</f>
        <v>#VALUE!</v>
      </c>
    </row>
    <row r="93" customFormat="false" ht="15" hidden="false" customHeight="false" outlineLevel="0" collapsed="false">
      <c r="A93" s="0" t="n">
        <f aca="false">'Stammdaten - Schwimmer'!A85</f>
        <v>83</v>
      </c>
      <c r="B93" s="0" t="n">
        <f aca="false">'Stammdaten - Schwimmer'!B85</f>
        <v>0</v>
      </c>
      <c r="C93" s="0" t="n">
        <f aca="false">'Stammdaten - Schwimmer'!C85</f>
        <v>0</v>
      </c>
      <c r="D93" s="23" t="n">
        <f aca="false">'Stammdaten - Schwimmer'!D85</f>
        <v>0</v>
      </c>
      <c r="E93" s="0" t="n">
        <f aca="false">'Stammdaten - Schwimmer'!E85</f>
        <v>0</v>
      </c>
      <c r="F93" s="0" t="n">
        <f aca="false">'Stammdaten - Schwimmer'!F85</f>
        <v>0</v>
      </c>
      <c r="K93" s="0" t="e">
        <f aca="false">'stammdaten - schwimmer'!#ref!</f>
        <v>#VALUE!</v>
      </c>
      <c r="L93" s="0" t="e">
        <f aca="false">'stammdaten - schwimmer'!#ref!</f>
        <v>#VALUE!</v>
      </c>
      <c r="M93" s="0" t="e">
        <f aca="false">'stammdaten - schwimmer'!#ref!</f>
        <v>#VALUE!</v>
      </c>
      <c r="N93" s="23" t="e">
        <f aca="false">'stammdaten - schwimmer'!#ref!</f>
        <v>#VALUE!</v>
      </c>
      <c r="O93" s="0" t="e">
        <f aca="false">'stammdaten - schwimmer'!#ref!</f>
        <v>#VALUE!</v>
      </c>
      <c r="P93" s="0" t="e">
        <f aca="false">'stammdaten - schwimmer'!#ref!</f>
        <v>#VALUE!</v>
      </c>
      <c r="Q93" s="0" t="n">
        <v>50</v>
      </c>
      <c r="R93" s="0" t="e">
        <f aca="false">P93*Q93</f>
        <v>#VALUE!</v>
      </c>
    </row>
    <row r="94" customFormat="false" ht="15" hidden="false" customHeight="false" outlineLevel="0" collapsed="false">
      <c r="A94" s="0" t="n">
        <f aca="false">'Stammdaten - Schwimmer'!A35</f>
        <v>33</v>
      </c>
      <c r="B94" s="0" t="n">
        <f aca="false">'Stammdaten - Schwimmer'!B35</f>
        <v>0</v>
      </c>
      <c r="C94" s="0" t="n">
        <f aca="false">'Stammdaten - Schwimmer'!C35</f>
        <v>0</v>
      </c>
      <c r="D94" s="23" t="n">
        <f aca="false">'Stammdaten - Schwimmer'!D35</f>
        <v>0</v>
      </c>
      <c r="E94" s="0" t="n">
        <f aca="false">'Stammdaten - Schwimmer'!E35</f>
        <v>0</v>
      </c>
      <c r="F94" s="0" t="n">
        <f aca="false">'Stammdaten - Schwimmer'!F35</f>
        <v>0</v>
      </c>
      <c r="K94" s="0" t="e">
        <f aca="false">'stammdaten - schwimmer'!#ref!</f>
        <v>#VALUE!</v>
      </c>
      <c r="L94" s="0" t="e">
        <f aca="false">'stammdaten - schwimmer'!#ref!</f>
        <v>#VALUE!</v>
      </c>
      <c r="M94" s="0" t="e">
        <f aca="false">'stammdaten - schwimmer'!#ref!</f>
        <v>#VALUE!</v>
      </c>
      <c r="N94" s="23" t="e">
        <f aca="false">'stammdaten - schwimmer'!#ref!</f>
        <v>#VALUE!</v>
      </c>
      <c r="O94" s="0" t="e">
        <f aca="false">'stammdaten - schwimmer'!#ref!</f>
        <v>#VALUE!</v>
      </c>
      <c r="P94" s="0" t="e">
        <f aca="false">'stammdaten - schwimmer'!#ref!</f>
        <v>#VALUE!</v>
      </c>
      <c r="Q94" s="0" t="n">
        <v>25</v>
      </c>
      <c r="R94" s="0" t="e">
        <f aca="false">P94*Q94</f>
        <v>#VALUE!</v>
      </c>
    </row>
    <row r="95" customFormat="false" ht="15" hidden="false" customHeight="false" outlineLevel="0" collapsed="false">
      <c r="P95" s="0" t="e">
        <f aca="false">SUM(P3:P94)</f>
        <v>#VALUE!</v>
      </c>
      <c r="R95" s="0" t="e">
        <f aca="false">SUM(R3:R94)</f>
        <v>#VALUE!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1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E102" activeCellId="0" sqref="E102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1" width="20"/>
    <col collapsed="false" customWidth="true" hidden="false" outlineLevel="0" max="3" min="3" style="1" width="18.57"/>
    <col collapsed="false" customWidth="true" hidden="false" outlineLevel="0" max="4" min="4" style="1" width="36.42"/>
    <col collapsed="false" customWidth="true" hidden="false" outlineLevel="0" max="5" min="5" style="1" width="11.43"/>
    <col collapsed="false" customWidth="true" hidden="false" outlineLevel="0" max="6" min="6" style="1" width="13.42"/>
    <col collapsed="false" customWidth="true" hidden="false" outlineLevel="0" max="7" min="7" style="1" width="14.42"/>
    <col collapsed="false" customWidth="true" hidden="false" outlineLevel="0" max="8" min="8" style="1" width="13.71"/>
    <col collapsed="false" customWidth="true" hidden="false" outlineLevel="0" max="9" min="9" style="1" width="14.29"/>
    <col collapsed="false" customWidth="true" hidden="false" outlineLevel="0" max="10" min="10" style="1" width="14.42"/>
    <col collapsed="false" customWidth="true" hidden="false" outlineLevel="0" max="11" min="11" style="1" width="15.42"/>
    <col collapsed="false" customWidth="true" hidden="false" outlineLevel="0" max="12" min="12" style="1" width="15"/>
    <col collapsed="false" customWidth="true" hidden="false" outlineLevel="0" max="13" min="13" style="1" width="14.57"/>
    <col collapsed="false" customWidth="true" hidden="false" outlineLevel="0" max="14" min="14" style="0" width="17.29"/>
  </cols>
  <sheetData>
    <row r="1" customFormat="false" ht="15" hidden="false" customHeight="false" outlineLevel="0" collapsed="false">
      <c r="A1" s="3" t="s">
        <v>123</v>
      </c>
    </row>
    <row r="2" customFormat="false" ht="15" hidden="false" customHeight="false" outlineLevel="0" collapsed="false">
      <c r="A2" s="3"/>
    </row>
    <row r="3" customFormat="false" ht="41.75" hidden="false" customHeight="false" outlineLevel="0" collapsed="false">
      <c r="A3" s="24" t="s">
        <v>2</v>
      </c>
      <c r="B3" s="24" t="s">
        <v>124</v>
      </c>
      <c r="C3" s="24" t="s">
        <v>125</v>
      </c>
      <c r="D3" s="1" t="s">
        <v>126</v>
      </c>
      <c r="E3" s="24" t="s">
        <v>127</v>
      </c>
      <c r="F3" s="24" t="s">
        <v>128</v>
      </c>
      <c r="G3" s="24" t="s">
        <v>128</v>
      </c>
      <c r="H3" s="24" t="s">
        <v>128</v>
      </c>
      <c r="I3" s="24" t="s">
        <v>128</v>
      </c>
      <c r="J3" s="24" t="s">
        <v>128</v>
      </c>
      <c r="K3" s="24" t="s">
        <v>128</v>
      </c>
      <c r="L3" s="24" t="s">
        <v>128</v>
      </c>
      <c r="M3" s="24" t="s">
        <v>128</v>
      </c>
      <c r="N3" s="24" t="s">
        <v>128</v>
      </c>
    </row>
    <row r="4" customFormat="false" ht="15" hidden="false" customHeight="false" outlineLevel="0" collapsed="false">
      <c r="A4" s="1" t="n">
        <v>1001</v>
      </c>
      <c r="B4" s="25" t="s">
        <v>129</v>
      </c>
      <c r="C4" s="25" t="s">
        <v>130</v>
      </c>
      <c r="D4" s="25"/>
    </row>
    <row r="5" customFormat="false" ht="15" hidden="false" customHeight="false" outlineLevel="0" collapsed="false">
      <c r="A5" s="1" t="n">
        <v>1002</v>
      </c>
      <c r="B5" s="25" t="s">
        <v>131</v>
      </c>
      <c r="C5" s="25" t="s">
        <v>130</v>
      </c>
      <c r="D5" s="25" t="s">
        <v>132</v>
      </c>
      <c r="F5" s="1" t="n">
        <v>502</v>
      </c>
      <c r="G5" s="1" t="n">
        <v>3</v>
      </c>
      <c r="H5" s="1" t="n">
        <v>7</v>
      </c>
      <c r="I5" s="1" t="n">
        <v>8</v>
      </c>
      <c r="J5" s="1" t="n">
        <v>10</v>
      </c>
      <c r="K5" s="1" t="n">
        <v>11</v>
      </c>
      <c r="L5" s="1" t="n">
        <v>25</v>
      </c>
      <c r="M5" s="1" t="n">
        <v>30</v>
      </c>
      <c r="N5" s="1" t="n">
        <v>31</v>
      </c>
      <c r="O5" s="1" t="n">
        <v>32</v>
      </c>
      <c r="P5" s="1" t="n">
        <v>34</v>
      </c>
      <c r="Q5" s="1" t="n">
        <v>50</v>
      </c>
      <c r="R5" s="1" t="n">
        <v>58</v>
      </c>
      <c r="S5" s="1" t="n">
        <v>59</v>
      </c>
      <c r="T5" s="1" t="n">
        <v>60</v>
      </c>
      <c r="U5" s="1" t="n">
        <v>61</v>
      </c>
      <c r="V5" s="1" t="n">
        <v>63</v>
      </c>
    </row>
    <row r="6" customFormat="false" ht="28.35" hidden="false" customHeight="false" outlineLevel="0" collapsed="false">
      <c r="A6" s="1" t="n">
        <v>1003</v>
      </c>
      <c r="B6" s="26" t="s">
        <v>133</v>
      </c>
      <c r="C6" s="25" t="s">
        <v>134</v>
      </c>
      <c r="D6" s="25" t="s">
        <v>135</v>
      </c>
      <c r="F6" s="1" t="n">
        <v>503</v>
      </c>
      <c r="G6" s="1" t="n">
        <v>2</v>
      </c>
      <c r="H6" s="1" t="n">
        <v>5</v>
      </c>
      <c r="I6" s="1" t="n">
        <v>6</v>
      </c>
      <c r="J6" s="1" t="n">
        <v>9</v>
      </c>
      <c r="K6" s="1" t="n">
        <v>13</v>
      </c>
      <c r="L6" s="1" t="n">
        <v>14</v>
      </c>
      <c r="M6" s="1" t="n">
        <v>15</v>
      </c>
      <c r="N6" s="1" t="n">
        <v>16</v>
      </c>
      <c r="O6" s="1" t="n">
        <v>17</v>
      </c>
      <c r="P6" s="1" t="n">
        <v>18</v>
      </c>
      <c r="Q6" s="1" t="n">
        <v>23</v>
      </c>
      <c r="R6" s="1" t="n">
        <v>24</v>
      </c>
      <c r="S6" s="1" t="n">
        <v>26</v>
      </c>
      <c r="T6" s="1" t="n">
        <v>47</v>
      </c>
      <c r="U6" s="1" t="n">
        <v>48</v>
      </c>
      <c r="V6" s="1" t="n">
        <v>49</v>
      </c>
      <c r="W6" s="1" t="n">
        <v>55</v>
      </c>
      <c r="X6" s="1" t="n">
        <v>56</v>
      </c>
      <c r="Y6" s="1" t="n">
        <v>62</v>
      </c>
      <c r="Z6" s="1" t="n">
        <v>65</v>
      </c>
    </row>
    <row r="7" customFormat="false" ht="15" hidden="false" customHeight="false" outlineLevel="0" collapsed="false">
      <c r="A7" s="1" t="n">
        <v>1004</v>
      </c>
      <c r="B7" s="27" t="s">
        <v>136</v>
      </c>
      <c r="C7" s="25" t="s">
        <v>137</v>
      </c>
      <c r="D7" s="25" t="s">
        <v>138</v>
      </c>
      <c r="F7" s="1" t="n">
        <v>504</v>
      </c>
      <c r="G7" s="1" t="n">
        <v>2</v>
      </c>
      <c r="H7" s="1" t="n">
        <v>17</v>
      </c>
      <c r="I7" s="1" t="n">
        <v>18</v>
      </c>
      <c r="J7" s="1" t="n">
        <v>23</v>
      </c>
      <c r="K7" s="1" t="n">
        <v>24</v>
      </c>
      <c r="L7" s="1" t="n">
        <v>65</v>
      </c>
    </row>
    <row r="8" customFormat="false" ht="15" hidden="false" customHeight="false" outlineLevel="0" collapsed="false">
      <c r="A8" s="1" t="n">
        <v>1005</v>
      </c>
      <c r="B8" s="28" t="s">
        <v>139</v>
      </c>
      <c r="C8" s="25" t="s">
        <v>140</v>
      </c>
      <c r="D8" s="25" t="s">
        <v>141</v>
      </c>
      <c r="F8" s="1" t="n">
        <v>505</v>
      </c>
      <c r="H8" s="1" t="n">
        <v>4</v>
      </c>
      <c r="I8" s="1" t="n">
        <v>5</v>
      </c>
      <c r="J8" s="1" t="n">
        <v>12</v>
      </c>
    </row>
    <row r="9" customFormat="false" ht="15" hidden="false" customHeight="false" outlineLevel="0" collapsed="false">
      <c r="A9" s="1" t="n">
        <v>1006</v>
      </c>
      <c r="B9" s="28" t="s">
        <v>142</v>
      </c>
      <c r="C9" s="25" t="s">
        <v>143</v>
      </c>
      <c r="D9" s="25" t="s">
        <v>144</v>
      </c>
      <c r="E9" s="1" t="s">
        <v>145</v>
      </c>
      <c r="F9" s="1" t="n">
        <v>2</v>
      </c>
    </row>
    <row r="10" customFormat="false" ht="15" hidden="false" customHeight="false" outlineLevel="0" collapsed="false">
      <c r="A10" s="1" t="n">
        <v>1007</v>
      </c>
      <c r="B10" s="27" t="s">
        <v>13</v>
      </c>
      <c r="C10" s="25" t="s">
        <v>14</v>
      </c>
      <c r="D10" s="25" t="s">
        <v>146</v>
      </c>
      <c r="F10" s="1" t="n">
        <v>2</v>
      </c>
    </row>
    <row r="11" customFormat="false" ht="15" hidden="false" customHeight="false" outlineLevel="0" collapsed="false">
      <c r="A11" s="1" t="n">
        <v>1008</v>
      </c>
      <c r="B11" s="27" t="s">
        <v>147</v>
      </c>
      <c r="C11" s="25" t="s">
        <v>148</v>
      </c>
      <c r="D11" s="25" t="s">
        <v>149</v>
      </c>
      <c r="F11" s="1" t="n">
        <v>3</v>
      </c>
      <c r="H11" s="1" t="n">
        <v>7</v>
      </c>
      <c r="I11" s="1" t="n">
        <v>8</v>
      </c>
    </row>
    <row r="12" customFormat="false" ht="15" hidden="false" customHeight="false" outlineLevel="0" collapsed="false">
      <c r="A12" s="1" t="n">
        <v>1009</v>
      </c>
      <c r="B12" s="27" t="s">
        <v>73</v>
      </c>
      <c r="C12" s="25" t="s">
        <v>150</v>
      </c>
      <c r="D12" s="25" t="s">
        <v>141</v>
      </c>
      <c r="F12" s="1" t="n">
        <v>4</v>
      </c>
      <c r="H12" s="1" t="n">
        <v>5</v>
      </c>
    </row>
    <row r="13" customFormat="false" ht="15" hidden="false" customHeight="false" outlineLevel="0" collapsed="false">
      <c r="A13" s="1" t="n">
        <v>1010</v>
      </c>
      <c r="B13" s="1" t="s">
        <v>151</v>
      </c>
      <c r="C13" s="1" t="s">
        <v>152</v>
      </c>
      <c r="D13" s="1" t="s">
        <v>153</v>
      </c>
      <c r="F13" s="1" t="n">
        <v>5</v>
      </c>
    </row>
    <row r="14" customFormat="false" ht="15" hidden="false" customHeight="false" outlineLevel="0" collapsed="false">
      <c r="A14" s="1" t="n">
        <v>1011</v>
      </c>
      <c r="B14" s="27" t="s">
        <v>27</v>
      </c>
      <c r="C14" s="25" t="s">
        <v>28</v>
      </c>
      <c r="D14" s="25" t="s">
        <v>154</v>
      </c>
      <c r="F14" s="1" t="n">
        <v>10</v>
      </c>
    </row>
    <row r="15" customFormat="false" ht="15" hidden="false" customHeight="false" outlineLevel="0" collapsed="false">
      <c r="A15" s="1" t="n">
        <v>1012</v>
      </c>
      <c r="B15" s="25" t="s">
        <v>99</v>
      </c>
      <c r="C15" s="25" t="s">
        <v>155</v>
      </c>
      <c r="D15" s="1" t="s">
        <v>156</v>
      </c>
      <c r="E15" s="1" t="n">
        <v>100</v>
      </c>
      <c r="F15" s="1" t="n">
        <v>11</v>
      </c>
    </row>
    <row r="16" customFormat="false" ht="15" hidden="false" customHeight="false" outlineLevel="0" collapsed="false">
      <c r="A16" s="1" t="n">
        <v>1013</v>
      </c>
      <c r="B16" s="27" t="s">
        <v>157</v>
      </c>
      <c r="C16" s="25" t="s">
        <v>158</v>
      </c>
      <c r="D16" s="25" t="s">
        <v>159</v>
      </c>
      <c r="E16" s="1" t="n">
        <v>100</v>
      </c>
      <c r="F16" s="1" t="n">
        <v>11</v>
      </c>
    </row>
    <row r="17" customFormat="false" ht="15" hidden="false" customHeight="false" outlineLevel="0" collapsed="false">
      <c r="A17" s="1" t="n">
        <v>1014</v>
      </c>
      <c r="B17" s="27" t="s">
        <v>160</v>
      </c>
      <c r="C17" s="25" t="s">
        <v>161</v>
      </c>
      <c r="D17" s="25" t="s">
        <v>162</v>
      </c>
      <c r="E17" s="1" t="n">
        <v>50</v>
      </c>
      <c r="F17" s="1" t="n">
        <v>15</v>
      </c>
    </row>
    <row r="18" customFormat="false" ht="15" hidden="false" customHeight="false" outlineLevel="0" collapsed="false">
      <c r="A18" s="1" t="n">
        <v>1015</v>
      </c>
      <c r="B18" s="27" t="s">
        <v>36</v>
      </c>
      <c r="C18" s="25" t="s">
        <v>163</v>
      </c>
      <c r="D18" s="25" t="s">
        <v>164</v>
      </c>
      <c r="E18" s="1" t="n">
        <v>10</v>
      </c>
      <c r="F18" s="1" t="n">
        <v>15</v>
      </c>
    </row>
    <row r="19" customFormat="false" ht="15" hidden="false" customHeight="false" outlineLevel="0" collapsed="false">
      <c r="A19" s="1" t="n">
        <v>1016</v>
      </c>
      <c r="B19" s="27" t="s">
        <v>43</v>
      </c>
      <c r="C19" s="25" t="s">
        <v>165</v>
      </c>
      <c r="D19" s="25" t="s">
        <v>166</v>
      </c>
      <c r="E19" s="1" t="n">
        <v>100</v>
      </c>
      <c r="F19" s="1" t="n">
        <v>19</v>
      </c>
    </row>
    <row r="20" customFormat="false" ht="15" hidden="false" customHeight="false" outlineLevel="0" collapsed="false">
      <c r="A20" s="1" t="n">
        <v>1017</v>
      </c>
      <c r="B20" s="25" t="s">
        <v>167</v>
      </c>
      <c r="C20" s="25" t="s">
        <v>168</v>
      </c>
      <c r="D20" s="25" t="s">
        <v>169</v>
      </c>
      <c r="F20" s="1" t="n">
        <v>20</v>
      </c>
    </row>
    <row r="21" customFormat="false" ht="15" hidden="false" customHeight="false" outlineLevel="0" collapsed="false">
      <c r="A21" s="1" t="n">
        <v>1018</v>
      </c>
      <c r="B21" s="25" t="s">
        <v>170</v>
      </c>
      <c r="C21" s="25"/>
      <c r="D21" s="25" t="s">
        <v>171</v>
      </c>
      <c r="F21" s="1" t="n">
        <v>21</v>
      </c>
      <c r="G21" s="1" t="n">
        <v>22</v>
      </c>
      <c r="H21" s="1" t="n">
        <v>57</v>
      </c>
    </row>
    <row r="22" customFormat="false" ht="15" hidden="false" customHeight="false" outlineLevel="0" collapsed="false">
      <c r="A22" s="1" t="n">
        <v>1019</v>
      </c>
      <c r="B22" s="25" t="s">
        <v>172</v>
      </c>
      <c r="C22" s="25" t="s">
        <v>130</v>
      </c>
      <c r="D22" s="25" t="s">
        <v>173</v>
      </c>
      <c r="E22" s="1" t="n">
        <v>50</v>
      </c>
      <c r="F22" s="1" t="n">
        <v>23</v>
      </c>
    </row>
    <row r="23" customFormat="false" ht="15" hidden="false" customHeight="false" outlineLevel="0" collapsed="false">
      <c r="A23" s="1" t="n">
        <v>1020</v>
      </c>
      <c r="B23" s="25" t="s">
        <v>174</v>
      </c>
      <c r="C23" s="25" t="s">
        <v>175</v>
      </c>
      <c r="D23" s="25" t="s">
        <v>176</v>
      </c>
      <c r="F23" s="1" t="n">
        <v>27</v>
      </c>
    </row>
    <row r="24" customFormat="false" ht="15" hidden="false" customHeight="false" outlineLevel="0" collapsed="false">
      <c r="A24" s="1" t="n">
        <v>1021</v>
      </c>
      <c r="B24" s="25" t="s">
        <v>58</v>
      </c>
      <c r="C24" s="25" t="s">
        <v>60</v>
      </c>
      <c r="D24" s="25" t="s">
        <v>177</v>
      </c>
      <c r="E24" s="1" t="n">
        <v>50</v>
      </c>
      <c r="F24" s="1" t="n">
        <v>28</v>
      </c>
      <c r="G24" s="1" t="n">
        <v>29</v>
      </c>
    </row>
    <row r="25" customFormat="false" ht="15" hidden="false" customHeight="false" outlineLevel="0" collapsed="false">
      <c r="A25" s="1" t="n">
        <v>1022</v>
      </c>
      <c r="B25" s="25" t="s">
        <v>178</v>
      </c>
      <c r="C25" s="25" t="s">
        <v>179</v>
      </c>
      <c r="D25" s="25" t="s">
        <v>180</v>
      </c>
      <c r="E25" s="1" t="n">
        <v>50</v>
      </c>
      <c r="F25" s="1" t="n">
        <v>30</v>
      </c>
      <c r="G25" s="1" t="n">
        <v>34</v>
      </c>
      <c r="H25" s="1" t="n">
        <v>32</v>
      </c>
    </row>
    <row r="26" customFormat="false" ht="15" hidden="false" customHeight="false" outlineLevel="0" collapsed="false">
      <c r="A26" s="1" t="n">
        <v>1023</v>
      </c>
      <c r="B26" s="25" t="s">
        <v>181</v>
      </c>
      <c r="C26" s="25" t="s">
        <v>182</v>
      </c>
      <c r="D26" s="25" t="s">
        <v>183</v>
      </c>
      <c r="E26" s="1" t="n">
        <v>50</v>
      </c>
      <c r="F26" s="1" t="n">
        <v>30</v>
      </c>
      <c r="G26" s="1" t="n">
        <v>34</v>
      </c>
      <c r="H26" s="1" t="n">
        <v>32</v>
      </c>
    </row>
    <row r="27" customFormat="false" ht="15" hidden="false" customHeight="false" outlineLevel="0" collapsed="false">
      <c r="A27" s="1" t="n">
        <v>1024</v>
      </c>
      <c r="B27" s="25" t="s">
        <v>184</v>
      </c>
      <c r="C27" s="25" t="s">
        <v>185</v>
      </c>
      <c r="D27" s="25" t="s">
        <v>186</v>
      </c>
      <c r="E27" s="1" t="n">
        <v>50</v>
      </c>
      <c r="F27" s="1" t="n">
        <v>30</v>
      </c>
      <c r="G27" s="1" t="n">
        <v>34</v>
      </c>
      <c r="H27" s="1" t="n">
        <v>32</v>
      </c>
    </row>
    <row r="28" customFormat="false" ht="15" hidden="false" customHeight="false" outlineLevel="0" collapsed="false">
      <c r="A28" s="1" t="n">
        <v>1025</v>
      </c>
      <c r="B28" s="25" t="s">
        <v>187</v>
      </c>
      <c r="C28" s="28" t="s">
        <v>188</v>
      </c>
      <c r="D28" s="25"/>
      <c r="F28" s="1" t="n">
        <v>36</v>
      </c>
      <c r="G28" s="1" t="n">
        <v>37</v>
      </c>
      <c r="H28" s="1" t="n">
        <v>38</v>
      </c>
      <c r="I28" s="1" t="n">
        <v>39</v>
      </c>
      <c r="J28" s="1" t="n">
        <v>40</v>
      </c>
      <c r="K28" s="1" t="n">
        <v>41</v>
      </c>
      <c r="L28" s="1" t="n">
        <v>42</v>
      </c>
      <c r="M28" s="1" t="n">
        <v>43</v>
      </c>
      <c r="N28" s="1" t="n">
        <v>44</v>
      </c>
      <c r="O28" s="1" t="n">
        <v>45</v>
      </c>
      <c r="P28" s="1" t="n">
        <v>46</v>
      </c>
    </row>
    <row r="29" customFormat="false" ht="15" hidden="false" customHeight="false" outlineLevel="0" collapsed="false">
      <c r="A29" s="1" t="n">
        <v>1026</v>
      </c>
      <c r="B29" s="25"/>
      <c r="C29" s="25"/>
      <c r="D29" s="25"/>
    </row>
    <row r="30" customFormat="false" ht="15" hidden="false" customHeight="false" outlineLevel="0" collapsed="false">
      <c r="A30" s="1" t="n">
        <v>1027</v>
      </c>
      <c r="B30" s="25"/>
      <c r="C30" s="25"/>
      <c r="D30" s="25"/>
    </row>
    <row r="31" customFormat="false" ht="15" hidden="false" customHeight="false" outlineLevel="0" collapsed="false">
      <c r="A31" s="1" t="n">
        <v>1028</v>
      </c>
      <c r="B31" s="25"/>
      <c r="C31" s="25"/>
      <c r="D31" s="25"/>
    </row>
    <row r="32" customFormat="false" ht="15" hidden="false" customHeight="false" outlineLevel="0" collapsed="false">
      <c r="A32" s="1" t="n">
        <v>1029</v>
      </c>
    </row>
    <row r="33" customFormat="false" ht="15" hidden="false" customHeight="false" outlineLevel="0" collapsed="false">
      <c r="A33" s="1" t="n">
        <v>1030</v>
      </c>
      <c r="B33" s="25"/>
      <c r="C33" s="25"/>
      <c r="D33" s="25"/>
    </row>
    <row r="34" customFormat="false" ht="15" hidden="false" customHeight="false" outlineLevel="0" collapsed="false">
      <c r="A34" s="1" t="n">
        <v>1031</v>
      </c>
      <c r="B34" s="25" t="s">
        <v>189</v>
      </c>
      <c r="C34" s="25" t="s">
        <v>148</v>
      </c>
      <c r="D34" s="25" t="s">
        <v>190</v>
      </c>
      <c r="E34" s="1" t="n">
        <v>70</v>
      </c>
    </row>
    <row r="35" customFormat="false" ht="15" hidden="false" customHeight="false" outlineLevel="0" collapsed="false">
      <c r="A35" s="1" t="n">
        <v>1032</v>
      </c>
      <c r="B35" s="25" t="s">
        <v>43</v>
      </c>
      <c r="C35" s="25" t="s">
        <v>191</v>
      </c>
      <c r="D35" s="25" t="s">
        <v>192</v>
      </c>
    </row>
    <row r="36" customFormat="false" ht="15" hidden="false" customHeight="false" outlineLevel="0" collapsed="false">
      <c r="A36" s="1" t="n">
        <v>1033</v>
      </c>
      <c r="B36" s="25" t="s">
        <v>160</v>
      </c>
      <c r="C36" s="25" t="s">
        <v>193</v>
      </c>
      <c r="D36" s="25" t="s">
        <v>194</v>
      </c>
    </row>
    <row r="37" customFormat="false" ht="15" hidden="false" customHeight="false" outlineLevel="0" collapsed="false">
      <c r="A37" s="1" t="n">
        <v>1034</v>
      </c>
      <c r="B37" s="25" t="s">
        <v>87</v>
      </c>
      <c r="C37" s="25" t="s">
        <v>195</v>
      </c>
      <c r="D37" s="25" t="s">
        <v>196</v>
      </c>
      <c r="F37" s="1" t="n">
        <v>50</v>
      </c>
    </row>
    <row r="38" customFormat="false" ht="15" hidden="false" customHeight="false" outlineLevel="0" collapsed="false">
      <c r="A38" s="1" t="n">
        <v>1035</v>
      </c>
      <c r="B38" s="25" t="s">
        <v>197</v>
      </c>
      <c r="C38" s="25" t="s">
        <v>198</v>
      </c>
      <c r="D38" s="25" t="s">
        <v>199</v>
      </c>
      <c r="E38" s="1" t="n">
        <v>100</v>
      </c>
    </row>
    <row r="39" customFormat="false" ht="15" hidden="false" customHeight="false" outlineLevel="0" collapsed="false">
      <c r="A39" s="1" t="n">
        <v>1036</v>
      </c>
      <c r="B39" s="25" t="s">
        <v>200</v>
      </c>
      <c r="C39" s="25" t="s">
        <v>201</v>
      </c>
      <c r="D39" s="25" t="s">
        <v>202</v>
      </c>
      <c r="E39" s="1" t="n">
        <v>40</v>
      </c>
    </row>
    <row r="40" customFormat="false" ht="15" hidden="false" customHeight="false" outlineLevel="0" collapsed="false">
      <c r="A40" s="1" t="n">
        <v>1037</v>
      </c>
      <c r="B40" s="25" t="s">
        <v>203</v>
      </c>
      <c r="C40" s="25" t="s">
        <v>204</v>
      </c>
      <c r="D40" s="25" t="s">
        <v>199</v>
      </c>
    </row>
    <row r="41" customFormat="false" ht="15" hidden="false" customHeight="false" outlineLevel="0" collapsed="false">
      <c r="A41" s="1" t="n">
        <v>1038</v>
      </c>
      <c r="B41" s="25" t="s">
        <v>205</v>
      </c>
      <c r="C41" s="25" t="s">
        <v>206</v>
      </c>
      <c r="D41" s="25" t="s">
        <v>207</v>
      </c>
    </row>
    <row r="42" customFormat="false" ht="15" hidden="false" customHeight="false" outlineLevel="0" collapsed="false">
      <c r="A42" s="1" t="n">
        <v>1039</v>
      </c>
      <c r="B42" s="25" t="s">
        <v>208</v>
      </c>
      <c r="C42" s="25" t="s">
        <v>209</v>
      </c>
      <c r="D42" s="25" t="s">
        <v>210</v>
      </c>
    </row>
    <row r="43" customFormat="false" ht="15" hidden="false" customHeight="false" outlineLevel="0" collapsed="false">
      <c r="A43" s="1" t="n">
        <v>1040</v>
      </c>
      <c r="B43" s="25" t="s">
        <v>211</v>
      </c>
      <c r="C43" s="25"/>
      <c r="D43" s="25" t="s">
        <v>212</v>
      </c>
      <c r="E43" s="1" t="n">
        <v>100</v>
      </c>
    </row>
    <row r="44" customFormat="false" ht="15" hidden="false" customHeight="false" outlineLevel="0" collapsed="false">
      <c r="A44" s="1" t="n">
        <v>1041</v>
      </c>
      <c r="B44" s="25" t="s">
        <v>213</v>
      </c>
      <c r="C44" s="25"/>
      <c r="D44" s="25" t="s">
        <v>214</v>
      </c>
      <c r="E44" s="1" t="n">
        <v>100</v>
      </c>
    </row>
    <row r="45" customFormat="false" ht="15" hidden="false" customHeight="false" outlineLevel="0" collapsed="false">
      <c r="A45" s="1" t="n">
        <v>1042</v>
      </c>
      <c r="B45" s="25" t="s">
        <v>89</v>
      </c>
      <c r="C45" s="25" t="s">
        <v>19</v>
      </c>
      <c r="D45" s="25" t="s">
        <v>215</v>
      </c>
    </row>
    <row r="46" customFormat="false" ht="15" hidden="false" customHeight="false" outlineLevel="0" collapsed="false">
      <c r="A46" s="1" t="n">
        <v>1043</v>
      </c>
      <c r="B46" s="25" t="s">
        <v>89</v>
      </c>
      <c r="C46" s="25" t="s">
        <v>90</v>
      </c>
      <c r="D46" s="25" t="s">
        <v>215</v>
      </c>
    </row>
    <row r="47" customFormat="false" ht="15" hidden="false" customHeight="false" outlineLevel="0" collapsed="false">
      <c r="A47" s="1" t="n">
        <v>1044</v>
      </c>
      <c r="B47" s="25" t="s">
        <v>89</v>
      </c>
      <c r="C47" s="25" t="s">
        <v>92</v>
      </c>
      <c r="D47" s="25" t="s">
        <v>215</v>
      </c>
    </row>
    <row r="48" customFormat="false" ht="15" hidden="false" customHeight="false" outlineLevel="0" collapsed="false">
      <c r="A48" s="1" t="n">
        <v>1045</v>
      </c>
      <c r="B48" s="25" t="s">
        <v>216</v>
      </c>
      <c r="C48" s="25" t="s">
        <v>217</v>
      </c>
      <c r="D48" s="25"/>
    </row>
    <row r="49" customFormat="false" ht="15" hidden="false" customHeight="false" outlineLevel="0" collapsed="false">
      <c r="A49" s="1" t="n">
        <v>1046</v>
      </c>
      <c r="B49" s="25" t="s">
        <v>218</v>
      </c>
      <c r="C49" s="25" t="s">
        <v>219</v>
      </c>
      <c r="D49" s="25" t="s">
        <v>220</v>
      </c>
    </row>
    <row r="50" customFormat="false" ht="15" hidden="false" customHeight="false" outlineLevel="0" collapsed="false">
      <c r="A50" s="1" t="n">
        <v>1047</v>
      </c>
      <c r="B50" s="25" t="s">
        <v>221</v>
      </c>
      <c r="C50" s="25" t="s">
        <v>175</v>
      </c>
      <c r="D50" s="25" t="s">
        <v>222</v>
      </c>
    </row>
    <row r="51" customFormat="false" ht="15" hidden="false" customHeight="false" outlineLevel="0" collapsed="false">
      <c r="A51" s="1" t="n">
        <v>1048</v>
      </c>
      <c r="B51" s="25" t="s">
        <v>13</v>
      </c>
      <c r="C51" s="25" t="s">
        <v>14</v>
      </c>
      <c r="D51" s="25" t="s">
        <v>146</v>
      </c>
    </row>
    <row r="52" customFormat="false" ht="15" hidden="false" customHeight="false" outlineLevel="0" collapsed="false">
      <c r="A52" s="1" t="n">
        <v>1049</v>
      </c>
      <c r="B52" s="25" t="s">
        <v>223</v>
      </c>
      <c r="C52" s="25" t="s">
        <v>224</v>
      </c>
      <c r="D52" s="25" t="s">
        <v>225</v>
      </c>
      <c r="E52" s="1" t="n">
        <v>50</v>
      </c>
    </row>
    <row r="53" customFormat="false" ht="15" hidden="false" customHeight="false" outlineLevel="0" collapsed="false">
      <c r="A53" s="1" t="n">
        <v>1050</v>
      </c>
      <c r="B53" s="25" t="s">
        <v>226</v>
      </c>
      <c r="C53" s="25" t="s">
        <v>227</v>
      </c>
      <c r="D53" s="25" t="s">
        <v>228</v>
      </c>
      <c r="E53" s="1" t="n">
        <v>10</v>
      </c>
    </row>
    <row r="54" customFormat="false" ht="15" hidden="false" customHeight="false" outlineLevel="0" collapsed="false">
      <c r="A54" s="1" t="n">
        <v>1051</v>
      </c>
      <c r="B54" s="25" t="s">
        <v>229</v>
      </c>
      <c r="C54" s="25" t="s">
        <v>14</v>
      </c>
      <c r="D54" s="25" t="s">
        <v>220</v>
      </c>
    </row>
    <row r="55" customFormat="false" ht="15" hidden="false" customHeight="false" outlineLevel="0" collapsed="false">
      <c r="A55" s="1" t="n">
        <v>1052</v>
      </c>
      <c r="B55" s="25" t="s">
        <v>230</v>
      </c>
      <c r="C55" s="25" t="s">
        <v>231</v>
      </c>
      <c r="D55" s="25" t="s">
        <v>232</v>
      </c>
    </row>
    <row r="56" customFormat="false" ht="15" hidden="false" customHeight="false" outlineLevel="0" collapsed="false">
      <c r="A56" s="1" t="n">
        <v>1053</v>
      </c>
      <c r="B56" s="25" t="s">
        <v>233</v>
      </c>
      <c r="C56" s="25" t="s">
        <v>234</v>
      </c>
      <c r="D56" s="25" t="s">
        <v>235</v>
      </c>
    </row>
    <row r="57" customFormat="false" ht="15" hidden="false" customHeight="false" outlineLevel="0" collapsed="false">
      <c r="A57" s="1" t="n">
        <v>1054</v>
      </c>
      <c r="B57" s="25" t="s">
        <v>151</v>
      </c>
      <c r="C57" s="25" t="s">
        <v>236</v>
      </c>
      <c r="D57" s="25" t="s">
        <v>237</v>
      </c>
    </row>
    <row r="58" customFormat="false" ht="15" hidden="false" customHeight="false" outlineLevel="0" collapsed="false">
      <c r="A58" s="1" t="n">
        <v>1055</v>
      </c>
      <c r="B58" s="25" t="s">
        <v>118</v>
      </c>
      <c r="C58" s="25" t="s">
        <v>238</v>
      </c>
      <c r="D58" s="25" t="s">
        <v>239</v>
      </c>
    </row>
    <row r="59" customFormat="false" ht="15" hidden="false" customHeight="false" outlineLevel="0" collapsed="false">
      <c r="A59" s="1" t="n">
        <v>1056</v>
      </c>
      <c r="B59" s="25" t="s">
        <v>240</v>
      </c>
      <c r="C59" s="25" t="s">
        <v>241</v>
      </c>
      <c r="D59" s="25" t="s">
        <v>242</v>
      </c>
      <c r="E59" s="1" t="n">
        <v>50</v>
      </c>
    </row>
    <row r="60" customFormat="false" ht="15" hidden="false" customHeight="false" outlineLevel="0" collapsed="false">
      <c r="A60" s="1" t="n">
        <v>1057</v>
      </c>
      <c r="B60" s="25" t="s">
        <v>243</v>
      </c>
      <c r="C60" s="25" t="s">
        <v>178</v>
      </c>
      <c r="D60" s="25" t="s">
        <v>244</v>
      </c>
      <c r="E60" s="1" t="n">
        <v>50</v>
      </c>
    </row>
    <row r="61" customFormat="false" ht="15" hidden="false" customHeight="false" outlineLevel="0" collapsed="false">
      <c r="A61" s="1" t="n">
        <v>1058</v>
      </c>
      <c r="B61" s="25" t="s">
        <v>245</v>
      </c>
      <c r="C61" s="25" t="s">
        <v>184</v>
      </c>
      <c r="D61" s="25" t="s">
        <v>246</v>
      </c>
      <c r="E61" s="1" t="n">
        <v>50</v>
      </c>
    </row>
    <row r="62" customFormat="false" ht="15" hidden="false" customHeight="false" outlineLevel="0" collapsed="false">
      <c r="A62" s="1" t="n">
        <v>1059</v>
      </c>
      <c r="B62" s="25" t="s">
        <v>247</v>
      </c>
      <c r="C62" s="25" t="s">
        <v>248</v>
      </c>
      <c r="D62" s="25" t="s">
        <v>249</v>
      </c>
      <c r="E62" s="1" t="n">
        <v>50</v>
      </c>
    </row>
    <row r="63" customFormat="false" ht="15" hidden="false" customHeight="false" outlineLevel="0" collapsed="false">
      <c r="A63" s="1" t="n">
        <v>1060</v>
      </c>
      <c r="B63" s="25" t="s">
        <v>99</v>
      </c>
      <c r="C63" s="25" t="s">
        <v>250</v>
      </c>
      <c r="D63" s="25" t="s">
        <v>251</v>
      </c>
    </row>
    <row r="64" customFormat="false" ht="15" hidden="false" customHeight="false" outlineLevel="0" collapsed="false">
      <c r="A64" s="1" t="n">
        <v>1061</v>
      </c>
      <c r="B64" s="25" t="s">
        <v>252</v>
      </c>
      <c r="C64" s="25" t="s">
        <v>191</v>
      </c>
      <c r="D64" s="25" t="s">
        <v>253</v>
      </c>
    </row>
    <row r="65" customFormat="false" ht="15" hidden="false" customHeight="false" outlineLevel="0" collapsed="false">
      <c r="A65" s="1" t="n">
        <v>1062</v>
      </c>
      <c r="B65" s="25" t="s">
        <v>254</v>
      </c>
      <c r="C65" s="25" t="s">
        <v>255</v>
      </c>
      <c r="D65" s="25" t="s">
        <v>256</v>
      </c>
    </row>
    <row r="66" customFormat="false" ht="15" hidden="false" customHeight="false" outlineLevel="0" collapsed="false">
      <c r="A66" s="1" t="n">
        <v>1063</v>
      </c>
      <c r="B66" s="25" t="s">
        <v>254</v>
      </c>
      <c r="C66" s="25" t="s">
        <v>257</v>
      </c>
      <c r="D66" s="25" t="s">
        <v>258</v>
      </c>
      <c r="E66" s="1" t="n">
        <v>10</v>
      </c>
    </row>
    <row r="67" customFormat="false" ht="15" hidden="false" customHeight="false" outlineLevel="0" collapsed="false">
      <c r="A67" s="1" t="n">
        <v>1064</v>
      </c>
      <c r="B67" s="25" t="s">
        <v>259</v>
      </c>
      <c r="C67" s="25" t="s">
        <v>260</v>
      </c>
      <c r="D67" s="25" t="s">
        <v>261</v>
      </c>
    </row>
    <row r="68" customFormat="false" ht="15" hidden="false" customHeight="false" outlineLevel="0" collapsed="false">
      <c r="A68" s="1" t="n">
        <v>1065</v>
      </c>
      <c r="B68" s="25" t="s">
        <v>262</v>
      </c>
      <c r="C68" s="25" t="s">
        <v>263</v>
      </c>
      <c r="D68" s="25" t="s">
        <v>264</v>
      </c>
    </row>
    <row r="69" customFormat="false" ht="15" hidden="false" customHeight="false" outlineLevel="0" collapsed="false">
      <c r="A69" s="1" t="n">
        <v>1066</v>
      </c>
      <c r="B69" s="25" t="s">
        <v>265</v>
      </c>
      <c r="C69" s="25"/>
      <c r="D69" s="25" t="s">
        <v>266</v>
      </c>
    </row>
    <row r="70" customFormat="false" ht="15" hidden="false" customHeight="false" outlineLevel="0" collapsed="false">
      <c r="A70" s="1" t="n">
        <v>1067</v>
      </c>
      <c r="B70" s="25" t="s">
        <v>267</v>
      </c>
      <c r="C70" s="25" t="s">
        <v>105</v>
      </c>
      <c r="D70" s="25" t="s">
        <v>268</v>
      </c>
    </row>
    <row r="71" customFormat="false" ht="15" hidden="false" customHeight="false" outlineLevel="0" collapsed="false">
      <c r="A71" s="1" t="n">
        <v>1068</v>
      </c>
      <c r="B71" s="25" t="s">
        <v>269</v>
      </c>
      <c r="C71" s="25" t="s">
        <v>270</v>
      </c>
      <c r="D71" s="25" t="s">
        <v>268</v>
      </c>
      <c r="E71" s="1" t="n">
        <v>10</v>
      </c>
    </row>
    <row r="72" customFormat="false" ht="15" hidden="false" customHeight="false" outlineLevel="0" collapsed="false">
      <c r="A72" s="1" t="n">
        <v>1069</v>
      </c>
      <c r="B72" s="25" t="s">
        <v>271</v>
      </c>
      <c r="C72" s="25" t="s">
        <v>272</v>
      </c>
      <c r="D72" s="25" t="s">
        <v>273</v>
      </c>
    </row>
    <row r="73" customFormat="false" ht="15" hidden="false" customHeight="false" outlineLevel="0" collapsed="false">
      <c r="A73" s="1" t="n">
        <v>1070</v>
      </c>
      <c r="B73" s="25" t="s">
        <v>274</v>
      </c>
      <c r="C73" s="25" t="s">
        <v>275</v>
      </c>
      <c r="D73" s="25" t="s">
        <v>276</v>
      </c>
    </row>
    <row r="74" customFormat="false" ht="15" hidden="false" customHeight="false" outlineLevel="0" collapsed="false">
      <c r="A74" s="1" t="n">
        <v>1071</v>
      </c>
      <c r="B74" s="25" t="s">
        <v>277</v>
      </c>
      <c r="C74" s="25" t="s">
        <v>278</v>
      </c>
      <c r="D74" s="25" t="s">
        <v>279</v>
      </c>
    </row>
    <row r="75" customFormat="false" ht="15" hidden="false" customHeight="false" outlineLevel="0" collapsed="false">
      <c r="A75" s="1" t="n">
        <v>1072</v>
      </c>
      <c r="B75" s="25" t="s">
        <v>280</v>
      </c>
      <c r="C75" s="25"/>
      <c r="D75" s="25" t="s">
        <v>281</v>
      </c>
    </row>
    <row r="76" customFormat="false" ht="15" hidden="false" customHeight="false" outlineLevel="0" collapsed="false">
      <c r="A76" s="1" t="n">
        <v>1073</v>
      </c>
      <c r="B76" s="25" t="s">
        <v>282</v>
      </c>
      <c r="C76" s="25" t="s">
        <v>283</v>
      </c>
      <c r="D76" s="25" t="s">
        <v>284</v>
      </c>
    </row>
    <row r="77" customFormat="false" ht="15" hidden="false" customHeight="false" outlineLevel="0" collapsed="false">
      <c r="A77" s="1" t="n">
        <v>1074</v>
      </c>
      <c r="B77" s="25" t="s">
        <v>285</v>
      </c>
      <c r="C77" s="25" t="s">
        <v>286</v>
      </c>
      <c r="D77" s="25" t="s">
        <v>287</v>
      </c>
    </row>
    <row r="78" customFormat="false" ht="15" hidden="false" customHeight="false" outlineLevel="0" collapsed="false">
      <c r="A78" s="1" t="n">
        <v>1075</v>
      </c>
      <c r="B78" s="25" t="s">
        <v>288</v>
      </c>
      <c r="C78" s="25"/>
      <c r="D78" s="25" t="s">
        <v>289</v>
      </c>
      <c r="E78" s="1" t="n">
        <v>20</v>
      </c>
    </row>
    <row r="79" customFormat="false" ht="15" hidden="false" customHeight="false" outlineLevel="0" collapsed="false">
      <c r="A79" s="1" t="n">
        <v>1076</v>
      </c>
      <c r="B79" s="25" t="s">
        <v>290</v>
      </c>
      <c r="C79" s="25" t="s">
        <v>291</v>
      </c>
      <c r="D79" s="25" t="s">
        <v>292</v>
      </c>
      <c r="E79" s="1" t="n">
        <v>20</v>
      </c>
    </row>
    <row r="80" customFormat="false" ht="15" hidden="false" customHeight="false" outlineLevel="0" collapsed="false">
      <c r="A80" s="1" t="n">
        <v>1077</v>
      </c>
      <c r="B80" s="25" t="s">
        <v>293</v>
      </c>
      <c r="C80" s="25" t="s">
        <v>294</v>
      </c>
      <c r="D80" s="25" t="s">
        <v>295</v>
      </c>
      <c r="E80" s="1" t="n">
        <v>40</v>
      </c>
    </row>
    <row r="81" customFormat="false" ht="15" hidden="false" customHeight="false" outlineLevel="0" collapsed="false">
      <c r="A81" s="1" t="n">
        <v>1078</v>
      </c>
      <c r="B81" s="25" t="s">
        <v>293</v>
      </c>
      <c r="C81" s="25" t="s">
        <v>296</v>
      </c>
      <c r="D81" s="25" t="s">
        <v>297</v>
      </c>
      <c r="E81" s="1" t="n">
        <v>40</v>
      </c>
    </row>
    <row r="82" customFormat="false" ht="15" hidden="false" customHeight="false" outlineLevel="0" collapsed="false">
      <c r="A82" s="1" t="n">
        <v>1079</v>
      </c>
      <c r="B82" s="25" t="s">
        <v>298</v>
      </c>
      <c r="C82" s="25" t="s">
        <v>299</v>
      </c>
      <c r="D82" s="25" t="s">
        <v>289</v>
      </c>
      <c r="E82" s="1" t="n">
        <v>20</v>
      </c>
    </row>
    <row r="83" customFormat="false" ht="15" hidden="false" customHeight="false" outlineLevel="0" collapsed="false">
      <c r="A83" s="1" t="n">
        <v>1080</v>
      </c>
      <c r="B83" s="25" t="s">
        <v>300</v>
      </c>
      <c r="C83" s="25" t="s">
        <v>301</v>
      </c>
      <c r="D83" s="25" t="s">
        <v>302</v>
      </c>
      <c r="E83" s="1" t="n">
        <v>50</v>
      </c>
    </row>
    <row r="84" customFormat="false" ht="15" hidden="false" customHeight="false" outlineLevel="0" collapsed="false">
      <c r="A84" s="1" t="n">
        <v>1081</v>
      </c>
      <c r="B84" s="25" t="s">
        <v>195</v>
      </c>
      <c r="C84" s="25" t="s">
        <v>87</v>
      </c>
      <c r="D84" s="25" t="s">
        <v>303</v>
      </c>
      <c r="F84" s="1" t="n">
        <v>50</v>
      </c>
    </row>
    <row r="85" customFormat="false" ht="15" hidden="false" customHeight="false" outlineLevel="0" collapsed="false">
      <c r="A85" s="1" t="n">
        <v>1084</v>
      </c>
      <c r="B85" s="25" t="s">
        <v>304</v>
      </c>
      <c r="C85" s="25" t="s">
        <v>305</v>
      </c>
      <c r="D85" s="25" t="s">
        <v>306</v>
      </c>
      <c r="F85" s="1" t="n">
        <v>58</v>
      </c>
      <c r="G85" s="1" t="n">
        <v>59</v>
      </c>
    </row>
    <row r="86" customFormat="false" ht="15" hidden="false" customHeight="false" outlineLevel="0" collapsed="false">
      <c r="A86" s="1" t="n">
        <v>1085</v>
      </c>
      <c r="B86" s="25" t="s">
        <v>99</v>
      </c>
      <c r="C86" s="25" t="s">
        <v>90</v>
      </c>
      <c r="D86" s="25" t="s">
        <v>307</v>
      </c>
      <c r="F86" s="1" t="n">
        <v>58</v>
      </c>
      <c r="G86" s="1" t="n">
        <v>59</v>
      </c>
    </row>
    <row r="87" customFormat="false" ht="15" hidden="false" customHeight="false" outlineLevel="0" collapsed="false">
      <c r="A87" s="1" t="n">
        <v>1086</v>
      </c>
      <c r="B87" s="25" t="s">
        <v>102</v>
      </c>
      <c r="C87" s="25" t="s">
        <v>308</v>
      </c>
      <c r="D87" s="25" t="s">
        <v>309</v>
      </c>
      <c r="F87" s="1" t="n">
        <v>60</v>
      </c>
    </row>
    <row r="88" customFormat="false" ht="15" hidden="false" customHeight="false" outlineLevel="0" collapsed="false">
      <c r="A88" s="1" t="n">
        <v>1087</v>
      </c>
      <c r="B88" s="25" t="s">
        <v>310</v>
      </c>
      <c r="C88" s="25" t="s">
        <v>182</v>
      </c>
      <c r="D88" s="25" t="s">
        <v>311</v>
      </c>
      <c r="F88" s="1" t="n">
        <v>60</v>
      </c>
    </row>
    <row r="89" customFormat="false" ht="15" hidden="false" customHeight="false" outlineLevel="0" collapsed="false">
      <c r="A89" s="1" t="n">
        <v>1088</v>
      </c>
      <c r="B89" s="25" t="s">
        <v>102</v>
      </c>
      <c r="C89" s="25" t="s">
        <v>19</v>
      </c>
      <c r="D89" s="25" t="s">
        <v>312</v>
      </c>
      <c r="F89" s="1" t="n">
        <v>60</v>
      </c>
    </row>
    <row r="90" customFormat="false" ht="15" hidden="false" customHeight="false" outlineLevel="0" collapsed="false">
      <c r="A90" s="1" t="n">
        <v>1089</v>
      </c>
      <c r="B90" s="25" t="s">
        <v>310</v>
      </c>
      <c r="C90" s="25" t="s">
        <v>313</v>
      </c>
      <c r="D90" s="25" t="s">
        <v>314</v>
      </c>
      <c r="F90" s="1" t="n">
        <v>60</v>
      </c>
    </row>
    <row r="91" customFormat="false" ht="15" hidden="false" customHeight="false" outlineLevel="0" collapsed="false">
      <c r="A91" s="1" t="n">
        <v>1090</v>
      </c>
      <c r="B91" s="25" t="s">
        <v>315</v>
      </c>
      <c r="C91" s="25" t="s">
        <v>316</v>
      </c>
      <c r="D91" s="25" t="s">
        <v>268</v>
      </c>
      <c r="F91" s="1" t="n">
        <v>62</v>
      </c>
    </row>
    <row r="92" customFormat="false" ht="15" hidden="false" customHeight="false" outlineLevel="0" collapsed="false">
      <c r="A92" s="1" t="n">
        <v>1091</v>
      </c>
      <c r="B92" s="25" t="s">
        <v>317</v>
      </c>
      <c r="C92" s="25" t="s">
        <v>148</v>
      </c>
      <c r="D92" s="25" t="s">
        <v>190</v>
      </c>
      <c r="F92" s="1" t="n">
        <v>63</v>
      </c>
    </row>
    <row r="93" customFormat="false" ht="15" hidden="false" customHeight="false" outlineLevel="0" collapsed="false">
      <c r="A93" s="1" t="n">
        <v>1092</v>
      </c>
      <c r="B93" s="25" t="s">
        <v>109</v>
      </c>
      <c r="C93" s="25" t="s">
        <v>318</v>
      </c>
      <c r="D93" s="25" t="s">
        <v>319</v>
      </c>
      <c r="F93" s="1" t="n">
        <v>64</v>
      </c>
    </row>
    <row r="94" customFormat="false" ht="15" hidden="false" customHeight="false" outlineLevel="0" collapsed="false">
      <c r="A94" s="1" t="n">
        <v>1093</v>
      </c>
      <c r="B94" s="25" t="s">
        <v>110</v>
      </c>
      <c r="C94" s="25" t="s">
        <v>320</v>
      </c>
      <c r="D94" s="25" t="s">
        <v>321</v>
      </c>
      <c r="F94" s="1" t="n">
        <v>65</v>
      </c>
    </row>
    <row r="95" customFormat="false" ht="15" hidden="false" customHeight="false" outlineLevel="0" collapsed="false">
      <c r="A95" s="1" t="n">
        <v>1094</v>
      </c>
      <c r="B95" s="25" t="s">
        <v>112</v>
      </c>
      <c r="C95" s="25" t="s">
        <v>322</v>
      </c>
      <c r="D95" s="25" t="s">
        <v>323</v>
      </c>
      <c r="F95" s="1" t="n">
        <v>66</v>
      </c>
    </row>
    <row r="96" customFormat="false" ht="15" hidden="false" customHeight="false" outlineLevel="0" collapsed="false">
      <c r="A96" s="1" t="n">
        <v>1095</v>
      </c>
      <c r="B96" s="25" t="s">
        <v>114</v>
      </c>
      <c r="C96" s="25" t="s">
        <v>115</v>
      </c>
      <c r="D96" s="25" t="s">
        <v>324</v>
      </c>
      <c r="E96" s="1" t="s">
        <v>325</v>
      </c>
      <c r="F96" s="1" t="n">
        <v>67</v>
      </c>
    </row>
    <row r="97" customFormat="false" ht="15" hidden="false" customHeight="false" outlineLevel="0" collapsed="false">
      <c r="A97" s="1" t="n">
        <v>1096</v>
      </c>
      <c r="B97" s="25"/>
      <c r="C97" s="25"/>
      <c r="D97" s="25"/>
    </row>
    <row r="98" customFormat="false" ht="15" hidden="false" customHeight="false" outlineLevel="0" collapsed="false">
      <c r="A98" s="1" t="n">
        <v>1097</v>
      </c>
      <c r="B98" s="25"/>
      <c r="C98" s="25"/>
      <c r="D98" s="25"/>
    </row>
    <row r="99" customFormat="false" ht="15" hidden="false" customHeight="false" outlineLevel="0" collapsed="false">
      <c r="A99" s="1" t="n">
        <v>1098</v>
      </c>
      <c r="B99" s="25"/>
      <c r="C99" s="25"/>
      <c r="D99" s="25"/>
    </row>
    <row r="100" customFormat="false" ht="15" hidden="false" customHeight="false" outlineLevel="0" collapsed="false">
      <c r="A100" s="1" t="n">
        <v>1099</v>
      </c>
      <c r="B100" s="25"/>
      <c r="C100" s="25"/>
      <c r="D100" s="25"/>
    </row>
    <row r="101" customFormat="false" ht="15" hidden="false" customHeight="false" outlineLevel="0" collapsed="false">
      <c r="A101" s="1" t="n">
        <v>1100</v>
      </c>
      <c r="B101" s="25"/>
      <c r="C101" s="25"/>
      <c r="D101" s="25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15.57"/>
    <col collapsed="false" customWidth="true" hidden="false" outlineLevel="0" max="2" min="2" style="1" width="16.57"/>
    <col collapsed="false" customWidth="true" hidden="false" outlineLevel="0" max="3" min="3" style="1" width="17.86"/>
    <col collapsed="false" customWidth="true" hidden="false" outlineLevel="0" max="4" min="4" style="1" width="11.71"/>
    <col collapsed="false" customWidth="true" hidden="false" outlineLevel="0" max="8" min="5" style="1" width="14.29"/>
    <col collapsed="false" customWidth="true" hidden="false" outlineLevel="0" max="9" min="9" style="1" width="13.57"/>
    <col collapsed="false" customWidth="true" hidden="false" outlineLevel="0" max="18" min="10" style="1" width="11.43"/>
  </cols>
  <sheetData>
    <row r="1" customFormat="false" ht="15" hidden="false" customHeight="false" outlineLevel="0" collapsed="false">
      <c r="A1" s="3" t="s">
        <v>326</v>
      </c>
    </row>
    <row r="2" customFormat="false" ht="15" hidden="false" customHeight="false" outlineLevel="0" collapsed="false">
      <c r="A2" s="3" t="s">
        <v>327</v>
      </c>
    </row>
    <row r="3" customFormat="false" ht="41.75" hidden="false" customHeight="false" outlineLevel="0" collapsed="false">
      <c r="A3" s="1" t="s">
        <v>328</v>
      </c>
      <c r="B3" s="1" t="s">
        <v>329</v>
      </c>
      <c r="C3" s="1" t="s">
        <v>330</v>
      </c>
      <c r="D3" s="24" t="s">
        <v>331</v>
      </c>
      <c r="E3" s="24" t="s">
        <v>332</v>
      </c>
      <c r="F3" s="24" t="s">
        <v>333</v>
      </c>
      <c r="G3" s="24" t="s">
        <v>334</v>
      </c>
      <c r="H3" s="24" t="s">
        <v>335</v>
      </c>
      <c r="I3" s="24" t="s">
        <v>336</v>
      </c>
      <c r="J3" s="24" t="s">
        <v>336</v>
      </c>
      <c r="K3" s="24" t="s">
        <v>336</v>
      </c>
      <c r="L3" s="24" t="s">
        <v>336</v>
      </c>
      <c r="M3" s="24" t="s">
        <v>336</v>
      </c>
      <c r="N3" s="24" t="s">
        <v>336</v>
      </c>
      <c r="O3" s="24" t="s">
        <v>336</v>
      </c>
      <c r="P3" s="24" t="s">
        <v>336</v>
      </c>
      <c r="Q3" s="24" t="s">
        <v>336</v>
      </c>
      <c r="R3" s="24" t="s">
        <v>336</v>
      </c>
      <c r="S3" s="24" t="s">
        <v>336</v>
      </c>
      <c r="T3" s="24" t="s">
        <v>336</v>
      </c>
      <c r="U3" s="24" t="s">
        <v>336</v>
      </c>
      <c r="V3" s="24" t="s">
        <v>336</v>
      </c>
      <c r="W3" s="24" t="s">
        <v>336</v>
      </c>
      <c r="X3" s="24" t="s">
        <v>336</v>
      </c>
      <c r="Y3" s="24" t="s">
        <v>336</v>
      </c>
      <c r="Z3" s="24" t="s">
        <v>336</v>
      </c>
      <c r="AA3" s="24" t="s">
        <v>336</v>
      </c>
      <c r="AB3" s="24" t="s">
        <v>336</v>
      </c>
      <c r="AC3" s="24" t="s">
        <v>336</v>
      </c>
      <c r="AD3" s="24" t="s">
        <v>336</v>
      </c>
      <c r="AE3" s="24" t="s">
        <v>336</v>
      </c>
      <c r="AF3" s="24" t="s">
        <v>336</v>
      </c>
      <c r="AG3" s="24" t="s">
        <v>336</v>
      </c>
      <c r="AH3" s="24"/>
      <c r="AI3" s="24"/>
      <c r="AJ3" s="24"/>
      <c r="AK3" s="24"/>
      <c r="AL3" s="24"/>
      <c r="AM3" s="24"/>
      <c r="AN3" s="24"/>
      <c r="AO3" s="24"/>
      <c r="AP3" s="24"/>
      <c r="AQ3" s="24"/>
    </row>
    <row r="4" customFormat="false" ht="15" hidden="false" customHeight="false" outlineLevel="0" collapsed="false">
      <c r="A4" s="1" t="n">
        <v>501</v>
      </c>
      <c r="B4" s="1" t="s">
        <v>337</v>
      </c>
      <c r="D4" s="29" t="n">
        <f aca="false">COUNTIF(I4:AQ4,"&gt;0")</f>
        <v>0</v>
      </c>
      <c r="E4" s="29"/>
      <c r="F4" s="2"/>
      <c r="G4" s="30"/>
      <c r="H4" s="31" t="n">
        <f aca="false">IF(D4&gt;0,E4/D4,)</f>
        <v>0</v>
      </c>
    </row>
    <row r="5" customFormat="false" ht="15" hidden="false" customHeight="false" outlineLevel="0" collapsed="false">
      <c r="A5" s="1" t="n">
        <v>502</v>
      </c>
      <c r="B5" s="1" t="s">
        <v>338</v>
      </c>
      <c r="C5" s="1" t="s">
        <v>130</v>
      </c>
      <c r="D5" s="29" t="n">
        <f aca="false">COUNTIFS(I5:AQ5,"&gt;0",I5:AQ5,"&lt;101")</f>
        <v>16</v>
      </c>
      <c r="E5" s="29" t="n">
        <f aca="false">SUMIF('Stammdaten - Schwimmer'!G$4:G$99,'Stammdaten - Sponsoren'!A5,'Stammdaten - Schwimmer'!F$4:F$99)+SUMIF('Stammdaten - Schwimmer'!K$4:K$99,'Stammdaten - Sponsoren'!A5,'Stammdaten - Schwimmer'!F$4:F$99)+SUMIF('Stammdaten - Schwimmer'!O$4:O$99,'Stammdaten - Sponsoren'!A5,'Stammdaten - Schwimmer'!F$4:F$99)+SUMIF('Stammdaten - Schwimmer'!S$4:S$99,'Stammdaten - Sponsoren'!A5,'Stammdaten - Schwimmer'!F$4:F$99)</f>
        <v>769</v>
      </c>
      <c r="F5" s="2" t="n">
        <v>0.5</v>
      </c>
      <c r="G5" s="30" t="n">
        <f aca="false">E5*F5</f>
        <v>384.5</v>
      </c>
      <c r="H5" s="31" t="n">
        <f aca="false">IF(D5&gt;0,E5/D5,)</f>
        <v>48.0625</v>
      </c>
      <c r="I5" s="1" t="n">
        <v>3</v>
      </c>
      <c r="J5" s="1" t="n">
        <v>7</v>
      </c>
      <c r="K5" s="1" t="n">
        <v>8</v>
      </c>
      <c r="L5" s="1" t="n">
        <v>10</v>
      </c>
      <c r="M5" s="1" t="n">
        <v>11</v>
      </c>
      <c r="N5" s="1" t="n">
        <v>25</v>
      </c>
      <c r="O5" s="1" t="n">
        <v>30</v>
      </c>
      <c r="P5" s="1" t="n">
        <v>31</v>
      </c>
      <c r="Q5" s="1" t="n">
        <v>32</v>
      </c>
      <c r="R5" s="1" t="n">
        <v>34</v>
      </c>
      <c r="S5" s="1" t="n">
        <v>50</v>
      </c>
      <c r="T5" s="1" t="n">
        <v>58</v>
      </c>
      <c r="U5" s="1" t="n">
        <v>59</v>
      </c>
      <c r="V5" s="1" t="n">
        <v>60</v>
      </c>
      <c r="W5" s="1" t="n">
        <v>61</v>
      </c>
      <c r="X5" s="1" t="n">
        <v>63</v>
      </c>
      <c r="Y5" s="1" t="n">
        <v>101</v>
      </c>
      <c r="Z5" s="1" t="n">
        <v>101</v>
      </c>
      <c r="AA5" s="1" t="n">
        <v>101</v>
      </c>
      <c r="AB5" s="1" t="n">
        <v>101</v>
      </c>
      <c r="AC5" s="1" t="n">
        <v>101</v>
      </c>
      <c r="AD5" s="1" t="n">
        <v>101</v>
      </c>
      <c r="AE5" s="1" t="n">
        <v>101</v>
      </c>
      <c r="AF5" s="1" t="n">
        <v>101</v>
      </c>
      <c r="AG5" s="1" t="n">
        <v>101</v>
      </c>
      <c r="AH5" s="1" t="n">
        <v>101</v>
      </c>
      <c r="AI5" s="1" t="n">
        <v>101</v>
      </c>
      <c r="AJ5" s="1" t="n">
        <v>101</v>
      </c>
      <c r="AK5" s="1" t="n">
        <v>101</v>
      </c>
      <c r="AL5" s="1" t="n">
        <v>101</v>
      </c>
      <c r="AM5" s="1" t="n">
        <v>101</v>
      </c>
      <c r="AN5" s="1" t="n">
        <v>101</v>
      </c>
      <c r="AO5" s="1" t="n">
        <v>101</v>
      </c>
      <c r="AP5" s="1" t="n">
        <v>101</v>
      </c>
      <c r="AQ5" s="1"/>
    </row>
    <row r="6" customFormat="false" ht="15" hidden="false" customHeight="false" outlineLevel="0" collapsed="false">
      <c r="A6" s="1" t="n">
        <v>503</v>
      </c>
      <c r="B6" s="1" t="s">
        <v>339</v>
      </c>
      <c r="C6" s="1" t="s">
        <v>134</v>
      </c>
      <c r="D6" s="29" t="n">
        <f aca="false">COUNTIFS(I6:AQ6,"&gt;0",I6:AQ6,"&lt;101")</f>
        <v>20</v>
      </c>
      <c r="E6" s="29" t="n">
        <f aca="false">SUMIF('Stammdaten - Schwimmer'!G$4:G$99,'Stammdaten - Sponsoren'!A6,'Stammdaten - Schwimmer'!F$4:F$99)+SUMIF('Stammdaten - Schwimmer'!K$4:K$99,'Stammdaten - Sponsoren'!A6,'Stammdaten - Schwimmer'!F$4:F$99)+SUMIF('Stammdaten - Schwimmer'!O$4:O$99,'Stammdaten - Sponsoren'!A6,'Stammdaten - Schwimmer'!F$4:F$99)+SUMIF('Stammdaten - Schwimmer'!S$4:S$99,'Stammdaten - Sponsoren'!A6,'Stammdaten - Schwimmer'!F$4:F$99)</f>
        <v>1266</v>
      </c>
      <c r="F6" s="2" t="n">
        <v>0.5</v>
      </c>
      <c r="G6" s="30" t="n">
        <f aca="false">E6*F6</f>
        <v>633</v>
      </c>
      <c r="H6" s="31" t="n">
        <f aca="false">IF(D6&gt;0,E6/D6,)</f>
        <v>63.3</v>
      </c>
      <c r="I6" s="1" t="n">
        <v>2</v>
      </c>
      <c r="J6" s="1" t="n">
        <v>5</v>
      </c>
      <c r="K6" s="1" t="n">
        <v>6</v>
      </c>
      <c r="L6" s="1" t="n">
        <v>9</v>
      </c>
      <c r="M6" s="1" t="n">
        <v>13</v>
      </c>
      <c r="N6" s="1" t="n">
        <v>14</v>
      </c>
      <c r="O6" s="1" t="n">
        <v>15</v>
      </c>
      <c r="P6" s="1" t="n">
        <v>16</v>
      </c>
      <c r="Q6" s="1" t="n">
        <v>17</v>
      </c>
      <c r="R6" s="1" t="n">
        <v>18</v>
      </c>
      <c r="S6" s="1" t="n">
        <v>23</v>
      </c>
      <c r="T6" s="1" t="n">
        <v>24</v>
      </c>
      <c r="U6" s="1" t="n">
        <v>26</v>
      </c>
      <c r="V6" s="1" t="n">
        <v>47</v>
      </c>
      <c r="W6" s="1" t="n">
        <v>48</v>
      </c>
      <c r="X6" s="1" t="n">
        <v>49</v>
      </c>
      <c r="Y6" s="1" t="n">
        <v>55</v>
      </c>
      <c r="Z6" s="1" t="n">
        <v>56</v>
      </c>
      <c r="AA6" s="1" t="n">
        <v>62</v>
      </c>
      <c r="AB6" s="1" t="n">
        <v>65</v>
      </c>
      <c r="AC6" s="1" t="n">
        <v>101</v>
      </c>
      <c r="AD6" s="1" t="n">
        <v>101</v>
      </c>
      <c r="AE6" s="1" t="n">
        <v>101</v>
      </c>
      <c r="AF6" s="1" t="n">
        <v>101</v>
      </c>
      <c r="AG6" s="1" t="n">
        <v>101</v>
      </c>
      <c r="AH6" s="1" t="n">
        <v>101</v>
      </c>
      <c r="AI6" s="1" t="n">
        <v>101</v>
      </c>
      <c r="AJ6" s="1" t="n">
        <v>101</v>
      </c>
      <c r="AK6" s="1" t="n">
        <v>101</v>
      </c>
      <c r="AL6" s="1" t="n">
        <v>101</v>
      </c>
      <c r="AM6" s="1" t="n">
        <v>101</v>
      </c>
      <c r="AN6" s="1" t="n">
        <v>101</v>
      </c>
      <c r="AO6" s="1" t="n">
        <v>101</v>
      </c>
      <c r="AP6" s="1" t="n">
        <v>101</v>
      </c>
      <c r="AQ6" s="1"/>
    </row>
    <row r="7" customFormat="false" ht="15" hidden="false" customHeight="false" outlineLevel="0" collapsed="false">
      <c r="A7" s="1" t="n">
        <v>504</v>
      </c>
      <c r="B7" s="1" t="s">
        <v>340</v>
      </c>
      <c r="C7" s="1" t="s">
        <v>136</v>
      </c>
      <c r="D7" s="29" t="n">
        <f aca="false">COUNTIFS(I7:AQ7,"&gt;0",I7:AQ7,"&lt;101")</f>
        <v>6</v>
      </c>
      <c r="E7" s="29" t="n">
        <f aca="false">SUMIF('Stammdaten - Schwimmer'!G$4:G$99,'Stammdaten - Sponsoren'!A7,'Stammdaten - Schwimmer'!F$4:F$99)+SUMIF('Stammdaten - Schwimmer'!K$4:K$99,'Stammdaten - Sponsoren'!A7,'Stammdaten - Schwimmer'!F$4:F$99)+SUMIF('Stammdaten - Schwimmer'!O$4:O$99,'Stammdaten - Sponsoren'!A7,'Stammdaten - Schwimmer'!F$4:F$99)+SUMIF('Stammdaten - Schwimmer'!S$4:S$99,'Stammdaten - Sponsoren'!A7,'Stammdaten - Schwimmer'!F$4:F$99)+SUMIF('Stammdaten - Schwimmer'!W$4:W$99,'Stammdaten - Sponsoren'!A7,'Stammdaten - Schwimmer'!F$4:F$99)</f>
        <v>254</v>
      </c>
      <c r="F7" s="2" t="n">
        <v>0.5</v>
      </c>
      <c r="G7" s="30" t="n">
        <f aca="false">E7*F7</f>
        <v>127</v>
      </c>
      <c r="H7" s="31" t="n">
        <f aca="false">IF(D7&gt;0,E7/D7,)</f>
        <v>42.3333333333333</v>
      </c>
      <c r="I7" s="1" t="n">
        <v>2</v>
      </c>
      <c r="J7" s="1" t="n">
        <v>16</v>
      </c>
      <c r="K7" s="1" t="n">
        <v>17</v>
      </c>
      <c r="L7" s="1" t="n">
        <v>23</v>
      </c>
      <c r="M7" s="1" t="n">
        <v>24</v>
      </c>
      <c r="N7" s="1" t="n">
        <v>65</v>
      </c>
      <c r="O7" s="1" t="n">
        <v>101</v>
      </c>
      <c r="P7" s="1" t="n">
        <v>101</v>
      </c>
      <c r="Q7" s="1" t="n">
        <v>101</v>
      </c>
      <c r="R7" s="1" t="n">
        <v>101</v>
      </c>
      <c r="S7" s="1" t="n">
        <v>101</v>
      </c>
      <c r="T7" s="1" t="n">
        <v>101</v>
      </c>
      <c r="U7" s="1" t="n">
        <v>101</v>
      </c>
      <c r="V7" s="1" t="n">
        <v>101</v>
      </c>
      <c r="W7" s="1" t="n">
        <v>101</v>
      </c>
      <c r="X7" s="1" t="n">
        <v>101</v>
      </c>
      <c r="Y7" s="1" t="n">
        <v>101</v>
      </c>
      <c r="Z7" s="1" t="n">
        <v>101</v>
      </c>
      <c r="AA7" s="1" t="n">
        <v>101</v>
      </c>
      <c r="AB7" s="1" t="n">
        <v>101</v>
      </c>
      <c r="AC7" s="1" t="n">
        <v>101</v>
      </c>
      <c r="AD7" s="1" t="n">
        <v>101</v>
      </c>
      <c r="AE7" s="1" t="n">
        <v>101</v>
      </c>
      <c r="AF7" s="1" t="n">
        <v>101</v>
      </c>
      <c r="AG7" s="1" t="n">
        <v>101</v>
      </c>
      <c r="AH7" s="1" t="n">
        <v>101</v>
      </c>
      <c r="AI7" s="1" t="n">
        <v>101</v>
      </c>
      <c r="AJ7" s="1" t="n">
        <v>101</v>
      </c>
      <c r="AK7" s="1" t="n">
        <v>101</v>
      </c>
      <c r="AL7" s="1" t="n">
        <v>101</v>
      </c>
      <c r="AM7" s="1" t="n">
        <v>101</v>
      </c>
      <c r="AN7" s="1" t="n">
        <v>101</v>
      </c>
      <c r="AO7" s="1" t="n">
        <v>101</v>
      </c>
      <c r="AP7" s="1" t="n">
        <v>101</v>
      </c>
      <c r="AQ7" s="1"/>
    </row>
    <row r="8" customFormat="false" ht="15" hidden="false" customHeight="false" outlineLevel="0" collapsed="false">
      <c r="A8" s="1" t="n">
        <v>505</v>
      </c>
      <c r="B8" s="1" t="s">
        <v>341</v>
      </c>
      <c r="C8" s="1" t="s">
        <v>140</v>
      </c>
      <c r="D8" s="29" t="n">
        <f aca="false">COUNTIFS(I8:AQ8,"&gt;0",I8:AQ8,"&lt;101")</f>
        <v>3</v>
      </c>
      <c r="E8" s="29" t="n">
        <f aca="false">SUMIF('Stammdaten - Schwimmer'!G$4:G$99,'Stammdaten - Sponsoren'!A8,'Stammdaten - Schwimmer'!F$4:F$99)+SUMIF('Stammdaten - Schwimmer'!K$4:K$99,'Stammdaten - Sponsoren'!A8,'Stammdaten - Schwimmer'!F$4:F$99)+SUMIF('Stammdaten - Schwimmer'!O$4:O$99,'Stammdaten - Sponsoren'!A8,'Stammdaten - Schwimmer'!F$4:F$99)+SUMIF('Stammdaten - Schwimmer'!S$4:S$99,'Stammdaten - Sponsoren'!A8,'Stammdaten - Schwimmer'!F$4:F$99)+SUMIF('Stammdaten - Schwimmer'!W$4:W$99,'Stammdaten - Sponsoren'!A7,'Stammdaten - Schwimmer'!F$4:F$99)</f>
        <v>159</v>
      </c>
      <c r="F8" s="2" t="n">
        <v>0.5</v>
      </c>
      <c r="G8" s="30" t="n">
        <f aca="false">E8*F8</f>
        <v>79.5</v>
      </c>
      <c r="H8" s="31" t="n">
        <f aca="false">IF(D8&gt;0,E8/D8,)</f>
        <v>53</v>
      </c>
      <c r="I8" s="1" t="n">
        <v>4</v>
      </c>
      <c r="J8" s="1" t="n">
        <v>5</v>
      </c>
      <c r="K8" s="1" t="n">
        <v>12</v>
      </c>
      <c r="L8" s="1" t="n">
        <v>101</v>
      </c>
      <c r="M8" s="1" t="n">
        <v>101</v>
      </c>
      <c r="N8" s="1" t="n">
        <v>101</v>
      </c>
      <c r="O8" s="1" t="n">
        <v>101</v>
      </c>
      <c r="P8" s="1" t="n">
        <v>101</v>
      </c>
      <c r="Q8" s="1" t="n">
        <v>101</v>
      </c>
      <c r="R8" s="1" t="n">
        <v>101</v>
      </c>
      <c r="S8" s="1" t="n">
        <v>101</v>
      </c>
      <c r="T8" s="1" t="n">
        <v>101</v>
      </c>
      <c r="U8" s="1" t="n">
        <v>101</v>
      </c>
      <c r="V8" s="1" t="n">
        <v>101</v>
      </c>
      <c r="W8" s="1" t="n">
        <v>101</v>
      </c>
      <c r="X8" s="1" t="n">
        <v>101</v>
      </c>
      <c r="Y8" s="1" t="n">
        <v>101</v>
      </c>
      <c r="Z8" s="1" t="n">
        <v>101</v>
      </c>
      <c r="AA8" s="1" t="n">
        <v>101</v>
      </c>
      <c r="AB8" s="1" t="n">
        <v>101</v>
      </c>
      <c r="AC8" s="1" t="n">
        <v>101</v>
      </c>
      <c r="AD8" s="1" t="n">
        <v>101</v>
      </c>
      <c r="AE8" s="1" t="n">
        <v>101</v>
      </c>
      <c r="AF8" s="1" t="n">
        <v>101</v>
      </c>
      <c r="AG8" s="1" t="n">
        <v>101</v>
      </c>
      <c r="AH8" s="1" t="n">
        <v>101</v>
      </c>
      <c r="AI8" s="1" t="n">
        <v>101</v>
      </c>
      <c r="AJ8" s="1" t="n">
        <v>101</v>
      </c>
      <c r="AK8" s="1" t="n">
        <v>101</v>
      </c>
      <c r="AL8" s="1" t="n">
        <v>101</v>
      </c>
      <c r="AM8" s="1" t="n">
        <v>101</v>
      </c>
      <c r="AN8" s="1" t="n">
        <v>101</v>
      </c>
      <c r="AO8" s="1" t="n">
        <v>101</v>
      </c>
      <c r="AP8" s="1" t="n">
        <v>101</v>
      </c>
      <c r="AQ8" s="1"/>
    </row>
    <row r="9" customFormat="false" ht="15" hidden="false" customHeight="false" outlineLevel="0" collapsed="false">
      <c r="A9" s="1" t="n">
        <v>506</v>
      </c>
      <c r="B9" s="1" t="s">
        <v>342</v>
      </c>
      <c r="C9" s="1" t="s">
        <v>343</v>
      </c>
      <c r="D9" s="29" t="n">
        <f aca="false">COUNTIFS(I9:AQ9,"&gt;0",I9:AQ9,"&lt;101")</f>
        <v>0</v>
      </c>
      <c r="E9" s="29" t="n">
        <f aca="true">INDIRECT("'Stammdaten - Schwimmer'!F"&amp;(I9+3))+INDIRECT("'Stammdaten - Schwimmer'!F"&amp;(J9+3))+INDIRECT("'Stammdaten - Schwimmer'!F"&amp;(K9+3))+INDIRECT("'Stammdaten - Schwimmer'!F"&amp;(L9+3))+INDIRECT("'Stammdaten - Schwimmer'!F"&amp;(M9+3))+INDIRECT("'Stammdaten - Schwimmer'!F"&amp;(N9+3))+INDIRECT("'Stammdaten - Schwimmer'!F"&amp;O9+3)+INDIRECT("'Stammdaten - Schwimmer'!F"&amp;(P9+3))+INDIRECT("'Stammdaten - Schwimmer'!F"&amp;(Q9+3))+INDIRECT("'Stammdaten - Schwimmer'!F"&amp;(R9+3))+INDIRECT("'Stammdaten - Schwimmer'!F"&amp;(S9+3))+INDIRECT("'Stammdaten - Schwimmer'!F"&amp;(T9+3))+INDIRECT("'Stammdaten - Schwimmer'!F"&amp;(U9+3))+INDIRECT("'Stammdaten - Schwimmer'!F"&amp;(V9+3))+INDIRECT("'Stammdaten - Schwimmer'!F"&amp;(W9+3))+INDIRECT("'Stammdaten - Schwimmer'!F"&amp;(X9+3))+INDIRECT("'Stammdaten - Schwimmer'!F"&amp;(Y9+3))+INDIRECT("'Stammdaten - Schwimmer'!F"&amp;(Z9+3))+INDIRECT("'Stammdaten - Schwimmer'!F"&amp;(AA9+3))+INDIRECT("'Stammdaten - Schwimmer'!F"&amp;(AB9+3))+INDIRECT("'Stammdaten - Schwimmer'!F"&amp;(AC9+3))+INDIRECT("'Stammdaten - Schwimmer'!F"&amp;(AD9+3))+INDIRECT("'Stammdaten - Schwimmer'!F"&amp;(AE9+3))+INDIRECT("'Stammdaten - Schwimmer'!F"&amp;(AF9+3))+INDIRECT("'Stammdaten - Schwimmer'!F"&amp;(AG9+3))</f>
        <v>0</v>
      </c>
      <c r="F9" s="2"/>
      <c r="G9" s="30" t="n">
        <f aca="false">E9*F9</f>
        <v>0</v>
      </c>
      <c r="H9" s="31" t="n">
        <f aca="false">IF(D9&gt;0,E9/D9,)</f>
        <v>0</v>
      </c>
      <c r="I9" s="1" t="n">
        <v>101</v>
      </c>
      <c r="J9" s="1" t="n">
        <v>101</v>
      </c>
      <c r="K9" s="1" t="n">
        <v>101</v>
      </c>
      <c r="L9" s="1" t="n">
        <v>101</v>
      </c>
      <c r="M9" s="1" t="n">
        <v>101</v>
      </c>
      <c r="N9" s="1" t="n">
        <v>101</v>
      </c>
      <c r="O9" s="1" t="n">
        <v>101</v>
      </c>
      <c r="P9" s="1" t="n">
        <v>101</v>
      </c>
      <c r="Q9" s="1" t="n">
        <v>101</v>
      </c>
      <c r="R9" s="1" t="n">
        <v>101</v>
      </c>
      <c r="S9" s="1" t="n">
        <v>101</v>
      </c>
      <c r="T9" s="1" t="n">
        <v>101</v>
      </c>
      <c r="U9" s="1" t="n">
        <v>101</v>
      </c>
      <c r="V9" s="1" t="n">
        <v>101</v>
      </c>
      <c r="W9" s="1" t="n">
        <v>101</v>
      </c>
      <c r="X9" s="1" t="n">
        <v>101</v>
      </c>
      <c r="Y9" s="1" t="n">
        <v>101</v>
      </c>
      <c r="Z9" s="1" t="n">
        <v>101</v>
      </c>
      <c r="AA9" s="1" t="n">
        <v>101</v>
      </c>
      <c r="AB9" s="1" t="n">
        <v>101</v>
      </c>
      <c r="AC9" s="1" t="n">
        <v>101</v>
      </c>
      <c r="AD9" s="1" t="n">
        <v>101</v>
      </c>
      <c r="AE9" s="1" t="n">
        <v>101</v>
      </c>
      <c r="AF9" s="1" t="n">
        <v>101</v>
      </c>
      <c r="AG9" s="1" t="n">
        <v>101</v>
      </c>
      <c r="AH9" s="1" t="n">
        <v>101</v>
      </c>
      <c r="AI9" s="1" t="n">
        <v>101</v>
      </c>
      <c r="AJ9" s="1" t="n">
        <v>101</v>
      </c>
      <c r="AK9" s="1" t="n">
        <v>101</v>
      </c>
      <c r="AL9" s="1" t="n">
        <v>101</v>
      </c>
      <c r="AM9" s="1" t="n">
        <v>101</v>
      </c>
      <c r="AN9" s="1" t="n">
        <v>101</v>
      </c>
      <c r="AO9" s="1"/>
      <c r="AP9" s="1"/>
      <c r="AQ9" s="1"/>
    </row>
    <row r="10" customFormat="false" ht="15" hidden="false" customHeight="false" outlineLevel="0" collapsed="false">
      <c r="A10" s="1" t="n">
        <v>507</v>
      </c>
      <c r="B10" s="1" t="s">
        <v>344</v>
      </c>
      <c r="C10" s="1" t="s">
        <v>345</v>
      </c>
      <c r="D10" s="29" t="n">
        <f aca="false">COUNTIFS(I10:AQ10,"&gt;0",I10:AQ10,"&lt;101")</f>
        <v>0</v>
      </c>
      <c r="E10" s="29" t="n">
        <f aca="true">INDIRECT("'Stammdaten - Schwimmer'!F"&amp;(I10+3))+INDIRECT("'Stammdaten - Schwimmer'!F"&amp;(J10+3))+INDIRECT("'Stammdaten - Schwimmer'!F"&amp;(K10+3))+INDIRECT("'Stammdaten - Schwimmer'!F"&amp;(L10+3))+INDIRECT("'Stammdaten - Schwimmer'!F"&amp;(M10+3))+INDIRECT("'Stammdaten - Schwimmer'!F"&amp;(N10+3))+INDIRECT("'Stammdaten - Schwimmer'!F"&amp;O10+3)+INDIRECT("'Stammdaten - Schwimmer'!F"&amp;(P10+3))+INDIRECT("'Stammdaten - Schwimmer'!F"&amp;(Q10+3))+INDIRECT("'Stammdaten - Schwimmer'!F"&amp;(R10+3))+INDIRECT("'Stammdaten - Schwimmer'!F"&amp;(S10+3))+INDIRECT("'Stammdaten - Schwimmer'!F"&amp;(T10+3))+INDIRECT("'Stammdaten - Schwimmer'!F"&amp;(U10+3))+INDIRECT("'Stammdaten - Schwimmer'!F"&amp;(V10+3))+INDIRECT("'Stammdaten - Schwimmer'!F"&amp;(W10+3))+INDIRECT("'Stammdaten - Schwimmer'!F"&amp;(X10+3))+INDIRECT("'Stammdaten - Schwimmer'!F"&amp;(Y10+3))+INDIRECT("'Stammdaten - Schwimmer'!F"&amp;(Z10+3))+INDIRECT("'Stammdaten - Schwimmer'!F"&amp;(AA10+3))+INDIRECT("'Stammdaten - Schwimmer'!F"&amp;(AB10+3))+INDIRECT("'Stammdaten - Schwimmer'!F"&amp;(AC10+3))+INDIRECT("'Stammdaten - Schwimmer'!F"&amp;(AD10+3))+INDIRECT("'Stammdaten - Schwimmer'!F"&amp;(AE10+3))+INDIRECT("'Stammdaten - Schwimmer'!F"&amp;(AF10+3))+INDIRECT("'Stammdaten - Schwimmer'!F"&amp;(AG10+3))</f>
        <v>0</v>
      </c>
      <c r="F10" s="2"/>
      <c r="G10" s="30" t="n">
        <f aca="false">E10*F10</f>
        <v>0</v>
      </c>
      <c r="H10" s="31" t="n">
        <f aca="false">IF(D10&gt;0,E10/D10,)</f>
        <v>0</v>
      </c>
      <c r="I10" s="1" t="n">
        <v>101</v>
      </c>
      <c r="J10" s="1" t="n">
        <v>101</v>
      </c>
      <c r="K10" s="1" t="n">
        <v>101</v>
      </c>
      <c r="L10" s="1" t="n">
        <v>101</v>
      </c>
      <c r="M10" s="1" t="n">
        <v>101</v>
      </c>
      <c r="N10" s="1" t="n">
        <v>101</v>
      </c>
      <c r="O10" s="1" t="n">
        <v>101</v>
      </c>
      <c r="P10" s="1" t="n">
        <v>101</v>
      </c>
      <c r="Q10" s="1" t="n">
        <v>101</v>
      </c>
      <c r="R10" s="1" t="n">
        <v>101</v>
      </c>
      <c r="S10" s="1" t="n">
        <v>101</v>
      </c>
      <c r="T10" s="1" t="n">
        <v>101</v>
      </c>
      <c r="U10" s="1" t="n">
        <v>101</v>
      </c>
      <c r="V10" s="1" t="n">
        <v>101</v>
      </c>
      <c r="W10" s="1" t="n">
        <v>101</v>
      </c>
      <c r="X10" s="1" t="n">
        <v>101</v>
      </c>
      <c r="Y10" s="1" t="n">
        <v>101</v>
      </c>
      <c r="Z10" s="1" t="n">
        <v>101</v>
      </c>
      <c r="AA10" s="1" t="n">
        <v>101</v>
      </c>
      <c r="AB10" s="1" t="n">
        <v>101</v>
      </c>
      <c r="AC10" s="1" t="n">
        <v>101</v>
      </c>
      <c r="AD10" s="1" t="n">
        <v>101</v>
      </c>
      <c r="AE10" s="1" t="n">
        <v>101</v>
      </c>
      <c r="AF10" s="1" t="n">
        <v>101</v>
      </c>
      <c r="AG10" s="1" t="n">
        <v>101</v>
      </c>
      <c r="AH10" s="1" t="n">
        <v>101</v>
      </c>
      <c r="AI10" s="1" t="n">
        <v>101</v>
      </c>
      <c r="AJ10" s="1" t="n">
        <v>101</v>
      </c>
      <c r="AK10" s="1" t="n">
        <v>101</v>
      </c>
      <c r="AL10" s="1" t="n">
        <v>101</v>
      </c>
      <c r="AM10" s="1" t="n">
        <v>101</v>
      </c>
      <c r="AN10" s="1" t="n">
        <v>101</v>
      </c>
      <c r="AO10" s="1"/>
      <c r="AP10" s="1"/>
      <c r="AQ10" s="1"/>
    </row>
    <row r="11" customFormat="false" ht="15" hidden="false" customHeight="false" outlineLevel="0" collapsed="false">
      <c r="A11" s="1" t="n">
        <v>508</v>
      </c>
      <c r="D11" s="29" t="n">
        <f aca="false">COUNTIFS(I11:AQ11,"&gt;0",I11:AQ11,"&lt;101")</f>
        <v>0</v>
      </c>
      <c r="E11" s="29" t="n">
        <f aca="true">INDIRECT("'Stammdaten - Schwimmer'!F"&amp;(I11+3))+INDIRECT("'Stammdaten - Schwimmer'!F"&amp;(J11+3))+INDIRECT("'Stammdaten - Schwimmer'!F"&amp;(K11+3))+INDIRECT("'Stammdaten - Schwimmer'!F"&amp;(L11+3))+INDIRECT("'Stammdaten - Schwimmer'!F"&amp;(M11+3))+INDIRECT("'Stammdaten - Schwimmer'!F"&amp;(N11+3))+INDIRECT("'Stammdaten - Schwimmer'!F"&amp;O11+3)+INDIRECT("'Stammdaten - Schwimmer'!F"&amp;(P11+3))+INDIRECT("'Stammdaten - Schwimmer'!F"&amp;(Q11+3))+INDIRECT("'Stammdaten - Schwimmer'!F"&amp;(R11+3))+INDIRECT("'Stammdaten - Schwimmer'!F"&amp;(S11+3))+INDIRECT("'Stammdaten - Schwimmer'!F"&amp;(T11+3))+INDIRECT("'Stammdaten - Schwimmer'!F"&amp;(U11+3))+INDIRECT("'Stammdaten - Schwimmer'!F"&amp;(V11+3))+INDIRECT("'Stammdaten - Schwimmer'!F"&amp;(W11+3))+INDIRECT("'Stammdaten - Schwimmer'!F"&amp;(X11+3))+INDIRECT("'Stammdaten - Schwimmer'!F"&amp;(Y11+3))+INDIRECT("'Stammdaten - Schwimmer'!F"&amp;(Z11+3))+INDIRECT("'Stammdaten - Schwimmer'!F"&amp;(AA11+3))+INDIRECT("'Stammdaten - Schwimmer'!F"&amp;(AB11+3))+INDIRECT("'Stammdaten - Schwimmer'!F"&amp;(AC11+3))+INDIRECT("'Stammdaten - Schwimmer'!F"&amp;(AD11+3))+INDIRECT("'Stammdaten - Schwimmer'!F"&amp;(AE11+3))+INDIRECT("'Stammdaten - Schwimmer'!F"&amp;(AF11+3))+INDIRECT("'Stammdaten - Schwimmer'!F"&amp;(AG11+3))</f>
        <v>0</v>
      </c>
      <c r="F11" s="2"/>
      <c r="G11" s="30" t="n">
        <f aca="false">E11*F11</f>
        <v>0</v>
      </c>
      <c r="H11" s="31" t="n">
        <f aca="false">IF(D11&gt;0,E11/D11,)</f>
        <v>0</v>
      </c>
      <c r="I11" s="1" t="n">
        <v>101</v>
      </c>
      <c r="J11" s="1" t="n">
        <v>101</v>
      </c>
      <c r="K11" s="1" t="n">
        <v>101</v>
      </c>
      <c r="L11" s="1" t="n">
        <v>101</v>
      </c>
      <c r="M11" s="1" t="n">
        <v>101</v>
      </c>
      <c r="N11" s="1" t="n">
        <v>101</v>
      </c>
      <c r="O11" s="1" t="n">
        <v>101</v>
      </c>
      <c r="P11" s="1" t="n">
        <v>101</v>
      </c>
      <c r="Q11" s="1" t="n">
        <v>101</v>
      </c>
      <c r="R11" s="1" t="n">
        <v>101</v>
      </c>
      <c r="S11" s="1" t="n">
        <v>101</v>
      </c>
      <c r="T11" s="1" t="n">
        <v>101</v>
      </c>
      <c r="U11" s="1" t="n">
        <v>101</v>
      </c>
      <c r="V11" s="1" t="n">
        <v>101</v>
      </c>
      <c r="W11" s="1" t="n">
        <v>101</v>
      </c>
      <c r="X11" s="1" t="n">
        <v>101</v>
      </c>
      <c r="Y11" s="1" t="n">
        <v>101</v>
      </c>
      <c r="Z11" s="1" t="n">
        <v>101</v>
      </c>
      <c r="AA11" s="1" t="n">
        <v>101</v>
      </c>
      <c r="AB11" s="1" t="n">
        <v>101</v>
      </c>
      <c r="AC11" s="1" t="n">
        <v>101</v>
      </c>
      <c r="AD11" s="1" t="n">
        <v>101</v>
      </c>
      <c r="AE11" s="1" t="n">
        <v>101</v>
      </c>
      <c r="AF11" s="1" t="n">
        <v>101</v>
      </c>
      <c r="AG11" s="1" t="n">
        <v>101</v>
      </c>
      <c r="AH11" s="1" t="n">
        <v>101</v>
      </c>
      <c r="AI11" s="1" t="n">
        <v>101</v>
      </c>
      <c r="AJ11" s="1" t="n">
        <v>101</v>
      </c>
      <c r="AK11" s="1" t="n">
        <v>101</v>
      </c>
      <c r="AL11" s="1" t="n">
        <v>101</v>
      </c>
      <c r="AM11" s="1" t="n">
        <v>101</v>
      </c>
      <c r="AN11" s="1" t="n">
        <v>101</v>
      </c>
      <c r="AO11" s="1"/>
      <c r="AP11" s="1"/>
      <c r="AQ11" s="1"/>
    </row>
    <row r="12" customFormat="false" ht="15" hidden="false" customHeight="false" outlineLevel="0" collapsed="false">
      <c r="A12" s="1" t="n">
        <v>509</v>
      </c>
      <c r="D12" s="29" t="n">
        <f aca="false">COUNTIFS(I12:AQ12,"&gt;0",I12:AQ12,"&lt;101")</f>
        <v>0</v>
      </c>
      <c r="E12" s="29" t="n">
        <f aca="true">INDIRECT("'Stammdaten - Schwimmer'!F"&amp;(I12+3))+INDIRECT("'Stammdaten - Schwimmer'!F"&amp;(J12+3))+INDIRECT("'Stammdaten - Schwimmer'!F"&amp;(K12+3))+INDIRECT("'Stammdaten - Schwimmer'!F"&amp;(L12+3))+INDIRECT("'Stammdaten - Schwimmer'!F"&amp;(M12+3))+INDIRECT("'Stammdaten - Schwimmer'!F"&amp;(N12+3))+INDIRECT("'Stammdaten - Schwimmer'!F"&amp;O12+3)+INDIRECT("'Stammdaten - Schwimmer'!F"&amp;(P12+3))+INDIRECT("'Stammdaten - Schwimmer'!F"&amp;(Q12+3))+INDIRECT("'Stammdaten - Schwimmer'!F"&amp;(R12+3))+INDIRECT("'Stammdaten - Schwimmer'!F"&amp;(S12+3))+INDIRECT("'Stammdaten - Schwimmer'!F"&amp;(T12+3))+INDIRECT("'Stammdaten - Schwimmer'!F"&amp;(U12+3))+INDIRECT("'Stammdaten - Schwimmer'!F"&amp;(V12+3))+INDIRECT("'Stammdaten - Schwimmer'!F"&amp;(W12+3))+INDIRECT("'Stammdaten - Schwimmer'!F"&amp;(X12+3))+INDIRECT("'Stammdaten - Schwimmer'!F"&amp;(Y12+3))+INDIRECT("'Stammdaten - Schwimmer'!F"&amp;(Z12+3))+INDIRECT("'Stammdaten - Schwimmer'!F"&amp;(AA12+3))+INDIRECT("'Stammdaten - Schwimmer'!F"&amp;(AB12+3))+INDIRECT("'Stammdaten - Schwimmer'!F"&amp;(AC12+3))+INDIRECT("'Stammdaten - Schwimmer'!F"&amp;(AD12+3))+INDIRECT("'Stammdaten - Schwimmer'!F"&amp;(AE12+3))+INDIRECT("'Stammdaten - Schwimmer'!F"&amp;(AF12+3))+INDIRECT("'Stammdaten - Schwimmer'!F"&amp;(AG12+3))</f>
        <v>0</v>
      </c>
      <c r="F12" s="2"/>
      <c r="G12" s="30" t="n">
        <f aca="false">E12*F12</f>
        <v>0</v>
      </c>
      <c r="H12" s="31" t="n">
        <f aca="false">IF(D12&gt;0,E12/D12,)</f>
        <v>0</v>
      </c>
      <c r="I12" s="1" t="n">
        <v>101</v>
      </c>
      <c r="J12" s="1" t="n">
        <v>101</v>
      </c>
      <c r="K12" s="1" t="n">
        <v>101</v>
      </c>
      <c r="L12" s="1" t="n">
        <v>101</v>
      </c>
      <c r="M12" s="1" t="n">
        <v>101</v>
      </c>
      <c r="N12" s="1" t="n">
        <v>101</v>
      </c>
      <c r="O12" s="1" t="n">
        <v>101</v>
      </c>
      <c r="P12" s="1" t="n">
        <v>101</v>
      </c>
      <c r="Q12" s="1" t="n">
        <v>101</v>
      </c>
      <c r="R12" s="1" t="n">
        <v>101</v>
      </c>
      <c r="S12" s="1" t="n">
        <v>101</v>
      </c>
      <c r="T12" s="1" t="n">
        <v>101</v>
      </c>
      <c r="U12" s="1" t="n">
        <v>101</v>
      </c>
      <c r="V12" s="1" t="n">
        <v>101</v>
      </c>
      <c r="W12" s="1" t="n">
        <v>101</v>
      </c>
      <c r="X12" s="1" t="n">
        <v>101</v>
      </c>
      <c r="Y12" s="1" t="n">
        <v>101</v>
      </c>
      <c r="Z12" s="1" t="n">
        <v>101</v>
      </c>
      <c r="AA12" s="1" t="n">
        <v>101</v>
      </c>
      <c r="AB12" s="1" t="n">
        <v>101</v>
      </c>
      <c r="AC12" s="1" t="n">
        <v>101</v>
      </c>
      <c r="AD12" s="1" t="n">
        <v>101</v>
      </c>
      <c r="AE12" s="1" t="n">
        <v>101</v>
      </c>
      <c r="AF12" s="1" t="n">
        <v>101</v>
      </c>
      <c r="AG12" s="1" t="n">
        <v>101</v>
      </c>
      <c r="AH12" s="1" t="n">
        <v>101</v>
      </c>
      <c r="AI12" s="1" t="n">
        <v>101</v>
      </c>
      <c r="AJ12" s="1" t="n">
        <v>101</v>
      </c>
      <c r="AK12" s="1" t="n">
        <v>101</v>
      </c>
      <c r="AL12" s="1" t="n">
        <v>101</v>
      </c>
      <c r="AM12" s="1" t="n">
        <v>101</v>
      </c>
      <c r="AN12" s="1" t="n">
        <v>101</v>
      </c>
      <c r="AO12" s="1"/>
      <c r="AP12" s="1"/>
      <c r="AQ12" s="1"/>
    </row>
    <row r="13" customFormat="false" ht="15" hidden="false" customHeight="false" outlineLevel="0" collapsed="false">
      <c r="A13" s="1" t="n">
        <v>510</v>
      </c>
      <c r="D13" s="29" t="n">
        <f aca="false">COUNTIFS(I13:AQ13,"&gt;0",I13:AQ13,"&lt;101")</f>
        <v>0</v>
      </c>
      <c r="E13" s="29" t="n">
        <f aca="true">INDIRECT("'Stammdaten - Schwimmer'!F"&amp;(I13+3))+INDIRECT("'Stammdaten - Schwimmer'!F"&amp;(J13+3))+INDIRECT("'Stammdaten - Schwimmer'!F"&amp;(K13+3))+INDIRECT("'Stammdaten - Schwimmer'!F"&amp;(L13+3))+INDIRECT("'Stammdaten - Schwimmer'!F"&amp;(M13+3))+INDIRECT("'Stammdaten - Schwimmer'!F"&amp;(N13+3))+INDIRECT("'Stammdaten - Schwimmer'!F"&amp;O13+3)+INDIRECT("'Stammdaten - Schwimmer'!F"&amp;(P13+3))+INDIRECT("'Stammdaten - Schwimmer'!F"&amp;(Q13+3))+INDIRECT("'Stammdaten - Schwimmer'!F"&amp;(R13+3))+INDIRECT("'Stammdaten - Schwimmer'!F"&amp;(S13+3))+INDIRECT("'Stammdaten - Schwimmer'!F"&amp;(T13+3))+INDIRECT("'Stammdaten - Schwimmer'!F"&amp;(U13+3))+INDIRECT("'Stammdaten - Schwimmer'!F"&amp;(V13+3))+INDIRECT("'Stammdaten - Schwimmer'!F"&amp;(W13+3))+INDIRECT("'Stammdaten - Schwimmer'!F"&amp;(X13+3))+INDIRECT("'Stammdaten - Schwimmer'!F"&amp;(Y13+3))+INDIRECT("'Stammdaten - Schwimmer'!F"&amp;(Z13+3))+INDIRECT("'Stammdaten - Schwimmer'!F"&amp;(AA13+3))+INDIRECT("'Stammdaten - Schwimmer'!F"&amp;(AB13+3))+INDIRECT("'Stammdaten - Schwimmer'!F"&amp;(AC13+3))+INDIRECT("'Stammdaten - Schwimmer'!F"&amp;(AD13+3))+INDIRECT("'Stammdaten - Schwimmer'!F"&amp;(AE13+3))+INDIRECT("'Stammdaten - Schwimmer'!F"&amp;(AF13+3))+INDIRECT("'Stammdaten - Schwimmer'!F"&amp;(AG13+3))</f>
        <v>0</v>
      </c>
      <c r="F13" s="2"/>
      <c r="G13" s="30" t="n">
        <f aca="false">E13*F13</f>
        <v>0</v>
      </c>
      <c r="H13" s="31" t="n">
        <f aca="false">IF(D13&gt;0,E13/D13,)</f>
        <v>0</v>
      </c>
      <c r="I13" s="1" t="n">
        <v>101</v>
      </c>
      <c r="J13" s="1" t="n">
        <v>101</v>
      </c>
      <c r="K13" s="1" t="n">
        <v>101</v>
      </c>
      <c r="L13" s="1" t="n">
        <v>101</v>
      </c>
      <c r="M13" s="1" t="n">
        <v>101</v>
      </c>
      <c r="N13" s="1" t="n">
        <v>101</v>
      </c>
      <c r="O13" s="1" t="n">
        <v>101</v>
      </c>
      <c r="P13" s="1" t="n">
        <v>101</v>
      </c>
      <c r="Q13" s="1" t="n">
        <v>101</v>
      </c>
      <c r="R13" s="1" t="n">
        <v>101</v>
      </c>
      <c r="S13" s="1" t="n">
        <v>101</v>
      </c>
      <c r="T13" s="1" t="n">
        <v>101</v>
      </c>
      <c r="U13" s="1" t="n">
        <v>101</v>
      </c>
      <c r="V13" s="1" t="n">
        <v>101</v>
      </c>
      <c r="W13" s="1" t="n">
        <v>101</v>
      </c>
      <c r="X13" s="1" t="n">
        <v>101</v>
      </c>
      <c r="Y13" s="1" t="n">
        <v>101</v>
      </c>
      <c r="Z13" s="1" t="n">
        <v>101</v>
      </c>
      <c r="AA13" s="1" t="n">
        <v>101</v>
      </c>
      <c r="AB13" s="1" t="n">
        <v>101</v>
      </c>
      <c r="AC13" s="1" t="n">
        <v>101</v>
      </c>
      <c r="AD13" s="1" t="n">
        <v>101</v>
      </c>
      <c r="AE13" s="1" t="n">
        <v>101</v>
      </c>
      <c r="AF13" s="1" t="n">
        <v>101</v>
      </c>
      <c r="AG13" s="1" t="n">
        <v>101</v>
      </c>
      <c r="AH13" s="1" t="n">
        <v>101</v>
      </c>
      <c r="AI13" s="1" t="n">
        <v>101</v>
      </c>
      <c r="AJ13" s="1" t="n">
        <v>101</v>
      </c>
      <c r="AK13" s="1" t="n">
        <v>101</v>
      </c>
      <c r="AL13" s="1" t="n">
        <v>101</v>
      </c>
      <c r="AM13" s="1" t="n">
        <v>101</v>
      </c>
      <c r="AN13" s="1" t="n">
        <v>101</v>
      </c>
      <c r="AO13" s="1"/>
      <c r="AP13" s="1"/>
      <c r="AQ13" s="1"/>
    </row>
    <row r="14" customFormat="false" ht="15" hidden="false" customHeight="false" outlineLevel="0" collapsed="false">
      <c r="A14" s="1" t="n">
        <v>511</v>
      </c>
      <c r="D14" s="29" t="n">
        <f aca="false">COUNTIFS(I14:AQ14,"&gt;0",I14:AQ14,"&lt;101")</f>
        <v>0</v>
      </c>
      <c r="E14" s="29" t="n">
        <f aca="true">INDIRECT("'Stammdaten - Schwimmer'!F"&amp;(I14+3))+INDIRECT("'Stammdaten - Schwimmer'!F"&amp;(J14+3))+INDIRECT("'Stammdaten - Schwimmer'!F"&amp;(K14+3))+INDIRECT("'Stammdaten - Schwimmer'!F"&amp;(L14+3))+INDIRECT("'Stammdaten - Schwimmer'!F"&amp;(M14+3))+INDIRECT("'Stammdaten - Schwimmer'!F"&amp;(N14+3))+INDIRECT("'Stammdaten - Schwimmer'!F"&amp;O14+3)+INDIRECT("'Stammdaten - Schwimmer'!F"&amp;(P14+3))+INDIRECT("'Stammdaten - Schwimmer'!F"&amp;(Q14+3))+INDIRECT("'Stammdaten - Schwimmer'!F"&amp;(R14+3))+INDIRECT("'Stammdaten - Schwimmer'!F"&amp;(S14+3))+INDIRECT("'Stammdaten - Schwimmer'!F"&amp;(T14+3))+INDIRECT("'Stammdaten - Schwimmer'!F"&amp;(U14+3))+INDIRECT("'Stammdaten - Schwimmer'!F"&amp;(V14+3))+INDIRECT("'Stammdaten - Schwimmer'!F"&amp;(W14+3))+INDIRECT("'Stammdaten - Schwimmer'!F"&amp;(X14+3))+INDIRECT("'Stammdaten - Schwimmer'!F"&amp;(Y14+3))+INDIRECT("'Stammdaten - Schwimmer'!F"&amp;(Z14+3))+INDIRECT("'Stammdaten - Schwimmer'!F"&amp;(AA14+3))+INDIRECT("'Stammdaten - Schwimmer'!F"&amp;(AB14+3))+INDIRECT("'Stammdaten - Schwimmer'!F"&amp;(AC14+3))+INDIRECT("'Stammdaten - Schwimmer'!F"&amp;(AD14+3))+INDIRECT("'Stammdaten - Schwimmer'!F"&amp;(AE14+3))+INDIRECT("'Stammdaten - Schwimmer'!F"&amp;(AF14+3))+INDIRECT("'Stammdaten - Schwimmer'!F"&amp;(AG14+3))</f>
        <v>0</v>
      </c>
      <c r="F14" s="2"/>
      <c r="G14" s="30" t="n">
        <f aca="false">E14*F14</f>
        <v>0</v>
      </c>
      <c r="H14" s="31" t="n">
        <f aca="false">IF(D14&gt;0,E14/D14,)</f>
        <v>0</v>
      </c>
      <c r="I14" s="1" t="n">
        <v>101</v>
      </c>
      <c r="J14" s="1" t="n">
        <v>101</v>
      </c>
      <c r="K14" s="1" t="n">
        <v>101</v>
      </c>
      <c r="L14" s="1" t="n">
        <v>101</v>
      </c>
      <c r="M14" s="1" t="n">
        <v>101</v>
      </c>
      <c r="N14" s="1" t="n">
        <v>101</v>
      </c>
      <c r="O14" s="1" t="n">
        <v>101</v>
      </c>
      <c r="P14" s="1" t="n">
        <v>101</v>
      </c>
      <c r="Q14" s="1" t="n">
        <v>101</v>
      </c>
      <c r="R14" s="1" t="n">
        <v>101</v>
      </c>
      <c r="S14" s="1" t="n">
        <v>101</v>
      </c>
      <c r="T14" s="1" t="n">
        <v>101</v>
      </c>
      <c r="U14" s="1" t="n">
        <v>101</v>
      </c>
      <c r="V14" s="1" t="n">
        <v>101</v>
      </c>
      <c r="W14" s="1" t="n">
        <v>101</v>
      </c>
      <c r="X14" s="1" t="n">
        <v>101</v>
      </c>
      <c r="Y14" s="1" t="n">
        <v>101</v>
      </c>
      <c r="Z14" s="1" t="n">
        <v>101</v>
      </c>
      <c r="AA14" s="1" t="n">
        <v>101</v>
      </c>
      <c r="AB14" s="1" t="n">
        <v>101</v>
      </c>
      <c r="AC14" s="1" t="n">
        <v>101</v>
      </c>
      <c r="AD14" s="1" t="n">
        <v>101</v>
      </c>
      <c r="AE14" s="1" t="n">
        <v>101</v>
      </c>
      <c r="AF14" s="1" t="n">
        <v>101</v>
      </c>
      <c r="AG14" s="1" t="n">
        <v>101</v>
      </c>
      <c r="AH14" s="1" t="n">
        <v>101</v>
      </c>
      <c r="AI14" s="1" t="n">
        <v>101</v>
      </c>
      <c r="AJ14" s="1" t="n">
        <v>101</v>
      </c>
      <c r="AK14" s="1" t="n">
        <v>101</v>
      </c>
      <c r="AL14" s="1" t="n">
        <v>101</v>
      </c>
      <c r="AM14" s="1" t="n">
        <v>101</v>
      </c>
      <c r="AN14" s="1" t="n">
        <v>101</v>
      </c>
      <c r="AO14" s="1"/>
      <c r="AP14" s="1"/>
      <c r="AQ14" s="1"/>
    </row>
    <row r="15" customFormat="false" ht="15" hidden="false" customHeight="false" outlineLevel="0" collapsed="false">
      <c r="A15" s="1" t="n">
        <v>512</v>
      </c>
      <c r="D15" s="29" t="n">
        <f aca="false">COUNTIFS(I15:AQ15,"&gt;0",I15:AQ15,"&lt;101")</f>
        <v>0</v>
      </c>
      <c r="E15" s="29" t="n">
        <f aca="true">INDIRECT("'Stammdaten - Schwimmer'!F"&amp;(I15+3))+INDIRECT("'Stammdaten - Schwimmer'!F"&amp;(J15+3))+INDIRECT("'Stammdaten - Schwimmer'!F"&amp;(K15+3))+INDIRECT("'Stammdaten - Schwimmer'!F"&amp;(L15+3))+INDIRECT("'Stammdaten - Schwimmer'!F"&amp;(M15+3))+INDIRECT("'Stammdaten - Schwimmer'!F"&amp;(N15+3))+INDIRECT("'Stammdaten - Schwimmer'!F"&amp;O15+3)+INDIRECT("'Stammdaten - Schwimmer'!F"&amp;(P15+3))+INDIRECT("'Stammdaten - Schwimmer'!F"&amp;(Q15+3))+INDIRECT("'Stammdaten - Schwimmer'!F"&amp;(R15+3))+INDIRECT("'Stammdaten - Schwimmer'!F"&amp;(S15+3))+INDIRECT("'Stammdaten - Schwimmer'!F"&amp;(T15+3))+INDIRECT("'Stammdaten - Schwimmer'!F"&amp;(U15+3))+INDIRECT("'Stammdaten - Schwimmer'!F"&amp;(V15+3))+INDIRECT("'Stammdaten - Schwimmer'!F"&amp;(W15+3))+INDIRECT("'Stammdaten - Schwimmer'!F"&amp;(X15+3))+INDIRECT("'Stammdaten - Schwimmer'!F"&amp;(Y15+3))+INDIRECT("'Stammdaten - Schwimmer'!F"&amp;(Z15+3))+INDIRECT("'Stammdaten - Schwimmer'!F"&amp;(AA15+3))+INDIRECT("'Stammdaten - Schwimmer'!F"&amp;(AB15+3))+INDIRECT("'Stammdaten - Schwimmer'!F"&amp;(AC15+3))+INDIRECT("'Stammdaten - Schwimmer'!F"&amp;(AD15+3))+INDIRECT("'Stammdaten - Schwimmer'!F"&amp;(AE15+3))+INDIRECT("'Stammdaten - Schwimmer'!F"&amp;(AF15+3))+INDIRECT("'Stammdaten - Schwimmer'!F"&amp;(AG15+3))</f>
        <v>0</v>
      </c>
      <c r="F15" s="2"/>
      <c r="G15" s="30" t="n">
        <f aca="false">E15*F15</f>
        <v>0</v>
      </c>
      <c r="H15" s="31" t="n">
        <f aca="false">IF(D15&gt;0,E15/D15,)</f>
        <v>0</v>
      </c>
      <c r="I15" s="1" t="n">
        <v>101</v>
      </c>
      <c r="J15" s="1" t="n">
        <v>101</v>
      </c>
      <c r="K15" s="1" t="n">
        <v>101</v>
      </c>
      <c r="L15" s="1" t="n">
        <v>101</v>
      </c>
      <c r="M15" s="1" t="n">
        <v>101</v>
      </c>
      <c r="N15" s="1" t="n">
        <v>101</v>
      </c>
      <c r="O15" s="1" t="n">
        <v>101</v>
      </c>
      <c r="P15" s="1" t="n">
        <v>101</v>
      </c>
      <c r="Q15" s="1" t="n">
        <v>101</v>
      </c>
      <c r="R15" s="1" t="n">
        <v>101</v>
      </c>
      <c r="S15" s="1" t="n">
        <v>101</v>
      </c>
      <c r="T15" s="1" t="n">
        <v>101</v>
      </c>
      <c r="U15" s="1" t="n">
        <v>101</v>
      </c>
      <c r="V15" s="1" t="n">
        <v>101</v>
      </c>
      <c r="W15" s="1" t="n">
        <v>101</v>
      </c>
      <c r="X15" s="1" t="n">
        <v>101</v>
      </c>
      <c r="Y15" s="1" t="n">
        <v>101</v>
      </c>
      <c r="Z15" s="1" t="n">
        <v>101</v>
      </c>
      <c r="AA15" s="1" t="n">
        <v>101</v>
      </c>
      <c r="AB15" s="1" t="n">
        <v>101</v>
      </c>
      <c r="AC15" s="1" t="n">
        <v>101</v>
      </c>
      <c r="AD15" s="1" t="n">
        <v>101</v>
      </c>
      <c r="AE15" s="1" t="n">
        <v>101</v>
      </c>
      <c r="AF15" s="1" t="n">
        <v>101</v>
      </c>
      <c r="AG15" s="1" t="n">
        <v>101</v>
      </c>
      <c r="AH15" s="1" t="n">
        <v>101</v>
      </c>
      <c r="AI15" s="1" t="n">
        <v>101</v>
      </c>
      <c r="AJ15" s="1" t="n">
        <v>101</v>
      </c>
      <c r="AK15" s="1" t="n">
        <v>101</v>
      </c>
      <c r="AL15" s="1" t="n">
        <v>101</v>
      </c>
      <c r="AM15" s="1" t="n">
        <v>101</v>
      </c>
      <c r="AN15" s="1" t="n">
        <v>101</v>
      </c>
      <c r="AO15" s="1"/>
      <c r="AP15" s="1"/>
      <c r="AQ15" s="1"/>
    </row>
    <row r="16" customFormat="false" ht="15" hidden="false" customHeight="false" outlineLevel="0" collapsed="false">
      <c r="A16" s="1" t="n">
        <v>513</v>
      </c>
      <c r="D16" s="29" t="n">
        <f aca="false">COUNTIFS(I16:AQ16,"&gt;0",I16:AQ16,"&lt;101")</f>
        <v>0</v>
      </c>
      <c r="E16" s="29" t="n">
        <f aca="true">INDIRECT("'Stammdaten - Schwimmer'!F"&amp;(I16+3))+INDIRECT("'Stammdaten - Schwimmer'!F"&amp;(J16+3))+INDIRECT("'Stammdaten - Schwimmer'!F"&amp;(K16+3))+INDIRECT("'Stammdaten - Schwimmer'!F"&amp;(L16+3))+INDIRECT("'Stammdaten - Schwimmer'!F"&amp;(M16+3))+INDIRECT("'Stammdaten - Schwimmer'!F"&amp;(N16+3))+INDIRECT("'Stammdaten - Schwimmer'!F"&amp;O16+3)+INDIRECT("'Stammdaten - Schwimmer'!F"&amp;(P16+3))+INDIRECT("'Stammdaten - Schwimmer'!F"&amp;(Q16+3))+INDIRECT("'Stammdaten - Schwimmer'!F"&amp;(R16+3))+INDIRECT("'Stammdaten - Schwimmer'!F"&amp;(S16+3))+INDIRECT("'Stammdaten - Schwimmer'!F"&amp;(T16+3))+INDIRECT("'Stammdaten - Schwimmer'!F"&amp;(U16+3))+INDIRECT("'Stammdaten - Schwimmer'!F"&amp;(V16+3))+INDIRECT("'Stammdaten - Schwimmer'!F"&amp;(W16+3))+INDIRECT("'Stammdaten - Schwimmer'!F"&amp;(X16+3))+INDIRECT("'Stammdaten - Schwimmer'!F"&amp;(Y16+3))+INDIRECT("'Stammdaten - Schwimmer'!F"&amp;(Z16+3))+INDIRECT("'Stammdaten - Schwimmer'!F"&amp;(AA16+3))+INDIRECT("'Stammdaten - Schwimmer'!F"&amp;(AB16+3))+INDIRECT("'Stammdaten - Schwimmer'!F"&amp;(AC16+3))+INDIRECT("'Stammdaten - Schwimmer'!F"&amp;(AD16+3))+INDIRECT("'Stammdaten - Schwimmer'!F"&amp;(AE16+3))+INDIRECT("'Stammdaten - Schwimmer'!F"&amp;(AF16+3))+INDIRECT("'Stammdaten - Schwimmer'!F"&amp;(AG16+3))</f>
        <v>0</v>
      </c>
      <c r="F16" s="2"/>
      <c r="G16" s="30" t="n">
        <f aca="false">E16*F16</f>
        <v>0</v>
      </c>
      <c r="H16" s="31" t="n">
        <f aca="false">IF(D16&gt;0,E16/D16,)</f>
        <v>0</v>
      </c>
      <c r="I16" s="1" t="n">
        <v>101</v>
      </c>
      <c r="J16" s="1" t="n">
        <v>101</v>
      </c>
      <c r="K16" s="1" t="n">
        <v>101</v>
      </c>
      <c r="L16" s="1" t="n">
        <v>101</v>
      </c>
      <c r="M16" s="1" t="n">
        <v>101</v>
      </c>
      <c r="N16" s="1" t="n">
        <v>101</v>
      </c>
      <c r="O16" s="1" t="n">
        <v>101</v>
      </c>
      <c r="P16" s="1" t="n">
        <v>101</v>
      </c>
      <c r="Q16" s="1" t="n">
        <v>101</v>
      </c>
      <c r="R16" s="1" t="n">
        <v>101</v>
      </c>
      <c r="S16" s="1" t="n">
        <v>101</v>
      </c>
      <c r="T16" s="1" t="n">
        <v>101</v>
      </c>
      <c r="U16" s="1" t="n">
        <v>101</v>
      </c>
      <c r="V16" s="1" t="n">
        <v>101</v>
      </c>
      <c r="W16" s="1" t="n">
        <v>101</v>
      </c>
      <c r="X16" s="1" t="n">
        <v>101</v>
      </c>
      <c r="Y16" s="1" t="n">
        <v>101</v>
      </c>
      <c r="Z16" s="1" t="n">
        <v>101</v>
      </c>
      <c r="AA16" s="1" t="n">
        <v>101</v>
      </c>
      <c r="AB16" s="1" t="n">
        <v>101</v>
      </c>
      <c r="AC16" s="1" t="n">
        <v>101</v>
      </c>
      <c r="AD16" s="1" t="n">
        <v>101</v>
      </c>
      <c r="AE16" s="1" t="n">
        <v>101</v>
      </c>
      <c r="AF16" s="1" t="n">
        <v>101</v>
      </c>
      <c r="AG16" s="1" t="n">
        <v>101</v>
      </c>
      <c r="AH16" s="1" t="n">
        <v>101</v>
      </c>
      <c r="AI16" s="1" t="n">
        <v>101</v>
      </c>
      <c r="AJ16" s="1" t="n">
        <v>101</v>
      </c>
      <c r="AK16" s="1" t="n">
        <v>101</v>
      </c>
      <c r="AL16" s="1" t="n">
        <v>101</v>
      </c>
      <c r="AM16" s="1" t="n">
        <v>101</v>
      </c>
      <c r="AN16" s="1" t="n">
        <v>101</v>
      </c>
      <c r="AO16" s="1"/>
      <c r="AP16" s="1"/>
      <c r="AQ16" s="1"/>
    </row>
    <row r="17" customFormat="false" ht="15" hidden="false" customHeight="false" outlineLevel="0" collapsed="false">
      <c r="A17" s="1" t="n">
        <v>514</v>
      </c>
      <c r="D17" s="29" t="n">
        <f aca="false">COUNTIFS(I17:AQ17,"&gt;0",I17:AQ17,"&lt;101")</f>
        <v>0</v>
      </c>
      <c r="E17" s="29" t="n">
        <f aca="true">INDIRECT("'Stammdaten - Schwimmer'!F"&amp;(I17+3))+INDIRECT("'Stammdaten - Schwimmer'!F"&amp;(J17+3))+INDIRECT("'Stammdaten - Schwimmer'!F"&amp;(K17+3))+INDIRECT("'Stammdaten - Schwimmer'!F"&amp;(L17+3))+INDIRECT("'Stammdaten - Schwimmer'!F"&amp;(M17+3))+INDIRECT("'Stammdaten - Schwimmer'!F"&amp;(N17+3))+INDIRECT("'Stammdaten - Schwimmer'!F"&amp;O17+3)+INDIRECT("'Stammdaten - Schwimmer'!F"&amp;(P17+3))+INDIRECT("'Stammdaten - Schwimmer'!F"&amp;(Q17+3))+INDIRECT("'Stammdaten - Schwimmer'!F"&amp;(R17+3))+INDIRECT("'Stammdaten - Schwimmer'!F"&amp;(S17+3))+INDIRECT("'Stammdaten - Schwimmer'!F"&amp;(T17+3))+INDIRECT("'Stammdaten - Schwimmer'!F"&amp;(U17+3))+INDIRECT("'Stammdaten - Schwimmer'!F"&amp;(V17+3))+INDIRECT("'Stammdaten - Schwimmer'!F"&amp;(W17+3))+INDIRECT("'Stammdaten - Schwimmer'!F"&amp;(X17+3))+INDIRECT("'Stammdaten - Schwimmer'!F"&amp;(Y17+3))+INDIRECT("'Stammdaten - Schwimmer'!F"&amp;(Z17+3))+INDIRECT("'Stammdaten - Schwimmer'!F"&amp;(AA17+3))+INDIRECT("'Stammdaten - Schwimmer'!F"&amp;(AB17+3))+INDIRECT("'Stammdaten - Schwimmer'!F"&amp;(AC17+3))+INDIRECT("'Stammdaten - Schwimmer'!F"&amp;(AD17+3))+INDIRECT("'Stammdaten - Schwimmer'!F"&amp;(AE17+3))+INDIRECT("'Stammdaten - Schwimmer'!F"&amp;(AF17+3))+INDIRECT("'Stammdaten - Schwimmer'!F"&amp;(AG17+3))</f>
        <v>0</v>
      </c>
      <c r="F17" s="2"/>
      <c r="G17" s="30" t="n">
        <f aca="false">E17*F17</f>
        <v>0</v>
      </c>
      <c r="H17" s="31" t="n">
        <f aca="false">IF(D17&gt;0,E17/D17,)</f>
        <v>0</v>
      </c>
      <c r="I17" s="1" t="n">
        <v>101</v>
      </c>
      <c r="J17" s="1" t="n">
        <v>101</v>
      </c>
      <c r="K17" s="1" t="n">
        <v>101</v>
      </c>
      <c r="L17" s="1" t="n">
        <v>101</v>
      </c>
      <c r="M17" s="1" t="n">
        <v>101</v>
      </c>
      <c r="N17" s="1" t="n">
        <v>101</v>
      </c>
      <c r="O17" s="1" t="n">
        <v>101</v>
      </c>
      <c r="P17" s="1" t="n">
        <v>101</v>
      </c>
      <c r="Q17" s="1" t="n">
        <v>101</v>
      </c>
      <c r="R17" s="1" t="n">
        <v>101</v>
      </c>
      <c r="S17" s="1" t="n">
        <v>101</v>
      </c>
      <c r="T17" s="1" t="n">
        <v>101</v>
      </c>
      <c r="U17" s="1" t="n">
        <v>101</v>
      </c>
      <c r="V17" s="1" t="n">
        <v>101</v>
      </c>
      <c r="W17" s="1" t="n">
        <v>101</v>
      </c>
      <c r="X17" s="1" t="n">
        <v>101</v>
      </c>
      <c r="Y17" s="1" t="n">
        <v>101</v>
      </c>
      <c r="Z17" s="1" t="n">
        <v>101</v>
      </c>
      <c r="AA17" s="1" t="n">
        <v>101</v>
      </c>
      <c r="AB17" s="1" t="n">
        <v>101</v>
      </c>
      <c r="AC17" s="1" t="n">
        <v>101</v>
      </c>
      <c r="AD17" s="1" t="n">
        <v>101</v>
      </c>
      <c r="AE17" s="1" t="n">
        <v>101</v>
      </c>
      <c r="AF17" s="1" t="n">
        <v>101</v>
      </c>
      <c r="AG17" s="1" t="n">
        <v>101</v>
      </c>
      <c r="AH17" s="1" t="n">
        <v>101</v>
      </c>
      <c r="AI17" s="1" t="n">
        <v>101</v>
      </c>
      <c r="AJ17" s="1" t="n">
        <v>101</v>
      </c>
      <c r="AK17" s="1" t="n">
        <v>101</v>
      </c>
      <c r="AL17" s="1" t="n">
        <v>101</v>
      </c>
      <c r="AM17" s="1" t="n">
        <v>101</v>
      </c>
      <c r="AN17" s="1" t="n">
        <v>101</v>
      </c>
      <c r="AO17" s="1"/>
      <c r="AP17" s="1"/>
      <c r="AQ17" s="1"/>
    </row>
    <row r="18" customFormat="false" ht="15" hidden="false" customHeight="false" outlineLevel="0" collapsed="false">
      <c r="A18" s="1" t="n">
        <v>515</v>
      </c>
      <c r="D18" s="29" t="n">
        <f aca="false">COUNTIFS(I18:AQ18,"&gt;0",I18:AQ18,"&lt;101")</f>
        <v>0</v>
      </c>
      <c r="E18" s="29" t="n">
        <f aca="true">INDIRECT("'Stammdaten - Schwimmer'!F"&amp;(I18+3))+INDIRECT("'Stammdaten - Schwimmer'!F"&amp;(J18+3))+INDIRECT("'Stammdaten - Schwimmer'!F"&amp;(K18+3))+INDIRECT("'Stammdaten - Schwimmer'!F"&amp;(L18+3))+INDIRECT("'Stammdaten - Schwimmer'!F"&amp;(M18+3))+INDIRECT("'Stammdaten - Schwimmer'!F"&amp;(N18+3))+INDIRECT("'Stammdaten - Schwimmer'!F"&amp;O18+3)+INDIRECT("'Stammdaten - Schwimmer'!F"&amp;(P18+3))+INDIRECT("'Stammdaten - Schwimmer'!F"&amp;(Q18+3))+INDIRECT("'Stammdaten - Schwimmer'!F"&amp;(R18+3))+INDIRECT("'Stammdaten - Schwimmer'!F"&amp;(S18+3))+INDIRECT("'Stammdaten - Schwimmer'!F"&amp;(T18+3))+INDIRECT("'Stammdaten - Schwimmer'!F"&amp;(U18+3))+INDIRECT("'Stammdaten - Schwimmer'!F"&amp;(V18+3))+INDIRECT("'Stammdaten - Schwimmer'!F"&amp;(W18+3))+INDIRECT("'Stammdaten - Schwimmer'!F"&amp;(X18+3))+INDIRECT("'Stammdaten - Schwimmer'!F"&amp;(Y18+3))+INDIRECT("'Stammdaten - Schwimmer'!F"&amp;(Z18+3))+INDIRECT("'Stammdaten - Schwimmer'!F"&amp;(AA18+3))+INDIRECT("'Stammdaten - Schwimmer'!F"&amp;(AB18+3))+INDIRECT("'Stammdaten - Schwimmer'!F"&amp;(AC18+3))+INDIRECT("'Stammdaten - Schwimmer'!F"&amp;(AD18+3))+INDIRECT("'Stammdaten - Schwimmer'!F"&amp;(AE18+3))+INDIRECT("'Stammdaten - Schwimmer'!F"&amp;(AF18+3))+INDIRECT("'Stammdaten - Schwimmer'!F"&amp;(AG18+3))</f>
        <v>0</v>
      </c>
      <c r="F18" s="2"/>
      <c r="G18" s="30" t="n">
        <f aca="false">E18*F18</f>
        <v>0</v>
      </c>
      <c r="H18" s="31" t="n">
        <f aca="false">IF(D18&gt;0,E18/D18,)</f>
        <v>0</v>
      </c>
      <c r="I18" s="1" t="n">
        <v>101</v>
      </c>
      <c r="J18" s="1" t="n">
        <v>101</v>
      </c>
      <c r="K18" s="1" t="n">
        <v>101</v>
      </c>
      <c r="L18" s="1" t="n">
        <v>101</v>
      </c>
      <c r="M18" s="1" t="n">
        <v>101</v>
      </c>
      <c r="N18" s="1" t="n">
        <v>101</v>
      </c>
      <c r="O18" s="1" t="n">
        <v>101</v>
      </c>
      <c r="P18" s="1" t="n">
        <v>101</v>
      </c>
      <c r="Q18" s="1" t="n">
        <v>101</v>
      </c>
      <c r="R18" s="1" t="n">
        <v>101</v>
      </c>
      <c r="S18" s="1" t="n">
        <v>101</v>
      </c>
      <c r="T18" s="1" t="n">
        <v>101</v>
      </c>
      <c r="U18" s="1" t="n">
        <v>101</v>
      </c>
      <c r="V18" s="1" t="n">
        <v>101</v>
      </c>
      <c r="W18" s="1" t="n">
        <v>101</v>
      </c>
      <c r="X18" s="1" t="n">
        <v>101</v>
      </c>
      <c r="Y18" s="1" t="n">
        <v>101</v>
      </c>
      <c r="Z18" s="1" t="n">
        <v>101</v>
      </c>
      <c r="AA18" s="1" t="n">
        <v>101</v>
      </c>
      <c r="AB18" s="1" t="n">
        <v>101</v>
      </c>
      <c r="AC18" s="1" t="n">
        <v>101</v>
      </c>
      <c r="AD18" s="1" t="n">
        <v>101</v>
      </c>
      <c r="AE18" s="1" t="n">
        <v>101</v>
      </c>
      <c r="AF18" s="1" t="n">
        <v>101</v>
      </c>
      <c r="AG18" s="1" t="n">
        <v>101</v>
      </c>
      <c r="AH18" s="1" t="n">
        <v>101</v>
      </c>
      <c r="AI18" s="1" t="n">
        <v>101</v>
      </c>
      <c r="AJ18" s="1" t="n">
        <v>101</v>
      </c>
      <c r="AK18" s="1" t="n">
        <v>101</v>
      </c>
      <c r="AL18" s="1" t="n">
        <v>101</v>
      </c>
      <c r="AM18" s="1" t="n">
        <v>101</v>
      </c>
      <c r="AN18" s="1" t="n">
        <v>101</v>
      </c>
      <c r="AO18" s="1"/>
      <c r="AP18" s="1"/>
      <c r="AQ18" s="1"/>
    </row>
    <row r="19" customFormat="false" ht="15" hidden="false" customHeight="false" outlineLevel="0" collapsed="false">
      <c r="A19" s="1" t="n">
        <v>516</v>
      </c>
      <c r="D19" s="29" t="n">
        <f aca="false">COUNTIFS(I19:AQ19,"&gt;0",I19:AQ19,"&lt;101")</f>
        <v>0</v>
      </c>
      <c r="E19" s="29" t="n">
        <f aca="true">INDIRECT("'Stammdaten - Schwimmer'!F"&amp;(I19+3))+INDIRECT("'Stammdaten - Schwimmer'!F"&amp;(J19+3))+INDIRECT("'Stammdaten - Schwimmer'!F"&amp;(K19+3))+INDIRECT("'Stammdaten - Schwimmer'!F"&amp;(L19+3))+INDIRECT("'Stammdaten - Schwimmer'!F"&amp;(M19+3))+INDIRECT("'Stammdaten - Schwimmer'!F"&amp;(N19+3))+INDIRECT("'Stammdaten - Schwimmer'!F"&amp;O19+3)+INDIRECT("'Stammdaten - Schwimmer'!F"&amp;(P19+3))+INDIRECT("'Stammdaten - Schwimmer'!F"&amp;(Q19+3))+INDIRECT("'Stammdaten - Schwimmer'!F"&amp;(R19+3))+INDIRECT("'Stammdaten - Schwimmer'!F"&amp;(S19+3))+INDIRECT("'Stammdaten - Schwimmer'!F"&amp;(T19+3))+INDIRECT("'Stammdaten - Schwimmer'!F"&amp;(U19+3))+INDIRECT("'Stammdaten - Schwimmer'!F"&amp;(V19+3))+INDIRECT("'Stammdaten - Schwimmer'!F"&amp;(W19+3))+INDIRECT("'Stammdaten - Schwimmer'!F"&amp;(X19+3))+INDIRECT("'Stammdaten - Schwimmer'!F"&amp;(Y19+3))+INDIRECT("'Stammdaten - Schwimmer'!F"&amp;(Z19+3))+INDIRECT("'Stammdaten - Schwimmer'!F"&amp;(AA19+3))+INDIRECT("'Stammdaten - Schwimmer'!F"&amp;(AB19+3))+INDIRECT("'Stammdaten - Schwimmer'!F"&amp;(AC19+3))+INDIRECT("'Stammdaten - Schwimmer'!F"&amp;(AD19+3))+INDIRECT("'Stammdaten - Schwimmer'!F"&amp;(AE19+3))+INDIRECT("'Stammdaten - Schwimmer'!F"&amp;(AF19+3))+INDIRECT("'Stammdaten - Schwimmer'!F"&amp;(AG19+3))</f>
        <v>0</v>
      </c>
      <c r="F19" s="2"/>
      <c r="G19" s="30" t="n">
        <f aca="false">E19*F19</f>
        <v>0</v>
      </c>
      <c r="H19" s="31" t="n">
        <f aca="false">IF(D19&gt;0,E19/D19,)</f>
        <v>0</v>
      </c>
      <c r="I19" s="1" t="n">
        <v>101</v>
      </c>
      <c r="J19" s="1" t="n">
        <v>101</v>
      </c>
      <c r="K19" s="1" t="n">
        <v>101</v>
      </c>
      <c r="L19" s="1" t="n">
        <v>101</v>
      </c>
      <c r="M19" s="1" t="n">
        <v>101</v>
      </c>
      <c r="N19" s="1" t="n">
        <v>101</v>
      </c>
      <c r="O19" s="1" t="n">
        <v>101</v>
      </c>
      <c r="P19" s="1" t="n">
        <v>101</v>
      </c>
      <c r="Q19" s="1" t="n">
        <v>101</v>
      </c>
      <c r="R19" s="1" t="n">
        <v>101</v>
      </c>
      <c r="S19" s="1" t="n">
        <v>101</v>
      </c>
      <c r="T19" s="1" t="n">
        <v>101</v>
      </c>
      <c r="U19" s="1" t="n">
        <v>101</v>
      </c>
      <c r="V19" s="1" t="n">
        <v>101</v>
      </c>
      <c r="W19" s="1" t="n">
        <v>101</v>
      </c>
      <c r="X19" s="1" t="n">
        <v>101</v>
      </c>
      <c r="Y19" s="1" t="n">
        <v>101</v>
      </c>
      <c r="Z19" s="1" t="n">
        <v>101</v>
      </c>
      <c r="AA19" s="1" t="n">
        <v>101</v>
      </c>
      <c r="AB19" s="1" t="n">
        <v>101</v>
      </c>
      <c r="AC19" s="1" t="n">
        <v>101</v>
      </c>
      <c r="AD19" s="1" t="n">
        <v>101</v>
      </c>
      <c r="AE19" s="1" t="n">
        <v>101</v>
      </c>
      <c r="AF19" s="1" t="n">
        <v>101</v>
      </c>
      <c r="AG19" s="1" t="n">
        <v>101</v>
      </c>
      <c r="AH19" s="1" t="n">
        <v>101</v>
      </c>
      <c r="AI19" s="1" t="n">
        <v>101</v>
      </c>
      <c r="AJ19" s="1" t="n">
        <v>101</v>
      </c>
      <c r="AK19" s="1" t="n">
        <v>101</v>
      </c>
      <c r="AL19" s="1" t="n">
        <v>101</v>
      </c>
      <c r="AM19" s="1" t="n">
        <v>101</v>
      </c>
      <c r="AN19" s="1" t="n">
        <v>101</v>
      </c>
      <c r="AO19" s="1"/>
      <c r="AP19" s="1"/>
      <c r="AQ19" s="1"/>
    </row>
    <row r="20" customFormat="false" ht="15" hidden="false" customHeight="false" outlineLevel="0" collapsed="false">
      <c r="A20" s="1" t="n">
        <v>517</v>
      </c>
      <c r="D20" s="29" t="n">
        <f aca="false">COUNTIFS(I20:AQ20,"&gt;0",I20:AQ20,"&lt;101")</f>
        <v>0</v>
      </c>
      <c r="E20" s="29" t="n">
        <f aca="true">INDIRECT("'Stammdaten - Schwimmer'!F"&amp;(I20+3))+INDIRECT("'Stammdaten - Schwimmer'!F"&amp;(J20+3))+INDIRECT("'Stammdaten - Schwimmer'!F"&amp;(K20+3))+INDIRECT("'Stammdaten - Schwimmer'!F"&amp;(L20+3))+INDIRECT("'Stammdaten - Schwimmer'!F"&amp;(M20+3))+INDIRECT("'Stammdaten - Schwimmer'!F"&amp;(N20+3))+INDIRECT("'Stammdaten - Schwimmer'!F"&amp;O20+3)+INDIRECT("'Stammdaten - Schwimmer'!F"&amp;(P20+3))+INDIRECT("'Stammdaten - Schwimmer'!F"&amp;(Q20+3))+INDIRECT("'Stammdaten - Schwimmer'!F"&amp;(R20+3))+INDIRECT("'Stammdaten - Schwimmer'!F"&amp;(S20+3))+INDIRECT("'Stammdaten - Schwimmer'!F"&amp;(T20+3))+INDIRECT("'Stammdaten - Schwimmer'!F"&amp;(U20+3))+INDIRECT("'Stammdaten - Schwimmer'!F"&amp;(V20+3))+INDIRECT("'Stammdaten - Schwimmer'!F"&amp;(W20+3))+INDIRECT("'Stammdaten - Schwimmer'!F"&amp;(X20+3))+INDIRECT("'Stammdaten - Schwimmer'!F"&amp;(Y20+3))+INDIRECT("'Stammdaten - Schwimmer'!F"&amp;(Z20+3))+INDIRECT("'Stammdaten - Schwimmer'!F"&amp;(AA20+3))+INDIRECT("'Stammdaten - Schwimmer'!F"&amp;(AB20+3))+INDIRECT("'Stammdaten - Schwimmer'!F"&amp;(AC20+3))+INDIRECT("'Stammdaten - Schwimmer'!F"&amp;(AD20+3))+INDIRECT("'Stammdaten - Schwimmer'!F"&amp;(AE20+3))+INDIRECT("'Stammdaten - Schwimmer'!F"&amp;(AF20+3))+INDIRECT("'Stammdaten - Schwimmer'!F"&amp;(AG20+3))</f>
        <v>0</v>
      </c>
      <c r="F20" s="2"/>
      <c r="G20" s="30" t="n">
        <f aca="false">E20*F20</f>
        <v>0</v>
      </c>
      <c r="H20" s="31" t="n">
        <f aca="false">IF(D20&gt;0,E20/D20,)</f>
        <v>0</v>
      </c>
      <c r="I20" s="1" t="n">
        <v>101</v>
      </c>
      <c r="J20" s="1" t="n">
        <v>101</v>
      </c>
      <c r="K20" s="1" t="n">
        <v>101</v>
      </c>
      <c r="L20" s="1" t="n">
        <v>101</v>
      </c>
      <c r="M20" s="1" t="n">
        <v>101</v>
      </c>
      <c r="N20" s="1" t="n">
        <v>101</v>
      </c>
      <c r="O20" s="1" t="n">
        <v>101</v>
      </c>
      <c r="P20" s="1" t="n">
        <v>101</v>
      </c>
      <c r="Q20" s="1" t="n">
        <v>101</v>
      </c>
      <c r="R20" s="1" t="n">
        <v>101</v>
      </c>
      <c r="S20" s="1" t="n">
        <v>101</v>
      </c>
      <c r="T20" s="1" t="n">
        <v>101</v>
      </c>
      <c r="U20" s="1" t="n">
        <v>101</v>
      </c>
      <c r="V20" s="1" t="n">
        <v>101</v>
      </c>
      <c r="W20" s="1" t="n">
        <v>101</v>
      </c>
      <c r="X20" s="1" t="n">
        <v>101</v>
      </c>
      <c r="Y20" s="1" t="n">
        <v>101</v>
      </c>
      <c r="Z20" s="1" t="n">
        <v>101</v>
      </c>
      <c r="AA20" s="1" t="n">
        <v>101</v>
      </c>
      <c r="AB20" s="1" t="n">
        <v>101</v>
      </c>
      <c r="AC20" s="1" t="n">
        <v>101</v>
      </c>
      <c r="AD20" s="1" t="n">
        <v>101</v>
      </c>
      <c r="AE20" s="1" t="n">
        <v>101</v>
      </c>
      <c r="AF20" s="1" t="n">
        <v>101</v>
      </c>
      <c r="AG20" s="1" t="n">
        <v>101</v>
      </c>
      <c r="AH20" s="1" t="n">
        <v>101</v>
      </c>
      <c r="AI20" s="1" t="n">
        <v>101</v>
      </c>
      <c r="AJ20" s="1" t="n">
        <v>101</v>
      </c>
      <c r="AK20" s="1" t="n">
        <v>101</v>
      </c>
      <c r="AL20" s="1" t="n">
        <v>101</v>
      </c>
      <c r="AM20" s="1" t="n">
        <v>101</v>
      </c>
      <c r="AN20" s="1" t="n">
        <v>101</v>
      </c>
      <c r="AO20" s="1"/>
      <c r="AP20" s="1"/>
      <c r="AQ20" s="1"/>
    </row>
    <row r="21" customFormat="false" ht="15" hidden="false" customHeight="false" outlineLevel="0" collapsed="false">
      <c r="A21" s="1" t="n">
        <v>518</v>
      </c>
      <c r="D21" s="29" t="n">
        <f aca="false">COUNTIFS(I21:AQ21,"&gt;0",I21:AQ21,"&lt;101")</f>
        <v>0</v>
      </c>
      <c r="E21" s="29" t="n">
        <f aca="true">INDIRECT("'Stammdaten - Schwimmer'!F"&amp;(I21+3))+INDIRECT("'Stammdaten - Schwimmer'!F"&amp;(J21+3))+INDIRECT("'Stammdaten - Schwimmer'!F"&amp;(K21+3))+INDIRECT("'Stammdaten - Schwimmer'!F"&amp;(L21+3))+INDIRECT("'Stammdaten - Schwimmer'!F"&amp;(M21+3))+INDIRECT("'Stammdaten - Schwimmer'!F"&amp;(N21+3))+INDIRECT("'Stammdaten - Schwimmer'!F"&amp;O21+3)+INDIRECT("'Stammdaten - Schwimmer'!F"&amp;(P21+3))+INDIRECT("'Stammdaten - Schwimmer'!F"&amp;(Q21+3))+INDIRECT("'Stammdaten - Schwimmer'!F"&amp;(R21+3))+INDIRECT("'Stammdaten - Schwimmer'!F"&amp;(S21+3))+INDIRECT("'Stammdaten - Schwimmer'!F"&amp;(T21+3))+INDIRECT("'Stammdaten - Schwimmer'!F"&amp;(U21+3))+INDIRECT("'Stammdaten - Schwimmer'!F"&amp;(V21+3))+INDIRECT("'Stammdaten - Schwimmer'!F"&amp;(W21+3))+INDIRECT("'Stammdaten - Schwimmer'!F"&amp;(X21+3))+INDIRECT("'Stammdaten - Schwimmer'!F"&amp;(Y21+3))+INDIRECT("'Stammdaten - Schwimmer'!F"&amp;(Z21+3))+INDIRECT("'Stammdaten - Schwimmer'!F"&amp;(AA21+3))+INDIRECT("'Stammdaten - Schwimmer'!F"&amp;(AB21+3))+INDIRECT("'Stammdaten - Schwimmer'!F"&amp;(AC21+3))+INDIRECT("'Stammdaten - Schwimmer'!F"&amp;(AD21+3))+INDIRECT("'Stammdaten - Schwimmer'!F"&amp;(AE21+3))+INDIRECT("'Stammdaten - Schwimmer'!F"&amp;(AF21+3))+INDIRECT("'Stammdaten - Schwimmer'!F"&amp;(AG21+3))</f>
        <v>0</v>
      </c>
      <c r="F21" s="2"/>
      <c r="G21" s="30" t="n">
        <f aca="false">E21*F21</f>
        <v>0</v>
      </c>
      <c r="H21" s="31" t="n">
        <f aca="false">IF(D21&gt;0,E21/D21,)</f>
        <v>0</v>
      </c>
      <c r="I21" s="1" t="n">
        <v>101</v>
      </c>
      <c r="J21" s="1" t="n">
        <v>101</v>
      </c>
      <c r="K21" s="1" t="n">
        <v>101</v>
      </c>
      <c r="L21" s="1" t="n">
        <v>101</v>
      </c>
      <c r="M21" s="1" t="n">
        <v>101</v>
      </c>
      <c r="N21" s="1" t="n">
        <v>101</v>
      </c>
      <c r="O21" s="1" t="n">
        <v>101</v>
      </c>
      <c r="P21" s="1" t="n">
        <v>101</v>
      </c>
      <c r="Q21" s="1" t="n">
        <v>101</v>
      </c>
      <c r="R21" s="1" t="n">
        <v>101</v>
      </c>
      <c r="S21" s="1" t="n">
        <v>101</v>
      </c>
      <c r="T21" s="1" t="n">
        <v>101</v>
      </c>
      <c r="U21" s="1" t="n">
        <v>101</v>
      </c>
      <c r="V21" s="1" t="n">
        <v>101</v>
      </c>
      <c r="W21" s="1" t="n">
        <v>101</v>
      </c>
      <c r="X21" s="1" t="n">
        <v>101</v>
      </c>
      <c r="Y21" s="1" t="n">
        <v>101</v>
      </c>
      <c r="Z21" s="1" t="n">
        <v>101</v>
      </c>
      <c r="AA21" s="1" t="n">
        <v>101</v>
      </c>
      <c r="AB21" s="1" t="n">
        <v>101</v>
      </c>
      <c r="AC21" s="1" t="n">
        <v>101</v>
      </c>
      <c r="AD21" s="1" t="n">
        <v>101</v>
      </c>
      <c r="AE21" s="1" t="n">
        <v>101</v>
      </c>
      <c r="AF21" s="1" t="n">
        <v>101</v>
      </c>
      <c r="AG21" s="1" t="n">
        <v>101</v>
      </c>
      <c r="AH21" s="1" t="n">
        <v>101</v>
      </c>
      <c r="AI21" s="1" t="n">
        <v>101</v>
      </c>
      <c r="AJ21" s="1" t="n">
        <v>101</v>
      </c>
      <c r="AK21" s="1" t="n">
        <v>101</v>
      </c>
      <c r="AL21" s="1" t="n">
        <v>101</v>
      </c>
      <c r="AM21" s="1" t="n">
        <v>101</v>
      </c>
      <c r="AN21" s="1" t="n">
        <v>101</v>
      </c>
      <c r="AO21" s="1"/>
      <c r="AP21" s="1"/>
      <c r="AQ21" s="1"/>
    </row>
    <row r="22" customFormat="false" ht="15" hidden="false" customHeight="false" outlineLevel="0" collapsed="false">
      <c r="A22" s="1" t="n">
        <v>519</v>
      </c>
      <c r="D22" s="29" t="n">
        <f aca="false">COUNTIFS(I22:AQ22,"&gt;0",I22:AQ22,"&lt;101")</f>
        <v>0</v>
      </c>
      <c r="E22" s="29" t="n">
        <f aca="true">INDIRECT("'Stammdaten - Schwimmer'!F"&amp;(I22+3))+INDIRECT("'Stammdaten - Schwimmer'!F"&amp;(J22+3))+INDIRECT("'Stammdaten - Schwimmer'!F"&amp;(K22+3))+INDIRECT("'Stammdaten - Schwimmer'!F"&amp;(L22+3))+INDIRECT("'Stammdaten - Schwimmer'!F"&amp;(M22+3))+INDIRECT("'Stammdaten - Schwimmer'!F"&amp;(N22+3))+INDIRECT("'Stammdaten - Schwimmer'!F"&amp;O22+3)+INDIRECT("'Stammdaten - Schwimmer'!F"&amp;(P22+3))+INDIRECT("'Stammdaten - Schwimmer'!F"&amp;(Q22+3))+INDIRECT("'Stammdaten - Schwimmer'!F"&amp;(R22+3))+INDIRECT("'Stammdaten - Schwimmer'!F"&amp;(S22+3))+INDIRECT("'Stammdaten - Schwimmer'!F"&amp;(T22+3))+INDIRECT("'Stammdaten - Schwimmer'!F"&amp;(U22+3))+INDIRECT("'Stammdaten - Schwimmer'!F"&amp;(V22+3))+INDIRECT("'Stammdaten - Schwimmer'!F"&amp;(W22+3))+INDIRECT("'Stammdaten - Schwimmer'!F"&amp;(X22+3))+INDIRECT("'Stammdaten - Schwimmer'!F"&amp;(Y22+3))+INDIRECT("'Stammdaten - Schwimmer'!F"&amp;(Z22+3))+INDIRECT("'Stammdaten - Schwimmer'!F"&amp;(AA22+3))+INDIRECT("'Stammdaten - Schwimmer'!F"&amp;(AB22+3))+INDIRECT("'Stammdaten - Schwimmer'!F"&amp;(AC22+3))+INDIRECT("'Stammdaten - Schwimmer'!F"&amp;(AD22+3))+INDIRECT("'Stammdaten - Schwimmer'!F"&amp;(AE22+3))+INDIRECT("'Stammdaten - Schwimmer'!F"&amp;(AF22+3))+INDIRECT("'Stammdaten - Schwimmer'!F"&amp;(AG22+3))</f>
        <v>0</v>
      </c>
      <c r="F22" s="2"/>
      <c r="G22" s="30" t="n">
        <f aca="false">E22*F22</f>
        <v>0</v>
      </c>
      <c r="H22" s="31" t="n">
        <f aca="false">IF(D22&gt;0,E22/D22,)</f>
        <v>0</v>
      </c>
      <c r="I22" s="1" t="n">
        <v>101</v>
      </c>
      <c r="J22" s="1" t="n">
        <v>101</v>
      </c>
      <c r="K22" s="1" t="n">
        <v>101</v>
      </c>
      <c r="L22" s="1" t="n">
        <v>101</v>
      </c>
      <c r="M22" s="1" t="n">
        <v>101</v>
      </c>
      <c r="N22" s="1" t="n">
        <v>101</v>
      </c>
      <c r="O22" s="1" t="n">
        <v>101</v>
      </c>
      <c r="P22" s="1" t="n">
        <v>101</v>
      </c>
      <c r="Q22" s="1" t="n">
        <v>101</v>
      </c>
      <c r="R22" s="1" t="n">
        <v>101</v>
      </c>
      <c r="S22" s="1" t="n">
        <v>101</v>
      </c>
      <c r="T22" s="1" t="n">
        <v>101</v>
      </c>
      <c r="U22" s="1" t="n">
        <v>101</v>
      </c>
      <c r="V22" s="1" t="n">
        <v>101</v>
      </c>
      <c r="W22" s="1" t="n">
        <v>101</v>
      </c>
      <c r="X22" s="1" t="n">
        <v>101</v>
      </c>
      <c r="Y22" s="1" t="n">
        <v>101</v>
      </c>
      <c r="Z22" s="1" t="n">
        <v>101</v>
      </c>
      <c r="AA22" s="1" t="n">
        <v>101</v>
      </c>
      <c r="AB22" s="1" t="n">
        <v>101</v>
      </c>
      <c r="AC22" s="1" t="n">
        <v>101</v>
      </c>
      <c r="AD22" s="1" t="n">
        <v>101</v>
      </c>
      <c r="AE22" s="1" t="n">
        <v>101</v>
      </c>
      <c r="AF22" s="1" t="n">
        <v>101</v>
      </c>
      <c r="AG22" s="1" t="n">
        <v>101</v>
      </c>
      <c r="AH22" s="1" t="n">
        <v>101</v>
      </c>
      <c r="AI22" s="1" t="n">
        <v>101</v>
      </c>
      <c r="AJ22" s="1" t="n">
        <v>101</v>
      </c>
      <c r="AK22" s="1" t="n">
        <v>101</v>
      </c>
      <c r="AL22" s="1" t="n">
        <v>101</v>
      </c>
      <c r="AM22" s="1" t="n">
        <v>101</v>
      </c>
      <c r="AN22" s="1" t="n">
        <v>101</v>
      </c>
      <c r="AO22" s="1"/>
      <c r="AP22" s="1"/>
      <c r="AQ22" s="1"/>
    </row>
    <row r="23" customFormat="false" ht="15" hidden="false" customHeight="false" outlineLevel="0" collapsed="false">
      <c r="A23" s="1" t="n">
        <v>520</v>
      </c>
      <c r="D23" s="29" t="n">
        <f aca="false">COUNTIFS(I23:AQ23,"&gt;0",I23:AQ23,"&lt;101")</f>
        <v>0</v>
      </c>
      <c r="E23" s="29" t="n">
        <f aca="true">INDIRECT("'Stammdaten - Schwimmer'!F"&amp;(I23+3))+INDIRECT("'Stammdaten - Schwimmer'!F"&amp;(J23+3))+INDIRECT("'Stammdaten - Schwimmer'!F"&amp;(K23+3))+INDIRECT("'Stammdaten - Schwimmer'!F"&amp;(L23+3))+INDIRECT("'Stammdaten - Schwimmer'!F"&amp;(M23+3))+INDIRECT("'Stammdaten - Schwimmer'!F"&amp;(N23+3))+INDIRECT("'Stammdaten - Schwimmer'!F"&amp;O23+3)+INDIRECT("'Stammdaten - Schwimmer'!F"&amp;(P23+3))+INDIRECT("'Stammdaten - Schwimmer'!F"&amp;(Q23+3))+INDIRECT("'Stammdaten - Schwimmer'!F"&amp;(R23+3))+INDIRECT("'Stammdaten - Schwimmer'!F"&amp;(S23+3))+INDIRECT("'Stammdaten - Schwimmer'!F"&amp;(T23+3))+INDIRECT("'Stammdaten - Schwimmer'!F"&amp;(U23+3))+INDIRECT("'Stammdaten - Schwimmer'!F"&amp;(V23+3))+INDIRECT("'Stammdaten - Schwimmer'!F"&amp;(W23+3))+INDIRECT("'Stammdaten - Schwimmer'!F"&amp;(X23+3))+INDIRECT("'Stammdaten - Schwimmer'!F"&amp;(Y23+3))+INDIRECT("'Stammdaten - Schwimmer'!F"&amp;(Z23+3))+INDIRECT("'Stammdaten - Schwimmer'!F"&amp;(AA23+3))+INDIRECT("'Stammdaten - Schwimmer'!F"&amp;(AB23+3))+INDIRECT("'Stammdaten - Schwimmer'!F"&amp;(AC23+3))+INDIRECT("'Stammdaten - Schwimmer'!F"&amp;(AD23+3))+INDIRECT("'Stammdaten - Schwimmer'!F"&amp;(AE23+3))+INDIRECT("'Stammdaten - Schwimmer'!F"&amp;(AF23+3))+INDIRECT("'Stammdaten - Schwimmer'!F"&amp;(AG23+3))</f>
        <v>0</v>
      </c>
      <c r="F23" s="2"/>
      <c r="G23" s="30" t="n">
        <f aca="false">E23*F23</f>
        <v>0</v>
      </c>
      <c r="H23" s="31" t="n">
        <f aca="false">IF(D23&gt;0,E23/D23,)</f>
        <v>0</v>
      </c>
      <c r="I23" s="1" t="n">
        <v>101</v>
      </c>
      <c r="J23" s="1" t="n">
        <v>101</v>
      </c>
      <c r="K23" s="1" t="n">
        <v>101</v>
      </c>
      <c r="L23" s="1" t="n">
        <v>101</v>
      </c>
      <c r="M23" s="1" t="n">
        <v>101</v>
      </c>
      <c r="N23" s="1" t="n">
        <v>101</v>
      </c>
      <c r="O23" s="1" t="n">
        <v>101</v>
      </c>
      <c r="P23" s="1" t="n">
        <v>101</v>
      </c>
      <c r="Q23" s="1" t="n">
        <v>101</v>
      </c>
      <c r="R23" s="1" t="n">
        <v>101</v>
      </c>
      <c r="S23" s="1" t="n">
        <v>101</v>
      </c>
      <c r="T23" s="1" t="n">
        <v>101</v>
      </c>
      <c r="U23" s="1" t="n">
        <v>101</v>
      </c>
      <c r="V23" s="1" t="n">
        <v>101</v>
      </c>
      <c r="W23" s="1" t="n">
        <v>101</v>
      </c>
      <c r="X23" s="1" t="n">
        <v>101</v>
      </c>
      <c r="Y23" s="1" t="n">
        <v>101</v>
      </c>
      <c r="Z23" s="1" t="n">
        <v>101</v>
      </c>
      <c r="AA23" s="1" t="n">
        <v>101</v>
      </c>
      <c r="AB23" s="1" t="n">
        <v>101</v>
      </c>
      <c r="AC23" s="1" t="n">
        <v>101</v>
      </c>
      <c r="AD23" s="1" t="n">
        <v>101</v>
      </c>
      <c r="AE23" s="1" t="n">
        <v>101</v>
      </c>
      <c r="AF23" s="1" t="n">
        <v>101</v>
      </c>
      <c r="AG23" s="1" t="n">
        <v>101</v>
      </c>
      <c r="AH23" s="1" t="n">
        <v>101</v>
      </c>
      <c r="AI23" s="1" t="n">
        <v>101</v>
      </c>
      <c r="AJ23" s="1" t="n">
        <v>101</v>
      </c>
      <c r="AK23" s="1" t="n">
        <v>101</v>
      </c>
      <c r="AL23" s="1" t="n">
        <v>101</v>
      </c>
      <c r="AM23" s="1" t="n">
        <v>101</v>
      </c>
      <c r="AN23" s="1" t="n">
        <v>101</v>
      </c>
      <c r="AO23" s="1"/>
      <c r="AP23" s="1"/>
      <c r="AQ23" s="1"/>
    </row>
    <row r="24" customFormat="false" ht="15" hidden="false" customHeight="false" outlineLevel="0" collapsed="false">
      <c r="A24" s="1" t="n">
        <v>521</v>
      </c>
      <c r="D24" s="29" t="n">
        <f aca="false">COUNTIFS(I24:AQ24,"&gt;0",I24:AQ24,"&lt;101")</f>
        <v>0</v>
      </c>
      <c r="E24" s="29" t="n">
        <f aca="true">INDIRECT("'Stammdaten - Schwimmer'!F"&amp;(I24+3))+INDIRECT("'Stammdaten - Schwimmer'!F"&amp;(J24+3))+INDIRECT("'Stammdaten - Schwimmer'!F"&amp;(K24+3))+INDIRECT("'Stammdaten - Schwimmer'!F"&amp;(L24+3))+INDIRECT("'Stammdaten - Schwimmer'!F"&amp;(M24+3))+INDIRECT("'Stammdaten - Schwimmer'!F"&amp;(N24+3))+INDIRECT("'Stammdaten - Schwimmer'!F"&amp;O24+3)+INDIRECT("'Stammdaten - Schwimmer'!F"&amp;(P24+3))+INDIRECT("'Stammdaten - Schwimmer'!F"&amp;(Q24+3))+INDIRECT("'Stammdaten - Schwimmer'!F"&amp;(R24+3))+INDIRECT("'Stammdaten - Schwimmer'!F"&amp;(S24+3))+INDIRECT("'Stammdaten - Schwimmer'!F"&amp;(T24+3))+INDIRECT("'Stammdaten - Schwimmer'!F"&amp;(U24+3))+INDIRECT("'Stammdaten - Schwimmer'!F"&amp;(V24+3))+INDIRECT("'Stammdaten - Schwimmer'!F"&amp;(W24+3))+INDIRECT("'Stammdaten - Schwimmer'!F"&amp;(X24+3))+INDIRECT("'Stammdaten - Schwimmer'!F"&amp;(Y24+3))+INDIRECT("'Stammdaten - Schwimmer'!F"&amp;(Z24+3))+INDIRECT("'Stammdaten - Schwimmer'!F"&amp;(AA24+3))+INDIRECT("'Stammdaten - Schwimmer'!F"&amp;(AB24+3))+INDIRECT("'Stammdaten - Schwimmer'!F"&amp;(AC24+3))+INDIRECT("'Stammdaten - Schwimmer'!F"&amp;(AD24+3))+INDIRECT("'Stammdaten - Schwimmer'!F"&amp;(AE24+3))+INDIRECT("'Stammdaten - Schwimmer'!F"&amp;(AF24+3))+INDIRECT("'Stammdaten - Schwimmer'!F"&amp;(AG24+3))</f>
        <v>0</v>
      </c>
      <c r="F24" s="2"/>
      <c r="G24" s="30" t="n">
        <f aca="false">E24*F24</f>
        <v>0</v>
      </c>
      <c r="H24" s="31" t="n">
        <f aca="false">IF(D24&gt;0,E24/D24,)</f>
        <v>0</v>
      </c>
      <c r="I24" s="1" t="n">
        <v>101</v>
      </c>
      <c r="J24" s="1" t="n">
        <v>101</v>
      </c>
      <c r="K24" s="1" t="n">
        <v>101</v>
      </c>
      <c r="L24" s="1" t="n">
        <v>101</v>
      </c>
      <c r="M24" s="1" t="n">
        <v>101</v>
      </c>
      <c r="N24" s="1" t="n">
        <v>101</v>
      </c>
      <c r="O24" s="1" t="n">
        <v>101</v>
      </c>
      <c r="P24" s="1" t="n">
        <v>101</v>
      </c>
      <c r="Q24" s="1" t="n">
        <v>101</v>
      </c>
      <c r="R24" s="1" t="n">
        <v>101</v>
      </c>
      <c r="S24" s="1" t="n">
        <v>101</v>
      </c>
      <c r="T24" s="1" t="n">
        <v>101</v>
      </c>
      <c r="U24" s="1" t="n">
        <v>101</v>
      </c>
      <c r="V24" s="1" t="n">
        <v>101</v>
      </c>
      <c r="W24" s="1" t="n">
        <v>101</v>
      </c>
      <c r="X24" s="1" t="n">
        <v>101</v>
      </c>
      <c r="Y24" s="1" t="n">
        <v>101</v>
      </c>
      <c r="Z24" s="1" t="n">
        <v>101</v>
      </c>
      <c r="AA24" s="1" t="n">
        <v>101</v>
      </c>
      <c r="AB24" s="1" t="n">
        <v>101</v>
      </c>
      <c r="AC24" s="1" t="n">
        <v>101</v>
      </c>
      <c r="AD24" s="1" t="n">
        <v>101</v>
      </c>
      <c r="AE24" s="1" t="n">
        <v>101</v>
      </c>
      <c r="AF24" s="1" t="n">
        <v>101</v>
      </c>
      <c r="AG24" s="1" t="n">
        <v>101</v>
      </c>
      <c r="AH24" s="1" t="n">
        <v>101</v>
      </c>
      <c r="AI24" s="1" t="n">
        <v>101</v>
      </c>
      <c r="AJ24" s="1" t="n">
        <v>101</v>
      </c>
      <c r="AK24" s="1" t="n">
        <v>101</v>
      </c>
      <c r="AL24" s="1" t="n">
        <v>101</v>
      </c>
      <c r="AM24" s="1" t="n">
        <v>101</v>
      </c>
      <c r="AN24" s="1" t="n">
        <v>101</v>
      </c>
      <c r="AO24" s="1"/>
      <c r="AP24" s="1"/>
      <c r="AQ24" s="1"/>
    </row>
    <row r="25" customFormat="false" ht="15" hidden="false" customHeight="false" outlineLevel="0" collapsed="false">
      <c r="A25" s="1" t="n">
        <v>522</v>
      </c>
      <c r="D25" s="29" t="n">
        <f aca="false">COUNTIFS(I25:AQ25,"&gt;0",I25:AQ25,"&lt;101")</f>
        <v>0</v>
      </c>
      <c r="E25" s="29" t="n">
        <f aca="true">INDIRECT("'Stammdaten - Schwimmer'!F"&amp;(I25+3))+INDIRECT("'Stammdaten - Schwimmer'!F"&amp;(J25+3))+INDIRECT("'Stammdaten - Schwimmer'!F"&amp;(K25+3))+INDIRECT("'Stammdaten - Schwimmer'!F"&amp;(L25+3))+INDIRECT("'Stammdaten - Schwimmer'!F"&amp;(M25+3))+INDIRECT("'Stammdaten - Schwimmer'!F"&amp;(N25+3))+INDIRECT("'Stammdaten - Schwimmer'!F"&amp;O25+3)+INDIRECT("'Stammdaten - Schwimmer'!F"&amp;(P25+3))+INDIRECT("'Stammdaten - Schwimmer'!F"&amp;(Q25+3))+INDIRECT("'Stammdaten - Schwimmer'!F"&amp;(R25+3))+INDIRECT("'Stammdaten - Schwimmer'!F"&amp;(S25+3))+INDIRECT("'Stammdaten - Schwimmer'!F"&amp;(T25+3))+INDIRECT("'Stammdaten - Schwimmer'!F"&amp;(U25+3))+INDIRECT("'Stammdaten - Schwimmer'!F"&amp;(V25+3))+INDIRECT("'Stammdaten - Schwimmer'!F"&amp;(W25+3))+INDIRECT("'Stammdaten - Schwimmer'!F"&amp;(X25+3))+INDIRECT("'Stammdaten - Schwimmer'!F"&amp;(Y25+3))+INDIRECT("'Stammdaten - Schwimmer'!F"&amp;(Z25+3))+INDIRECT("'Stammdaten - Schwimmer'!F"&amp;(AA25+3))+INDIRECT("'Stammdaten - Schwimmer'!F"&amp;(AB25+3))+INDIRECT("'Stammdaten - Schwimmer'!F"&amp;(AC25+3))+INDIRECT("'Stammdaten - Schwimmer'!F"&amp;(AD25+3))+INDIRECT("'Stammdaten - Schwimmer'!F"&amp;(AE25+3))+INDIRECT("'Stammdaten - Schwimmer'!F"&amp;(AF25+3))+INDIRECT("'Stammdaten - Schwimmer'!F"&amp;(AG25+3))</f>
        <v>0</v>
      </c>
      <c r="F25" s="2"/>
      <c r="G25" s="30" t="n">
        <f aca="false">E25*F25</f>
        <v>0</v>
      </c>
      <c r="H25" s="31" t="n">
        <f aca="false">IF(D25&gt;0,E25/D25,)</f>
        <v>0</v>
      </c>
      <c r="I25" s="1" t="n">
        <v>101</v>
      </c>
      <c r="J25" s="1" t="n">
        <v>101</v>
      </c>
      <c r="K25" s="1" t="n">
        <v>101</v>
      </c>
      <c r="L25" s="1" t="n">
        <v>101</v>
      </c>
      <c r="M25" s="1" t="n">
        <v>101</v>
      </c>
      <c r="N25" s="1" t="n">
        <v>101</v>
      </c>
      <c r="O25" s="1" t="n">
        <v>101</v>
      </c>
      <c r="P25" s="1" t="n">
        <v>101</v>
      </c>
      <c r="Q25" s="1" t="n">
        <v>101</v>
      </c>
      <c r="R25" s="1" t="n">
        <v>101</v>
      </c>
      <c r="S25" s="1" t="n">
        <v>101</v>
      </c>
      <c r="T25" s="1" t="n">
        <v>101</v>
      </c>
      <c r="U25" s="1" t="n">
        <v>101</v>
      </c>
      <c r="V25" s="1" t="n">
        <v>101</v>
      </c>
      <c r="W25" s="1" t="n">
        <v>101</v>
      </c>
      <c r="X25" s="1" t="n">
        <v>101</v>
      </c>
      <c r="Y25" s="1" t="n">
        <v>101</v>
      </c>
      <c r="Z25" s="1" t="n">
        <v>101</v>
      </c>
      <c r="AA25" s="1" t="n">
        <v>101</v>
      </c>
      <c r="AB25" s="1" t="n">
        <v>101</v>
      </c>
      <c r="AC25" s="1" t="n">
        <v>101</v>
      </c>
      <c r="AD25" s="1" t="n">
        <v>101</v>
      </c>
      <c r="AE25" s="1" t="n">
        <v>101</v>
      </c>
      <c r="AF25" s="1" t="n">
        <v>101</v>
      </c>
      <c r="AG25" s="1" t="n">
        <v>101</v>
      </c>
      <c r="AH25" s="1" t="n">
        <v>101</v>
      </c>
      <c r="AI25" s="1" t="n">
        <v>101</v>
      </c>
      <c r="AJ25" s="1" t="n">
        <v>101</v>
      </c>
      <c r="AK25" s="1" t="n">
        <v>101</v>
      </c>
      <c r="AL25" s="1" t="n">
        <v>101</v>
      </c>
      <c r="AM25" s="1" t="n">
        <v>101</v>
      </c>
      <c r="AN25" s="1" t="n">
        <v>101</v>
      </c>
      <c r="AO25" s="1"/>
      <c r="AP25" s="1"/>
      <c r="AQ25" s="1"/>
    </row>
    <row r="26" customFormat="false" ht="15" hidden="false" customHeight="false" outlineLevel="0" collapsed="false">
      <c r="A26" s="1" t="n">
        <v>523</v>
      </c>
      <c r="D26" s="29" t="n">
        <f aca="false">COUNTIFS(I26:AQ26,"&gt;0",I26:AQ26,"&lt;101")</f>
        <v>0</v>
      </c>
      <c r="E26" s="29" t="n">
        <f aca="true">INDIRECT("'Stammdaten - Schwimmer'!F"&amp;(I26+3))+INDIRECT("'Stammdaten - Schwimmer'!F"&amp;(J26+3))+INDIRECT("'Stammdaten - Schwimmer'!F"&amp;(K26+3))+INDIRECT("'Stammdaten - Schwimmer'!F"&amp;(L26+3))+INDIRECT("'Stammdaten - Schwimmer'!F"&amp;(M26+3))+INDIRECT("'Stammdaten - Schwimmer'!F"&amp;(N26+3))+INDIRECT("'Stammdaten - Schwimmer'!F"&amp;O26+3)+INDIRECT("'Stammdaten - Schwimmer'!F"&amp;(P26+3))+INDIRECT("'Stammdaten - Schwimmer'!F"&amp;(Q26+3))+INDIRECT("'Stammdaten - Schwimmer'!F"&amp;(R26+3))+INDIRECT("'Stammdaten - Schwimmer'!F"&amp;(S26+3))+INDIRECT("'Stammdaten - Schwimmer'!F"&amp;(T26+3))+INDIRECT("'Stammdaten - Schwimmer'!F"&amp;(U26+3))+INDIRECT("'Stammdaten - Schwimmer'!F"&amp;(V26+3))+INDIRECT("'Stammdaten - Schwimmer'!F"&amp;(W26+3))+INDIRECT("'Stammdaten - Schwimmer'!F"&amp;(X26+3))+INDIRECT("'Stammdaten - Schwimmer'!F"&amp;(Y26+3))+INDIRECT("'Stammdaten - Schwimmer'!F"&amp;(Z26+3))+INDIRECT("'Stammdaten - Schwimmer'!F"&amp;(AA26+3))+INDIRECT("'Stammdaten - Schwimmer'!F"&amp;(AB26+3))+INDIRECT("'Stammdaten - Schwimmer'!F"&amp;(AC26+3))+INDIRECT("'Stammdaten - Schwimmer'!F"&amp;(AD26+3))+INDIRECT("'Stammdaten - Schwimmer'!F"&amp;(AE26+3))+INDIRECT("'Stammdaten - Schwimmer'!F"&amp;(AF26+3))+INDIRECT("'Stammdaten - Schwimmer'!F"&amp;(AG26+3))</f>
        <v>0</v>
      </c>
      <c r="F26" s="2"/>
      <c r="G26" s="30" t="n">
        <f aca="false">E26*F26</f>
        <v>0</v>
      </c>
      <c r="H26" s="31" t="n">
        <f aca="false">IF(D26&gt;0,E26/D26,)</f>
        <v>0</v>
      </c>
      <c r="I26" s="1" t="n">
        <v>101</v>
      </c>
      <c r="J26" s="1" t="n">
        <v>101</v>
      </c>
      <c r="K26" s="1" t="n">
        <v>101</v>
      </c>
      <c r="L26" s="1" t="n">
        <v>101</v>
      </c>
      <c r="M26" s="1" t="n">
        <v>101</v>
      </c>
      <c r="N26" s="1" t="n">
        <v>101</v>
      </c>
      <c r="O26" s="1" t="n">
        <v>101</v>
      </c>
      <c r="P26" s="1" t="n">
        <v>101</v>
      </c>
      <c r="Q26" s="1" t="n">
        <v>101</v>
      </c>
      <c r="R26" s="1" t="n">
        <v>101</v>
      </c>
      <c r="S26" s="1" t="n">
        <v>101</v>
      </c>
      <c r="T26" s="1" t="n">
        <v>101</v>
      </c>
      <c r="U26" s="1" t="n">
        <v>101</v>
      </c>
      <c r="V26" s="1" t="n">
        <v>101</v>
      </c>
      <c r="W26" s="1" t="n">
        <v>101</v>
      </c>
      <c r="X26" s="1" t="n">
        <v>101</v>
      </c>
      <c r="Y26" s="1" t="n">
        <v>101</v>
      </c>
      <c r="Z26" s="1" t="n">
        <v>101</v>
      </c>
      <c r="AA26" s="1" t="n">
        <v>101</v>
      </c>
      <c r="AB26" s="1" t="n">
        <v>101</v>
      </c>
      <c r="AC26" s="1" t="n">
        <v>101</v>
      </c>
      <c r="AD26" s="1" t="n">
        <v>101</v>
      </c>
      <c r="AE26" s="1" t="n">
        <v>101</v>
      </c>
      <c r="AF26" s="1" t="n">
        <v>101</v>
      </c>
      <c r="AG26" s="1" t="n">
        <v>101</v>
      </c>
      <c r="AH26" s="1" t="n">
        <v>101</v>
      </c>
      <c r="AI26" s="1" t="n">
        <v>101</v>
      </c>
      <c r="AJ26" s="1" t="n">
        <v>101</v>
      </c>
      <c r="AK26" s="1" t="n">
        <v>101</v>
      </c>
      <c r="AL26" s="1" t="n">
        <v>101</v>
      </c>
      <c r="AM26" s="1" t="n">
        <v>101</v>
      </c>
      <c r="AN26" s="1" t="n">
        <v>101</v>
      </c>
      <c r="AO26" s="1"/>
      <c r="AP26" s="1"/>
      <c r="AQ26" s="1"/>
    </row>
    <row r="27" customFormat="false" ht="15" hidden="false" customHeight="false" outlineLevel="0" collapsed="false">
      <c r="A27" s="1" t="n">
        <v>524</v>
      </c>
      <c r="D27" s="29" t="n">
        <f aca="false">COUNTIFS(I27:AQ27,"&gt;0",I27:AQ27,"&lt;101")</f>
        <v>0</v>
      </c>
      <c r="E27" s="29" t="n">
        <f aca="true">INDIRECT("'Stammdaten - Schwimmer'!F"&amp;(I27+3))+INDIRECT("'Stammdaten - Schwimmer'!F"&amp;(J27+3))+INDIRECT("'Stammdaten - Schwimmer'!F"&amp;(K27+3))+INDIRECT("'Stammdaten - Schwimmer'!F"&amp;(L27+3))+INDIRECT("'Stammdaten - Schwimmer'!F"&amp;(M27+3))+INDIRECT("'Stammdaten - Schwimmer'!F"&amp;(N27+3))+INDIRECT("'Stammdaten - Schwimmer'!F"&amp;O27+3)+INDIRECT("'Stammdaten - Schwimmer'!F"&amp;(P27+3))+INDIRECT("'Stammdaten - Schwimmer'!F"&amp;(Q27+3))+INDIRECT("'Stammdaten - Schwimmer'!F"&amp;(R27+3))+INDIRECT("'Stammdaten - Schwimmer'!F"&amp;(S27+3))+INDIRECT("'Stammdaten - Schwimmer'!F"&amp;(T27+3))+INDIRECT("'Stammdaten - Schwimmer'!F"&amp;(U27+3))+INDIRECT("'Stammdaten - Schwimmer'!F"&amp;(V27+3))+INDIRECT("'Stammdaten - Schwimmer'!F"&amp;(W27+3))+INDIRECT("'Stammdaten - Schwimmer'!F"&amp;(X27+3))+INDIRECT("'Stammdaten - Schwimmer'!F"&amp;(Y27+3))+INDIRECT("'Stammdaten - Schwimmer'!F"&amp;(Z27+3))+INDIRECT("'Stammdaten - Schwimmer'!F"&amp;(AA27+3))+INDIRECT("'Stammdaten - Schwimmer'!F"&amp;(AB27+3))+INDIRECT("'Stammdaten - Schwimmer'!F"&amp;(AC27+3))+INDIRECT("'Stammdaten - Schwimmer'!F"&amp;(AD27+3))+INDIRECT("'Stammdaten - Schwimmer'!F"&amp;(AE27+3))+INDIRECT("'Stammdaten - Schwimmer'!F"&amp;(AF27+3))+INDIRECT("'Stammdaten - Schwimmer'!F"&amp;(AG27+3))</f>
        <v>0</v>
      </c>
      <c r="F27" s="2"/>
      <c r="G27" s="30" t="n">
        <f aca="false">E27*F27</f>
        <v>0</v>
      </c>
      <c r="H27" s="31" t="n">
        <f aca="false">IF(D27&gt;0,E27/D27,)</f>
        <v>0</v>
      </c>
      <c r="I27" s="1" t="n">
        <v>101</v>
      </c>
      <c r="J27" s="1" t="n">
        <v>101</v>
      </c>
      <c r="K27" s="1" t="n">
        <v>101</v>
      </c>
      <c r="L27" s="1" t="n">
        <v>101</v>
      </c>
      <c r="M27" s="1" t="n">
        <v>101</v>
      </c>
      <c r="N27" s="1" t="n">
        <v>101</v>
      </c>
      <c r="O27" s="1" t="n">
        <v>101</v>
      </c>
      <c r="P27" s="1" t="n">
        <v>101</v>
      </c>
      <c r="Q27" s="1" t="n">
        <v>101</v>
      </c>
      <c r="R27" s="1" t="n">
        <v>101</v>
      </c>
      <c r="S27" s="1" t="n">
        <v>101</v>
      </c>
      <c r="T27" s="1" t="n">
        <v>101</v>
      </c>
      <c r="U27" s="1" t="n">
        <v>101</v>
      </c>
      <c r="V27" s="1" t="n">
        <v>101</v>
      </c>
      <c r="W27" s="1" t="n">
        <v>101</v>
      </c>
      <c r="X27" s="1" t="n">
        <v>101</v>
      </c>
      <c r="Y27" s="1" t="n">
        <v>101</v>
      </c>
      <c r="Z27" s="1" t="n">
        <v>101</v>
      </c>
      <c r="AA27" s="1" t="n">
        <v>101</v>
      </c>
      <c r="AB27" s="1" t="n">
        <v>101</v>
      </c>
      <c r="AC27" s="1" t="n">
        <v>101</v>
      </c>
      <c r="AD27" s="1" t="n">
        <v>101</v>
      </c>
      <c r="AE27" s="1" t="n">
        <v>101</v>
      </c>
      <c r="AF27" s="1" t="n">
        <v>101</v>
      </c>
      <c r="AG27" s="1" t="n">
        <v>101</v>
      </c>
      <c r="AH27" s="1" t="n">
        <v>101</v>
      </c>
      <c r="AI27" s="1" t="n">
        <v>101</v>
      </c>
      <c r="AJ27" s="1" t="n">
        <v>101</v>
      </c>
      <c r="AK27" s="1" t="n">
        <v>101</v>
      </c>
      <c r="AL27" s="1" t="n">
        <v>101</v>
      </c>
      <c r="AM27" s="1" t="n">
        <v>101</v>
      </c>
      <c r="AN27" s="1" t="n">
        <v>101</v>
      </c>
      <c r="AO27" s="1"/>
      <c r="AP27" s="1"/>
      <c r="AQ27" s="1"/>
    </row>
    <row r="28" customFormat="false" ht="15" hidden="false" customHeight="false" outlineLevel="0" collapsed="false">
      <c r="A28" s="1" t="n">
        <v>525</v>
      </c>
      <c r="D28" s="29" t="n">
        <f aca="false">COUNTIFS(I28:AQ28,"&gt;0",I28:AQ28,"&lt;101")</f>
        <v>0</v>
      </c>
      <c r="E28" s="29" t="n">
        <f aca="true">INDIRECT("'Stammdaten - Schwimmer'!F"&amp;(I28+3))+INDIRECT("'Stammdaten - Schwimmer'!F"&amp;(J28+3))+INDIRECT("'Stammdaten - Schwimmer'!F"&amp;(K28+3))+INDIRECT("'Stammdaten - Schwimmer'!F"&amp;(L28+3))+INDIRECT("'Stammdaten - Schwimmer'!F"&amp;(M28+3))+INDIRECT("'Stammdaten - Schwimmer'!F"&amp;(N28+3))+INDIRECT("'Stammdaten - Schwimmer'!F"&amp;O28+3)+INDIRECT("'Stammdaten - Schwimmer'!F"&amp;(P28+3))+INDIRECT("'Stammdaten - Schwimmer'!F"&amp;(Q28+3))+INDIRECT("'Stammdaten - Schwimmer'!F"&amp;(R28+3))+INDIRECT("'Stammdaten - Schwimmer'!F"&amp;(S28+3))+INDIRECT("'Stammdaten - Schwimmer'!F"&amp;(T28+3))+INDIRECT("'Stammdaten - Schwimmer'!F"&amp;(U28+3))+INDIRECT("'Stammdaten - Schwimmer'!F"&amp;(V28+3))+INDIRECT("'Stammdaten - Schwimmer'!F"&amp;(W28+3))+INDIRECT("'Stammdaten - Schwimmer'!F"&amp;(X28+3))+INDIRECT("'Stammdaten - Schwimmer'!F"&amp;(Y28+3))+INDIRECT("'Stammdaten - Schwimmer'!F"&amp;(Z28+3))+INDIRECT("'Stammdaten - Schwimmer'!F"&amp;(AA28+3))+INDIRECT("'Stammdaten - Schwimmer'!F"&amp;(AB28+3))+INDIRECT("'Stammdaten - Schwimmer'!F"&amp;(AC28+3))+INDIRECT("'Stammdaten - Schwimmer'!F"&amp;(AD28+3))+INDIRECT("'Stammdaten - Schwimmer'!F"&amp;(AE28+3))+INDIRECT("'Stammdaten - Schwimmer'!F"&amp;(AF28+3))+INDIRECT("'Stammdaten - Schwimmer'!F"&amp;(AG28+3))</f>
        <v>0</v>
      </c>
      <c r="F28" s="2"/>
      <c r="G28" s="30" t="n">
        <f aca="false">E28*F28</f>
        <v>0</v>
      </c>
      <c r="H28" s="31" t="n">
        <f aca="false">IF(D28&gt;0,E28/D28,)</f>
        <v>0</v>
      </c>
      <c r="I28" s="1" t="n">
        <v>101</v>
      </c>
      <c r="J28" s="1" t="n">
        <v>101</v>
      </c>
      <c r="K28" s="1" t="n">
        <v>101</v>
      </c>
      <c r="L28" s="1" t="n">
        <v>101</v>
      </c>
      <c r="M28" s="1" t="n">
        <v>101</v>
      </c>
      <c r="N28" s="1" t="n">
        <v>101</v>
      </c>
      <c r="O28" s="1" t="n">
        <v>101</v>
      </c>
      <c r="P28" s="1" t="n">
        <v>101</v>
      </c>
      <c r="Q28" s="1" t="n">
        <v>101</v>
      </c>
      <c r="R28" s="1" t="n">
        <v>101</v>
      </c>
      <c r="S28" s="1" t="n">
        <v>101</v>
      </c>
      <c r="T28" s="1" t="n">
        <v>101</v>
      </c>
      <c r="U28" s="1" t="n">
        <v>101</v>
      </c>
      <c r="V28" s="1" t="n">
        <v>101</v>
      </c>
      <c r="W28" s="1" t="n">
        <v>101</v>
      </c>
      <c r="X28" s="1" t="n">
        <v>101</v>
      </c>
      <c r="Y28" s="1" t="n">
        <v>101</v>
      </c>
      <c r="Z28" s="1" t="n">
        <v>101</v>
      </c>
      <c r="AA28" s="1" t="n">
        <v>101</v>
      </c>
      <c r="AB28" s="1" t="n">
        <v>101</v>
      </c>
      <c r="AC28" s="1" t="n">
        <v>101</v>
      </c>
      <c r="AD28" s="1" t="n">
        <v>101</v>
      </c>
      <c r="AE28" s="1" t="n">
        <v>101</v>
      </c>
      <c r="AF28" s="1" t="n">
        <v>101</v>
      </c>
      <c r="AG28" s="1" t="n">
        <v>101</v>
      </c>
      <c r="AH28" s="1" t="n">
        <v>101</v>
      </c>
      <c r="AI28" s="1" t="n">
        <v>101</v>
      </c>
      <c r="AJ28" s="1" t="n">
        <v>101</v>
      </c>
      <c r="AK28" s="1" t="n">
        <v>101</v>
      </c>
      <c r="AL28" s="1" t="n">
        <v>101</v>
      </c>
      <c r="AM28" s="1" t="n">
        <v>101</v>
      </c>
      <c r="AN28" s="1" t="n">
        <v>101</v>
      </c>
      <c r="AO28" s="1"/>
      <c r="AP28" s="1"/>
      <c r="AQ28" s="1"/>
    </row>
    <row r="29" customFormat="false" ht="15" hidden="false" customHeight="false" outlineLevel="0" collapsed="false">
      <c r="A29" s="1" t="n">
        <v>526</v>
      </c>
      <c r="D29" s="29" t="n">
        <f aca="false">COUNTIFS(I29:AQ29,"&gt;0",I29:AQ29,"&lt;101")</f>
        <v>0</v>
      </c>
      <c r="E29" s="29" t="n">
        <f aca="true">INDIRECT("'Stammdaten - Schwimmer'!F"&amp;(I29+3))+INDIRECT("'Stammdaten - Schwimmer'!F"&amp;(J29+3))+INDIRECT("'Stammdaten - Schwimmer'!F"&amp;(K29+3))+INDIRECT("'Stammdaten - Schwimmer'!F"&amp;(L29+3))+INDIRECT("'Stammdaten - Schwimmer'!F"&amp;(M29+3))+INDIRECT("'Stammdaten - Schwimmer'!F"&amp;(N29+3))+INDIRECT("'Stammdaten - Schwimmer'!F"&amp;O29+3)+INDIRECT("'Stammdaten - Schwimmer'!F"&amp;(P29+3))+INDIRECT("'Stammdaten - Schwimmer'!F"&amp;(Q29+3))+INDIRECT("'Stammdaten - Schwimmer'!F"&amp;(R29+3))+INDIRECT("'Stammdaten - Schwimmer'!F"&amp;(S29+3))+INDIRECT("'Stammdaten - Schwimmer'!F"&amp;(T29+3))+INDIRECT("'Stammdaten - Schwimmer'!F"&amp;(U29+3))+INDIRECT("'Stammdaten - Schwimmer'!F"&amp;(V29+3))+INDIRECT("'Stammdaten - Schwimmer'!F"&amp;(W29+3))+INDIRECT("'Stammdaten - Schwimmer'!F"&amp;(X29+3))+INDIRECT("'Stammdaten - Schwimmer'!F"&amp;(Y29+3))+INDIRECT("'Stammdaten - Schwimmer'!F"&amp;(Z29+3))+INDIRECT("'Stammdaten - Schwimmer'!F"&amp;(AA29+3))+INDIRECT("'Stammdaten - Schwimmer'!F"&amp;(AB29+3))+INDIRECT("'Stammdaten - Schwimmer'!F"&amp;(AC29+3))+INDIRECT("'Stammdaten - Schwimmer'!F"&amp;(AD29+3))+INDIRECT("'Stammdaten - Schwimmer'!F"&amp;(AE29+3))+INDIRECT("'Stammdaten - Schwimmer'!F"&amp;(AF29+3))+INDIRECT("'Stammdaten - Schwimmer'!F"&amp;(AG29+3))</f>
        <v>0</v>
      </c>
      <c r="F29" s="2"/>
      <c r="G29" s="30" t="n">
        <f aca="false">E29*F29</f>
        <v>0</v>
      </c>
      <c r="H29" s="31" t="n">
        <f aca="false">IF(D29&gt;0,E29/D29,)</f>
        <v>0</v>
      </c>
      <c r="I29" s="1" t="n">
        <v>101</v>
      </c>
      <c r="J29" s="1" t="n">
        <v>101</v>
      </c>
      <c r="K29" s="1" t="n">
        <v>101</v>
      </c>
      <c r="L29" s="1" t="n">
        <v>101</v>
      </c>
      <c r="M29" s="1" t="n">
        <v>101</v>
      </c>
      <c r="N29" s="1" t="n">
        <v>101</v>
      </c>
      <c r="O29" s="1" t="n">
        <v>101</v>
      </c>
      <c r="P29" s="1" t="n">
        <v>101</v>
      </c>
      <c r="Q29" s="1" t="n">
        <v>101</v>
      </c>
      <c r="R29" s="1" t="n">
        <v>101</v>
      </c>
      <c r="S29" s="1" t="n">
        <v>101</v>
      </c>
      <c r="T29" s="1" t="n">
        <v>101</v>
      </c>
      <c r="U29" s="1" t="n">
        <v>101</v>
      </c>
      <c r="V29" s="1" t="n">
        <v>101</v>
      </c>
      <c r="W29" s="1" t="n">
        <v>101</v>
      </c>
      <c r="X29" s="1" t="n">
        <v>101</v>
      </c>
      <c r="Y29" s="1" t="n">
        <v>101</v>
      </c>
      <c r="Z29" s="1" t="n">
        <v>101</v>
      </c>
      <c r="AA29" s="1" t="n">
        <v>101</v>
      </c>
      <c r="AB29" s="1" t="n">
        <v>101</v>
      </c>
      <c r="AC29" s="1" t="n">
        <v>101</v>
      </c>
      <c r="AD29" s="1" t="n">
        <v>101</v>
      </c>
      <c r="AE29" s="1" t="n">
        <v>101</v>
      </c>
      <c r="AF29" s="1" t="n">
        <v>101</v>
      </c>
      <c r="AG29" s="1" t="n">
        <v>101</v>
      </c>
      <c r="AH29" s="1" t="n">
        <v>101</v>
      </c>
      <c r="AI29" s="1" t="n">
        <v>101</v>
      </c>
      <c r="AJ29" s="1" t="n">
        <v>101</v>
      </c>
      <c r="AK29" s="1" t="n">
        <v>101</v>
      </c>
      <c r="AL29" s="1" t="n">
        <v>101</v>
      </c>
      <c r="AM29" s="1" t="n">
        <v>101</v>
      </c>
      <c r="AN29" s="1" t="n">
        <v>101</v>
      </c>
      <c r="AO29" s="1"/>
      <c r="AP29" s="1"/>
      <c r="AQ29" s="1"/>
    </row>
    <row r="30" customFormat="false" ht="15" hidden="false" customHeight="false" outlineLevel="0" collapsed="false">
      <c r="A30" s="1" t="n">
        <v>527</v>
      </c>
      <c r="D30" s="29" t="n">
        <f aca="false">COUNTIFS(I30:AQ30,"&gt;0",I30:AQ30,"&lt;101")</f>
        <v>0</v>
      </c>
      <c r="E30" s="29" t="n">
        <f aca="true">INDIRECT("'Stammdaten - Schwimmer'!F"&amp;(I30+3))+INDIRECT("'Stammdaten - Schwimmer'!F"&amp;(J30+3))+INDIRECT("'Stammdaten - Schwimmer'!F"&amp;(K30+3))+INDIRECT("'Stammdaten - Schwimmer'!F"&amp;(L30+3))+INDIRECT("'Stammdaten - Schwimmer'!F"&amp;(M30+3))+INDIRECT("'Stammdaten - Schwimmer'!F"&amp;(N30+3))+INDIRECT("'Stammdaten - Schwimmer'!F"&amp;O30+3)+INDIRECT("'Stammdaten - Schwimmer'!F"&amp;(P30+3))+INDIRECT("'Stammdaten - Schwimmer'!F"&amp;(Q30+3))+INDIRECT("'Stammdaten - Schwimmer'!F"&amp;(R30+3))+INDIRECT("'Stammdaten - Schwimmer'!F"&amp;(S30+3))+INDIRECT("'Stammdaten - Schwimmer'!F"&amp;(T30+3))+INDIRECT("'Stammdaten - Schwimmer'!F"&amp;(U30+3))+INDIRECT("'Stammdaten - Schwimmer'!F"&amp;(V30+3))+INDIRECT("'Stammdaten - Schwimmer'!F"&amp;(W30+3))+INDIRECT("'Stammdaten - Schwimmer'!F"&amp;(X30+3))+INDIRECT("'Stammdaten - Schwimmer'!F"&amp;(Y30+3))+INDIRECT("'Stammdaten - Schwimmer'!F"&amp;(Z30+3))+INDIRECT("'Stammdaten - Schwimmer'!F"&amp;(AA30+3))+INDIRECT("'Stammdaten - Schwimmer'!F"&amp;(AB30+3))+INDIRECT("'Stammdaten - Schwimmer'!F"&amp;(AC30+3))+INDIRECT("'Stammdaten - Schwimmer'!F"&amp;(AD30+3))+INDIRECT("'Stammdaten - Schwimmer'!F"&amp;(AE30+3))+INDIRECT("'Stammdaten - Schwimmer'!F"&amp;(AF30+3))+INDIRECT("'Stammdaten - Schwimmer'!F"&amp;(AG30+3))</f>
        <v>0</v>
      </c>
      <c r="F30" s="2"/>
      <c r="G30" s="30" t="n">
        <f aca="false">E30*F30</f>
        <v>0</v>
      </c>
      <c r="H30" s="31" t="n">
        <f aca="false">IF(D30&gt;0,E30/D30,)</f>
        <v>0</v>
      </c>
      <c r="I30" s="1" t="n">
        <v>101</v>
      </c>
      <c r="J30" s="1" t="n">
        <v>101</v>
      </c>
      <c r="K30" s="1" t="n">
        <v>101</v>
      </c>
      <c r="L30" s="1" t="n">
        <v>101</v>
      </c>
      <c r="M30" s="1" t="n">
        <v>101</v>
      </c>
      <c r="N30" s="1" t="n">
        <v>101</v>
      </c>
      <c r="O30" s="1" t="n">
        <v>101</v>
      </c>
      <c r="P30" s="1" t="n">
        <v>101</v>
      </c>
      <c r="Q30" s="1" t="n">
        <v>101</v>
      </c>
      <c r="R30" s="1" t="n">
        <v>101</v>
      </c>
      <c r="S30" s="1" t="n">
        <v>101</v>
      </c>
      <c r="T30" s="1" t="n">
        <v>101</v>
      </c>
      <c r="U30" s="1" t="n">
        <v>101</v>
      </c>
      <c r="V30" s="1" t="n">
        <v>101</v>
      </c>
      <c r="W30" s="1" t="n">
        <v>101</v>
      </c>
      <c r="X30" s="1" t="n">
        <v>101</v>
      </c>
      <c r="Y30" s="1" t="n">
        <v>101</v>
      </c>
      <c r="Z30" s="1" t="n">
        <v>101</v>
      </c>
      <c r="AA30" s="1" t="n">
        <v>101</v>
      </c>
      <c r="AB30" s="1" t="n">
        <v>101</v>
      </c>
      <c r="AC30" s="1" t="n">
        <v>101</v>
      </c>
      <c r="AD30" s="1" t="n">
        <v>101</v>
      </c>
      <c r="AE30" s="1" t="n">
        <v>101</v>
      </c>
      <c r="AF30" s="1" t="n">
        <v>101</v>
      </c>
      <c r="AG30" s="1" t="n">
        <v>101</v>
      </c>
      <c r="AH30" s="1" t="n">
        <v>101</v>
      </c>
      <c r="AI30" s="1" t="n">
        <v>101</v>
      </c>
      <c r="AJ30" s="1" t="n">
        <v>101</v>
      </c>
      <c r="AK30" s="1" t="n">
        <v>101</v>
      </c>
      <c r="AL30" s="1" t="n">
        <v>101</v>
      </c>
      <c r="AM30" s="1" t="n">
        <v>101</v>
      </c>
      <c r="AN30" s="1" t="n">
        <v>101</v>
      </c>
      <c r="AO30" s="1"/>
      <c r="AP30" s="1"/>
      <c r="AQ30" s="1"/>
    </row>
    <row r="31" customFormat="false" ht="15" hidden="false" customHeight="false" outlineLevel="0" collapsed="false">
      <c r="A31" s="1" t="n">
        <v>528</v>
      </c>
      <c r="D31" s="29" t="n">
        <f aca="false">COUNTIFS(I31:AQ31,"&gt;0",I31:AQ31,"&lt;101")</f>
        <v>0</v>
      </c>
      <c r="E31" s="29" t="n">
        <f aca="true">INDIRECT("'Stammdaten - Schwimmer'!F"&amp;(I31+3))+INDIRECT("'Stammdaten - Schwimmer'!F"&amp;(J31+3))+INDIRECT("'Stammdaten - Schwimmer'!F"&amp;(K31+3))+INDIRECT("'Stammdaten - Schwimmer'!F"&amp;(L31+3))+INDIRECT("'Stammdaten - Schwimmer'!F"&amp;(M31+3))+INDIRECT("'Stammdaten - Schwimmer'!F"&amp;(N31+3))+INDIRECT("'Stammdaten - Schwimmer'!F"&amp;O31+3)+INDIRECT("'Stammdaten - Schwimmer'!F"&amp;(P31+3))+INDIRECT("'Stammdaten - Schwimmer'!F"&amp;(Q31+3))+INDIRECT("'Stammdaten - Schwimmer'!F"&amp;(R31+3))+INDIRECT("'Stammdaten - Schwimmer'!F"&amp;(S31+3))+INDIRECT("'Stammdaten - Schwimmer'!F"&amp;(T31+3))+INDIRECT("'Stammdaten - Schwimmer'!F"&amp;(U31+3))+INDIRECT("'Stammdaten - Schwimmer'!F"&amp;(V31+3))+INDIRECT("'Stammdaten - Schwimmer'!F"&amp;(W31+3))+INDIRECT("'Stammdaten - Schwimmer'!F"&amp;(X31+3))+INDIRECT("'Stammdaten - Schwimmer'!F"&amp;(Y31+3))+INDIRECT("'Stammdaten - Schwimmer'!F"&amp;(Z31+3))+INDIRECT("'Stammdaten - Schwimmer'!F"&amp;(AA31+3))+INDIRECT("'Stammdaten - Schwimmer'!F"&amp;(AB31+3))+INDIRECT("'Stammdaten - Schwimmer'!F"&amp;(AC31+3))+INDIRECT("'Stammdaten - Schwimmer'!F"&amp;(AD31+3))+INDIRECT("'Stammdaten - Schwimmer'!F"&amp;(AE31+3))+INDIRECT("'Stammdaten - Schwimmer'!F"&amp;(AF31+3))+INDIRECT("'Stammdaten - Schwimmer'!F"&amp;(AG31+3))</f>
        <v>0</v>
      </c>
      <c r="F31" s="2"/>
      <c r="G31" s="30" t="n">
        <f aca="false">E31*F31</f>
        <v>0</v>
      </c>
      <c r="H31" s="31" t="n">
        <f aca="false">IF(D31&gt;0,E31/D31,)</f>
        <v>0</v>
      </c>
      <c r="I31" s="1" t="n">
        <v>101</v>
      </c>
      <c r="J31" s="1" t="n">
        <v>101</v>
      </c>
      <c r="K31" s="1" t="n">
        <v>101</v>
      </c>
      <c r="L31" s="1" t="n">
        <v>101</v>
      </c>
      <c r="M31" s="1" t="n">
        <v>101</v>
      </c>
      <c r="N31" s="1" t="n">
        <v>101</v>
      </c>
      <c r="O31" s="1" t="n">
        <v>101</v>
      </c>
      <c r="P31" s="1" t="n">
        <v>101</v>
      </c>
      <c r="Q31" s="1" t="n">
        <v>101</v>
      </c>
      <c r="R31" s="1" t="n">
        <v>101</v>
      </c>
      <c r="S31" s="1" t="n">
        <v>101</v>
      </c>
      <c r="T31" s="1" t="n">
        <v>101</v>
      </c>
      <c r="U31" s="1" t="n">
        <v>101</v>
      </c>
      <c r="V31" s="1" t="n">
        <v>101</v>
      </c>
      <c r="W31" s="1" t="n">
        <v>101</v>
      </c>
      <c r="X31" s="1" t="n">
        <v>101</v>
      </c>
      <c r="Y31" s="1" t="n">
        <v>101</v>
      </c>
      <c r="Z31" s="1" t="n">
        <v>101</v>
      </c>
      <c r="AA31" s="1" t="n">
        <v>101</v>
      </c>
      <c r="AB31" s="1" t="n">
        <v>101</v>
      </c>
      <c r="AC31" s="1" t="n">
        <v>101</v>
      </c>
      <c r="AD31" s="1" t="n">
        <v>101</v>
      </c>
      <c r="AE31" s="1" t="n">
        <v>101</v>
      </c>
      <c r="AF31" s="1" t="n">
        <v>101</v>
      </c>
      <c r="AG31" s="1" t="n">
        <v>101</v>
      </c>
      <c r="AH31" s="1" t="n">
        <v>101</v>
      </c>
      <c r="AI31" s="1" t="n">
        <v>101</v>
      </c>
      <c r="AJ31" s="1" t="n">
        <v>101</v>
      </c>
      <c r="AK31" s="1" t="n">
        <v>101</v>
      </c>
      <c r="AL31" s="1" t="n">
        <v>101</v>
      </c>
      <c r="AM31" s="1" t="n">
        <v>101</v>
      </c>
      <c r="AN31" s="1" t="n">
        <v>101</v>
      </c>
      <c r="AO31" s="1"/>
      <c r="AP31" s="1"/>
      <c r="AQ31" s="1"/>
    </row>
    <row r="32" customFormat="false" ht="15" hidden="false" customHeight="false" outlineLevel="0" collapsed="false">
      <c r="A32" s="1" t="n">
        <v>529</v>
      </c>
      <c r="D32" s="29" t="n">
        <f aca="false">COUNTIFS(I32:AQ32,"&gt;0",I32:AQ32,"&lt;101")</f>
        <v>0</v>
      </c>
      <c r="E32" s="29" t="n">
        <f aca="true">INDIRECT("'Stammdaten - Schwimmer'!F"&amp;(I32+3))+INDIRECT("'Stammdaten - Schwimmer'!F"&amp;(J32+3))+INDIRECT("'Stammdaten - Schwimmer'!F"&amp;(K32+3))+INDIRECT("'Stammdaten - Schwimmer'!F"&amp;(L32+3))+INDIRECT("'Stammdaten - Schwimmer'!F"&amp;(M32+3))+INDIRECT("'Stammdaten - Schwimmer'!F"&amp;(N32+3))+INDIRECT("'Stammdaten - Schwimmer'!F"&amp;O32+3)+INDIRECT("'Stammdaten - Schwimmer'!F"&amp;(P32+3))+INDIRECT("'Stammdaten - Schwimmer'!F"&amp;(Q32+3))+INDIRECT("'Stammdaten - Schwimmer'!F"&amp;(R32+3))+INDIRECT("'Stammdaten - Schwimmer'!F"&amp;(S32+3))+INDIRECT("'Stammdaten - Schwimmer'!F"&amp;(T32+3))+INDIRECT("'Stammdaten - Schwimmer'!F"&amp;(U32+3))+INDIRECT("'Stammdaten - Schwimmer'!F"&amp;(V32+3))+INDIRECT("'Stammdaten - Schwimmer'!F"&amp;(W32+3))+INDIRECT("'Stammdaten - Schwimmer'!F"&amp;(X32+3))+INDIRECT("'Stammdaten - Schwimmer'!F"&amp;(Y32+3))+INDIRECT("'Stammdaten - Schwimmer'!F"&amp;(Z32+3))+INDIRECT("'Stammdaten - Schwimmer'!F"&amp;(AA32+3))+INDIRECT("'Stammdaten - Schwimmer'!F"&amp;(AB32+3))+INDIRECT("'Stammdaten - Schwimmer'!F"&amp;(AC32+3))+INDIRECT("'Stammdaten - Schwimmer'!F"&amp;(AD32+3))+INDIRECT("'Stammdaten - Schwimmer'!F"&amp;(AE32+3))+INDIRECT("'Stammdaten - Schwimmer'!F"&amp;(AF32+3))+INDIRECT("'Stammdaten - Schwimmer'!F"&amp;(AG32+3))</f>
        <v>0</v>
      </c>
      <c r="F32" s="2"/>
      <c r="G32" s="30" t="n">
        <f aca="false">E32*F32</f>
        <v>0</v>
      </c>
      <c r="H32" s="31" t="n">
        <f aca="false">IF(D32&gt;0,E32/D32,)</f>
        <v>0</v>
      </c>
      <c r="I32" s="1" t="n">
        <v>101</v>
      </c>
      <c r="J32" s="1" t="n">
        <v>101</v>
      </c>
      <c r="K32" s="1" t="n">
        <v>101</v>
      </c>
      <c r="L32" s="1" t="n">
        <v>101</v>
      </c>
      <c r="M32" s="1" t="n">
        <v>101</v>
      </c>
      <c r="N32" s="1" t="n">
        <v>101</v>
      </c>
      <c r="O32" s="1" t="n">
        <v>101</v>
      </c>
      <c r="P32" s="1" t="n">
        <v>101</v>
      </c>
      <c r="Q32" s="1" t="n">
        <v>101</v>
      </c>
      <c r="R32" s="1" t="n">
        <v>101</v>
      </c>
      <c r="S32" s="1" t="n">
        <v>101</v>
      </c>
      <c r="T32" s="1" t="n">
        <v>101</v>
      </c>
      <c r="U32" s="1" t="n">
        <v>101</v>
      </c>
      <c r="V32" s="1" t="n">
        <v>101</v>
      </c>
      <c r="W32" s="1" t="n">
        <v>101</v>
      </c>
      <c r="X32" s="1" t="n">
        <v>101</v>
      </c>
      <c r="Y32" s="1" t="n">
        <v>101</v>
      </c>
      <c r="Z32" s="1" t="n">
        <v>101</v>
      </c>
      <c r="AA32" s="1" t="n">
        <v>101</v>
      </c>
      <c r="AB32" s="1" t="n">
        <v>101</v>
      </c>
      <c r="AC32" s="1" t="n">
        <v>101</v>
      </c>
      <c r="AD32" s="1" t="n">
        <v>101</v>
      </c>
      <c r="AE32" s="1" t="n">
        <v>101</v>
      </c>
      <c r="AF32" s="1" t="n">
        <v>101</v>
      </c>
      <c r="AG32" s="1" t="n">
        <v>101</v>
      </c>
      <c r="AH32" s="1" t="n">
        <v>101</v>
      </c>
      <c r="AI32" s="1" t="n">
        <v>101</v>
      </c>
      <c r="AJ32" s="1" t="n">
        <v>101</v>
      </c>
      <c r="AK32" s="1" t="n">
        <v>101</v>
      </c>
      <c r="AL32" s="1" t="n">
        <v>101</v>
      </c>
      <c r="AM32" s="1" t="n">
        <v>101</v>
      </c>
      <c r="AN32" s="1" t="n">
        <v>101</v>
      </c>
      <c r="AO32" s="1"/>
      <c r="AP32" s="1"/>
      <c r="AQ32" s="1"/>
    </row>
    <row r="33" customFormat="false" ht="15" hidden="false" customHeight="false" outlineLevel="0" collapsed="false">
      <c r="A33" s="1" t="n">
        <v>530</v>
      </c>
      <c r="D33" s="29" t="n">
        <f aca="false">COUNTIFS(I33:AQ33,"&gt;0",I33:AQ33,"&lt;101")</f>
        <v>0</v>
      </c>
      <c r="E33" s="29" t="n">
        <f aca="true">INDIRECT("'Stammdaten - Schwimmer'!F"&amp;(I33+3))+INDIRECT("'Stammdaten - Schwimmer'!F"&amp;(J33+3))+INDIRECT("'Stammdaten - Schwimmer'!F"&amp;(K33+3))+INDIRECT("'Stammdaten - Schwimmer'!F"&amp;(L33+3))+INDIRECT("'Stammdaten - Schwimmer'!F"&amp;(M33+3))+INDIRECT("'Stammdaten - Schwimmer'!F"&amp;(N33+3))+INDIRECT("'Stammdaten - Schwimmer'!F"&amp;O33+3)+INDIRECT("'Stammdaten - Schwimmer'!F"&amp;(P33+3))+INDIRECT("'Stammdaten - Schwimmer'!F"&amp;(Q33+3))+INDIRECT("'Stammdaten - Schwimmer'!F"&amp;(R33+3))+INDIRECT("'Stammdaten - Schwimmer'!F"&amp;(S33+3))+INDIRECT("'Stammdaten - Schwimmer'!F"&amp;(T33+3))+INDIRECT("'Stammdaten - Schwimmer'!F"&amp;(U33+3))+INDIRECT("'Stammdaten - Schwimmer'!F"&amp;(V33+3))+INDIRECT("'Stammdaten - Schwimmer'!F"&amp;(W33+3))+INDIRECT("'Stammdaten - Schwimmer'!F"&amp;(X33+3))+INDIRECT("'Stammdaten - Schwimmer'!F"&amp;(Y33+3))+INDIRECT("'Stammdaten - Schwimmer'!F"&amp;(Z33+3))+INDIRECT("'Stammdaten - Schwimmer'!F"&amp;(AA33+3))+INDIRECT("'Stammdaten - Schwimmer'!F"&amp;(AB33+3))+INDIRECT("'Stammdaten - Schwimmer'!F"&amp;(AC33+3))+INDIRECT("'Stammdaten - Schwimmer'!F"&amp;(AD33+3))+INDIRECT("'Stammdaten - Schwimmer'!F"&amp;(AE33+3))+INDIRECT("'Stammdaten - Schwimmer'!F"&amp;(AF33+3))+INDIRECT("'Stammdaten - Schwimmer'!F"&amp;(AG33+3))</f>
        <v>0</v>
      </c>
      <c r="F33" s="2"/>
      <c r="G33" s="30" t="n">
        <f aca="false">E33*F33</f>
        <v>0</v>
      </c>
      <c r="H33" s="31" t="n">
        <f aca="false">IF(D33&gt;0,E33/D33,)</f>
        <v>0</v>
      </c>
      <c r="I33" s="1" t="n">
        <v>101</v>
      </c>
      <c r="J33" s="1" t="n">
        <v>101</v>
      </c>
      <c r="K33" s="1" t="n">
        <v>101</v>
      </c>
      <c r="L33" s="1" t="n">
        <v>101</v>
      </c>
      <c r="M33" s="1" t="n">
        <v>101</v>
      </c>
      <c r="N33" s="1" t="n">
        <v>101</v>
      </c>
      <c r="O33" s="1" t="n">
        <v>101</v>
      </c>
      <c r="P33" s="1" t="n">
        <v>101</v>
      </c>
      <c r="Q33" s="1" t="n">
        <v>101</v>
      </c>
      <c r="R33" s="1" t="n">
        <v>101</v>
      </c>
      <c r="S33" s="1" t="n">
        <v>101</v>
      </c>
      <c r="T33" s="1" t="n">
        <v>101</v>
      </c>
      <c r="U33" s="1" t="n">
        <v>101</v>
      </c>
      <c r="V33" s="1" t="n">
        <v>101</v>
      </c>
      <c r="W33" s="1" t="n">
        <v>101</v>
      </c>
      <c r="X33" s="1" t="n">
        <v>101</v>
      </c>
      <c r="Y33" s="1" t="n">
        <v>101</v>
      </c>
      <c r="Z33" s="1" t="n">
        <v>101</v>
      </c>
      <c r="AA33" s="1" t="n">
        <v>101</v>
      </c>
      <c r="AB33" s="1" t="n">
        <v>101</v>
      </c>
      <c r="AC33" s="1" t="n">
        <v>101</v>
      </c>
      <c r="AD33" s="1" t="n">
        <v>101</v>
      </c>
      <c r="AE33" s="1" t="n">
        <v>101</v>
      </c>
      <c r="AF33" s="1" t="n">
        <v>101</v>
      </c>
      <c r="AG33" s="1" t="n">
        <v>101</v>
      </c>
      <c r="AH33" s="1" t="n">
        <v>101</v>
      </c>
      <c r="AI33" s="1" t="n">
        <v>101</v>
      </c>
      <c r="AJ33" s="1" t="n">
        <v>101</v>
      </c>
      <c r="AK33" s="1" t="n">
        <v>101</v>
      </c>
      <c r="AL33" s="1" t="n">
        <v>101</v>
      </c>
      <c r="AM33" s="1" t="n">
        <v>101</v>
      </c>
      <c r="AN33" s="1" t="n">
        <v>101</v>
      </c>
      <c r="AO33" s="1"/>
      <c r="AP33" s="1"/>
      <c r="AQ33" s="1"/>
    </row>
    <row r="34" customFormat="false" ht="15" hidden="false" customHeight="false" outlineLevel="0" collapsed="false">
      <c r="A34" s="1" t="n">
        <v>531</v>
      </c>
      <c r="D34" s="29" t="n">
        <f aca="false">COUNTIFS(I34:AQ34,"&gt;0",I34:AQ34,"&lt;101")</f>
        <v>0</v>
      </c>
      <c r="E34" s="29" t="n">
        <f aca="true">INDIRECT("'Stammdaten - Schwimmer'!F"&amp;(I34+3))+INDIRECT("'Stammdaten - Schwimmer'!F"&amp;(J34+3))+INDIRECT("'Stammdaten - Schwimmer'!F"&amp;(K34+3))+INDIRECT("'Stammdaten - Schwimmer'!F"&amp;(L34+3))+INDIRECT("'Stammdaten - Schwimmer'!F"&amp;(M34+3))+INDIRECT("'Stammdaten - Schwimmer'!F"&amp;(N34+3))+INDIRECT("'Stammdaten - Schwimmer'!F"&amp;O34+3)+INDIRECT("'Stammdaten - Schwimmer'!F"&amp;(P34+3))+INDIRECT("'Stammdaten - Schwimmer'!F"&amp;(Q34+3))+INDIRECT("'Stammdaten - Schwimmer'!F"&amp;(R34+3))+INDIRECT("'Stammdaten - Schwimmer'!F"&amp;(S34+3))+INDIRECT("'Stammdaten - Schwimmer'!F"&amp;(T34+3))+INDIRECT("'Stammdaten - Schwimmer'!F"&amp;(U34+3))+INDIRECT("'Stammdaten - Schwimmer'!F"&amp;(V34+3))+INDIRECT("'Stammdaten - Schwimmer'!F"&amp;(W34+3))+INDIRECT("'Stammdaten - Schwimmer'!F"&amp;(X34+3))+INDIRECT("'Stammdaten - Schwimmer'!F"&amp;(Y34+3))+INDIRECT("'Stammdaten - Schwimmer'!F"&amp;(Z34+3))+INDIRECT("'Stammdaten - Schwimmer'!F"&amp;(AA34+3))+INDIRECT("'Stammdaten - Schwimmer'!F"&amp;(AB34+3))+INDIRECT("'Stammdaten - Schwimmer'!F"&amp;(AC34+3))+INDIRECT("'Stammdaten - Schwimmer'!F"&amp;(AD34+3))+INDIRECT("'Stammdaten - Schwimmer'!F"&amp;(AE34+3))+INDIRECT("'Stammdaten - Schwimmer'!F"&amp;(AF34+3))+INDIRECT("'Stammdaten - Schwimmer'!F"&amp;(AG34+3))</f>
        <v>0</v>
      </c>
      <c r="F34" s="2"/>
      <c r="G34" s="30" t="n">
        <f aca="false">E34*F34</f>
        <v>0</v>
      </c>
      <c r="H34" s="31" t="n">
        <f aca="false">IF(D34&gt;0,E34/D34,)</f>
        <v>0</v>
      </c>
      <c r="I34" s="1" t="n">
        <v>101</v>
      </c>
      <c r="J34" s="1" t="n">
        <v>101</v>
      </c>
      <c r="K34" s="1" t="n">
        <v>101</v>
      </c>
      <c r="L34" s="1" t="n">
        <v>101</v>
      </c>
      <c r="M34" s="1" t="n">
        <v>101</v>
      </c>
      <c r="N34" s="1" t="n">
        <v>101</v>
      </c>
      <c r="O34" s="1" t="n">
        <v>101</v>
      </c>
      <c r="P34" s="1" t="n">
        <v>101</v>
      </c>
      <c r="Q34" s="1" t="n">
        <v>101</v>
      </c>
      <c r="R34" s="1" t="n">
        <v>101</v>
      </c>
      <c r="S34" s="1" t="n">
        <v>101</v>
      </c>
      <c r="T34" s="1" t="n">
        <v>101</v>
      </c>
      <c r="U34" s="1" t="n">
        <v>101</v>
      </c>
      <c r="V34" s="1" t="n">
        <v>101</v>
      </c>
      <c r="W34" s="1" t="n">
        <v>101</v>
      </c>
      <c r="X34" s="1" t="n">
        <v>101</v>
      </c>
      <c r="Y34" s="1" t="n">
        <v>101</v>
      </c>
      <c r="Z34" s="1" t="n">
        <v>101</v>
      </c>
      <c r="AA34" s="1" t="n">
        <v>101</v>
      </c>
      <c r="AB34" s="1" t="n">
        <v>101</v>
      </c>
      <c r="AC34" s="1" t="n">
        <v>101</v>
      </c>
      <c r="AD34" s="1" t="n">
        <v>101</v>
      </c>
      <c r="AE34" s="1" t="n">
        <v>101</v>
      </c>
      <c r="AF34" s="1" t="n">
        <v>101</v>
      </c>
      <c r="AG34" s="1" t="n">
        <v>101</v>
      </c>
      <c r="AH34" s="1" t="n">
        <v>101</v>
      </c>
      <c r="AI34" s="1" t="n">
        <v>101</v>
      </c>
      <c r="AJ34" s="1" t="n">
        <v>101</v>
      </c>
      <c r="AK34" s="1" t="n">
        <v>101</v>
      </c>
      <c r="AL34" s="1" t="n">
        <v>101</v>
      </c>
      <c r="AM34" s="1" t="n">
        <v>101</v>
      </c>
      <c r="AN34" s="1" t="n">
        <v>101</v>
      </c>
      <c r="AO34" s="1"/>
      <c r="AP34" s="1"/>
      <c r="AQ34" s="1"/>
    </row>
    <row r="35" customFormat="false" ht="15" hidden="false" customHeight="false" outlineLevel="0" collapsed="false">
      <c r="A35" s="1" t="n">
        <v>532</v>
      </c>
      <c r="D35" s="29" t="n">
        <f aca="false">COUNTIFS(I35:AQ35,"&gt;0",I35:AQ35,"&lt;101")</f>
        <v>0</v>
      </c>
      <c r="E35" s="29" t="n">
        <f aca="true">INDIRECT("'Stammdaten - Schwimmer'!F"&amp;(I35+3))+INDIRECT("'Stammdaten - Schwimmer'!F"&amp;(J35+3))+INDIRECT("'Stammdaten - Schwimmer'!F"&amp;(K35+3))+INDIRECT("'Stammdaten - Schwimmer'!F"&amp;(L35+3))+INDIRECT("'Stammdaten - Schwimmer'!F"&amp;(M35+3))+INDIRECT("'Stammdaten - Schwimmer'!F"&amp;(N35+3))+INDIRECT("'Stammdaten - Schwimmer'!F"&amp;O35+3)+INDIRECT("'Stammdaten - Schwimmer'!F"&amp;(P35+3))+INDIRECT("'Stammdaten - Schwimmer'!F"&amp;(Q35+3))+INDIRECT("'Stammdaten - Schwimmer'!F"&amp;(R35+3))+INDIRECT("'Stammdaten - Schwimmer'!F"&amp;(S35+3))+INDIRECT("'Stammdaten - Schwimmer'!F"&amp;(T35+3))+INDIRECT("'Stammdaten - Schwimmer'!F"&amp;(U35+3))+INDIRECT("'Stammdaten - Schwimmer'!F"&amp;(V35+3))+INDIRECT("'Stammdaten - Schwimmer'!F"&amp;(W35+3))+INDIRECT("'Stammdaten - Schwimmer'!F"&amp;(X35+3))+INDIRECT("'Stammdaten - Schwimmer'!F"&amp;(Y35+3))+INDIRECT("'Stammdaten - Schwimmer'!F"&amp;(Z35+3))+INDIRECT("'Stammdaten - Schwimmer'!F"&amp;(AA35+3))+INDIRECT("'Stammdaten - Schwimmer'!F"&amp;(AB35+3))+INDIRECT("'Stammdaten - Schwimmer'!F"&amp;(AC35+3))+INDIRECT("'Stammdaten - Schwimmer'!F"&amp;(AD35+3))+INDIRECT("'Stammdaten - Schwimmer'!F"&amp;(AE35+3))+INDIRECT("'Stammdaten - Schwimmer'!F"&amp;(AF35+3))+INDIRECT("'Stammdaten - Schwimmer'!F"&amp;(AG35+3))</f>
        <v>0</v>
      </c>
      <c r="F35" s="2"/>
      <c r="G35" s="30" t="n">
        <f aca="false">E35*F35</f>
        <v>0</v>
      </c>
      <c r="H35" s="31" t="n">
        <f aca="false">IF(D35&gt;0,E35/D35,)</f>
        <v>0</v>
      </c>
      <c r="I35" s="1" t="n">
        <v>101</v>
      </c>
      <c r="J35" s="1" t="n">
        <v>101</v>
      </c>
      <c r="K35" s="1" t="n">
        <v>101</v>
      </c>
      <c r="L35" s="1" t="n">
        <v>101</v>
      </c>
      <c r="M35" s="1" t="n">
        <v>101</v>
      </c>
      <c r="N35" s="1" t="n">
        <v>101</v>
      </c>
      <c r="O35" s="1" t="n">
        <v>101</v>
      </c>
      <c r="P35" s="1" t="n">
        <v>101</v>
      </c>
      <c r="Q35" s="1" t="n">
        <v>101</v>
      </c>
      <c r="R35" s="1" t="n">
        <v>101</v>
      </c>
      <c r="S35" s="1" t="n">
        <v>101</v>
      </c>
      <c r="T35" s="1" t="n">
        <v>101</v>
      </c>
      <c r="U35" s="1" t="n">
        <v>101</v>
      </c>
      <c r="V35" s="1" t="n">
        <v>101</v>
      </c>
      <c r="W35" s="1" t="n">
        <v>101</v>
      </c>
      <c r="X35" s="1" t="n">
        <v>101</v>
      </c>
      <c r="Y35" s="1" t="n">
        <v>101</v>
      </c>
      <c r="Z35" s="1" t="n">
        <v>101</v>
      </c>
      <c r="AA35" s="1" t="n">
        <v>101</v>
      </c>
      <c r="AB35" s="1" t="n">
        <v>101</v>
      </c>
      <c r="AC35" s="1" t="n">
        <v>101</v>
      </c>
      <c r="AD35" s="1" t="n">
        <v>101</v>
      </c>
      <c r="AE35" s="1" t="n">
        <v>101</v>
      </c>
      <c r="AF35" s="1" t="n">
        <v>101</v>
      </c>
      <c r="AG35" s="1" t="n">
        <v>101</v>
      </c>
      <c r="AH35" s="1" t="n">
        <v>101</v>
      </c>
      <c r="AI35" s="1" t="n">
        <v>101</v>
      </c>
      <c r="AJ35" s="1" t="n">
        <v>101</v>
      </c>
      <c r="AK35" s="1" t="n">
        <v>101</v>
      </c>
      <c r="AL35" s="1" t="n">
        <v>101</v>
      </c>
      <c r="AM35" s="1" t="n">
        <v>101</v>
      </c>
      <c r="AN35" s="1" t="n">
        <v>101</v>
      </c>
      <c r="AO35" s="1"/>
      <c r="AP35" s="1"/>
      <c r="AQ35" s="1"/>
    </row>
    <row r="36" customFormat="false" ht="15" hidden="false" customHeight="false" outlineLevel="0" collapsed="false">
      <c r="A36" s="1" t="n">
        <v>533</v>
      </c>
      <c r="D36" s="29" t="n">
        <f aca="false">COUNTIFS(I36:AQ36,"&gt;0",I36:AQ36,"&lt;101")</f>
        <v>0</v>
      </c>
      <c r="E36" s="29" t="n">
        <f aca="true">INDIRECT("'Stammdaten - Schwimmer'!F"&amp;(I36+3))+INDIRECT("'Stammdaten - Schwimmer'!F"&amp;(J36+3))+INDIRECT("'Stammdaten - Schwimmer'!F"&amp;(K36+3))+INDIRECT("'Stammdaten - Schwimmer'!F"&amp;(L36+3))+INDIRECT("'Stammdaten - Schwimmer'!F"&amp;(M36+3))+INDIRECT("'Stammdaten - Schwimmer'!F"&amp;(N36+3))+INDIRECT("'Stammdaten - Schwimmer'!F"&amp;O36+3)+INDIRECT("'Stammdaten - Schwimmer'!F"&amp;(P36+3))+INDIRECT("'Stammdaten - Schwimmer'!F"&amp;(Q36+3))+INDIRECT("'Stammdaten - Schwimmer'!F"&amp;(R36+3))+INDIRECT("'Stammdaten - Schwimmer'!F"&amp;(S36+3))+INDIRECT("'Stammdaten - Schwimmer'!F"&amp;(T36+3))+INDIRECT("'Stammdaten - Schwimmer'!F"&amp;(U36+3))+INDIRECT("'Stammdaten - Schwimmer'!F"&amp;(V36+3))+INDIRECT("'Stammdaten - Schwimmer'!F"&amp;(W36+3))+INDIRECT("'Stammdaten - Schwimmer'!F"&amp;(X36+3))+INDIRECT("'Stammdaten - Schwimmer'!F"&amp;(Y36+3))+INDIRECT("'Stammdaten - Schwimmer'!F"&amp;(Z36+3))+INDIRECT("'Stammdaten - Schwimmer'!F"&amp;(AA36+3))+INDIRECT("'Stammdaten - Schwimmer'!F"&amp;(AB36+3))+INDIRECT("'Stammdaten - Schwimmer'!F"&amp;(AC36+3))+INDIRECT("'Stammdaten - Schwimmer'!F"&amp;(AD36+3))+INDIRECT("'Stammdaten - Schwimmer'!F"&amp;(AE36+3))+INDIRECT("'Stammdaten - Schwimmer'!F"&amp;(AF36+3))+INDIRECT("'Stammdaten - Schwimmer'!F"&amp;(AG36+3))</f>
        <v>0</v>
      </c>
      <c r="F36" s="2"/>
      <c r="G36" s="30" t="n">
        <f aca="false">E36*F36</f>
        <v>0</v>
      </c>
      <c r="H36" s="31" t="n">
        <f aca="false">IF(D36&gt;0,E36/D36,)</f>
        <v>0</v>
      </c>
      <c r="I36" s="1" t="n">
        <v>101</v>
      </c>
      <c r="J36" s="1" t="n">
        <v>101</v>
      </c>
      <c r="K36" s="1" t="n">
        <v>101</v>
      </c>
      <c r="L36" s="1" t="n">
        <v>101</v>
      </c>
      <c r="M36" s="1" t="n">
        <v>101</v>
      </c>
      <c r="N36" s="1" t="n">
        <v>101</v>
      </c>
      <c r="O36" s="1" t="n">
        <v>101</v>
      </c>
      <c r="P36" s="1" t="n">
        <v>101</v>
      </c>
      <c r="Q36" s="1" t="n">
        <v>101</v>
      </c>
      <c r="R36" s="1" t="n">
        <v>101</v>
      </c>
      <c r="S36" s="1" t="n">
        <v>101</v>
      </c>
      <c r="T36" s="1" t="n">
        <v>101</v>
      </c>
      <c r="U36" s="1" t="n">
        <v>101</v>
      </c>
      <c r="V36" s="1" t="n">
        <v>101</v>
      </c>
      <c r="W36" s="1" t="n">
        <v>101</v>
      </c>
      <c r="X36" s="1" t="n">
        <v>101</v>
      </c>
      <c r="Y36" s="1" t="n">
        <v>101</v>
      </c>
      <c r="Z36" s="1" t="n">
        <v>101</v>
      </c>
      <c r="AA36" s="1" t="n">
        <v>101</v>
      </c>
      <c r="AB36" s="1" t="n">
        <v>101</v>
      </c>
      <c r="AC36" s="1" t="n">
        <v>101</v>
      </c>
      <c r="AD36" s="1" t="n">
        <v>101</v>
      </c>
      <c r="AE36" s="1" t="n">
        <v>101</v>
      </c>
      <c r="AF36" s="1" t="n">
        <v>101</v>
      </c>
      <c r="AG36" s="1" t="n">
        <v>101</v>
      </c>
      <c r="AH36" s="1" t="n">
        <v>101</v>
      </c>
      <c r="AI36" s="1" t="n">
        <v>101</v>
      </c>
      <c r="AJ36" s="1" t="n">
        <v>101</v>
      </c>
      <c r="AK36" s="1" t="n">
        <v>101</v>
      </c>
      <c r="AL36" s="1" t="n">
        <v>101</v>
      </c>
      <c r="AM36" s="1" t="n">
        <v>101</v>
      </c>
      <c r="AN36" s="1" t="n">
        <v>101</v>
      </c>
      <c r="AO36" s="1"/>
      <c r="AP36" s="1"/>
      <c r="AQ36" s="1"/>
    </row>
    <row r="37" customFormat="false" ht="15" hidden="false" customHeight="false" outlineLevel="0" collapsed="false">
      <c r="A37" s="1" t="n">
        <v>534</v>
      </c>
      <c r="D37" s="29" t="n">
        <f aca="false">COUNTIFS(I37:AQ37,"&gt;0",I37:AQ37,"&lt;101")</f>
        <v>0</v>
      </c>
      <c r="E37" s="29" t="n">
        <f aca="true">INDIRECT("'Stammdaten - Schwimmer'!F"&amp;(I37+3))+INDIRECT("'Stammdaten - Schwimmer'!F"&amp;(J37+3))+INDIRECT("'Stammdaten - Schwimmer'!F"&amp;(K37+3))+INDIRECT("'Stammdaten - Schwimmer'!F"&amp;(L37+3))+INDIRECT("'Stammdaten - Schwimmer'!F"&amp;(M37+3))+INDIRECT("'Stammdaten - Schwimmer'!F"&amp;(N37+3))+INDIRECT("'Stammdaten - Schwimmer'!F"&amp;O37+3)+INDIRECT("'Stammdaten - Schwimmer'!F"&amp;(P37+3))+INDIRECT("'Stammdaten - Schwimmer'!F"&amp;(Q37+3))+INDIRECT("'Stammdaten - Schwimmer'!F"&amp;(R37+3))+INDIRECT("'Stammdaten - Schwimmer'!F"&amp;(S37+3))+INDIRECT("'Stammdaten - Schwimmer'!F"&amp;(T37+3))+INDIRECT("'Stammdaten - Schwimmer'!F"&amp;(U37+3))+INDIRECT("'Stammdaten - Schwimmer'!F"&amp;(V37+3))+INDIRECT("'Stammdaten - Schwimmer'!F"&amp;(W37+3))+INDIRECT("'Stammdaten - Schwimmer'!F"&amp;(X37+3))+INDIRECT("'Stammdaten - Schwimmer'!F"&amp;(Y37+3))+INDIRECT("'Stammdaten - Schwimmer'!F"&amp;(Z37+3))+INDIRECT("'Stammdaten - Schwimmer'!F"&amp;(AA37+3))+INDIRECT("'Stammdaten - Schwimmer'!F"&amp;(AB37+3))+INDIRECT("'Stammdaten - Schwimmer'!F"&amp;(AC37+3))+INDIRECT("'Stammdaten - Schwimmer'!F"&amp;(AD37+3))+INDIRECT("'Stammdaten - Schwimmer'!F"&amp;(AE37+3))+INDIRECT("'Stammdaten - Schwimmer'!F"&amp;(AF37+3))+INDIRECT("'Stammdaten - Schwimmer'!F"&amp;(AG37+3))</f>
        <v>0</v>
      </c>
      <c r="F37" s="2"/>
      <c r="G37" s="30" t="n">
        <f aca="false">E37*F37</f>
        <v>0</v>
      </c>
      <c r="H37" s="31" t="n">
        <f aca="false">IF(D37&gt;0,E37/D37,)</f>
        <v>0</v>
      </c>
      <c r="I37" s="1" t="n">
        <v>101</v>
      </c>
      <c r="J37" s="1" t="n">
        <v>101</v>
      </c>
      <c r="K37" s="1" t="n">
        <v>101</v>
      </c>
      <c r="L37" s="1" t="n">
        <v>101</v>
      </c>
      <c r="M37" s="1" t="n">
        <v>101</v>
      </c>
      <c r="N37" s="1" t="n">
        <v>101</v>
      </c>
      <c r="O37" s="1" t="n">
        <v>101</v>
      </c>
      <c r="P37" s="1" t="n">
        <v>101</v>
      </c>
      <c r="Q37" s="1" t="n">
        <v>101</v>
      </c>
      <c r="R37" s="1" t="n">
        <v>101</v>
      </c>
      <c r="S37" s="1" t="n">
        <v>101</v>
      </c>
      <c r="T37" s="1" t="n">
        <v>101</v>
      </c>
      <c r="U37" s="1" t="n">
        <v>101</v>
      </c>
      <c r="V37" s="1" t="n">
        <v>101</v>
      </c>
      <c r="W37" s="1" t="n">
        <v>101</v>
      </c>
      <c r="X37" s="1" t="n">
        <v>101</v>
      </c>
      <c r="Y37" s="1" t="n">
        <v>101</v>
      </c>
      <c r="Z37" s="1" t="n">
        <v>101</v>
      </c>
      <c r="AA37" s="1" t="n">
        <v>101</v>
      </c>
      <c r="AB37" s="1" t="n">
        <v>101</v>
      </c>
      <c r="AC37" s="1" t="n">
        <v>101</v>
      </c>
      <c r="AD37" s="1" t="n">
        <v>101</v>
      </c>
      <c r="AE37" s="1" t="n">
        <v>101</v>
      </c>
      <c r="AF37" s="1" t="n">
        <v>101</v>
      </c>
      <c r="AG37" s="1" t="n">
        <v>101</v>
      </c>
      <c r="AH37" s="1" t="n">
        <v>101</v>
      </c>
      <c r="AI37" s="1" t="n">
        <v>101</v>
      </c>
      <c r="AJ37" s="1" t="n">
        <v>101</v>
      </c>
      <c r="AK37" s="1" t="n">
        <v>101</v>
      </c>
      <c r="AL37" s="1" t="n">
        <v>101</v>
      </c>
      <c r="AM37" s="1" t="n">
        <v>101</v>
      </c>
      <c r="AN37" s="1" t="n">
        <v>101</v>
      </c>
      <c r="AO37" s="1"/>
      <c r="AP37" s="1"/>
      <c r="AQ37" s="1"/>
    </row>
    <row r="38" customFormat="false" ht="15" hidden="false" customHeight="false" outlineLevel="0" collapsed="false">
      <c r="A38" s="1" t="n">
        <v>535</v>
      </c>
      <c r="D38" s="29" t="n">
        <f aca="false">COUNTIFS(I38:AQ38,"&gt;0",I38:AQ38,"&lt;101")</f>
        <v>0</v>
      </c>
      <c r="E38" s="29" t="n">
        <f aca="true">INDIRECT("'Stammdaten - Schwimmer'!F"&amp;(I38+3))+INDIRECT("'Stammdaten - Schwimmer'!F"&amp;(J38+3))+INDIRECT("'Stammdaten - Schwimmer'!F"&amp;(K38+3))+INDIRECT("'Stammdaten - Schwimmer'!F"&amp;(L38+3))+INDIRECT("'Stammdaten - Schwimmer'!F"&amp;(M38+3))+INDIRECT("'Stammdaten - Schwimmer'!F"&amp;(N38+3))+INDIRECT("'Stammdaten - Schwimmer'!F"&amp;O38+3)+INDIRECT("'Stammdaten - Schwimmer'!F"&amp;(P38+3))+INDIRECT("'Stammdaten - Schwimmer'!F"&amp;(Q38+3))+INDIRECT("'Stammdaten - Schwimmer'!F"&amp;(R38+3))+INDIRECT("'Stammdaten - Schwimmer'!F"&amp;(S38+3))+INDIRECT("'Stammdaten - Schwimmer'!F"&amp;(T38+3))+INDIRECT("'Stammdaten - Schwimmer'!F"&amp;(U38+3))+INDIRECT("'Stammdaten - Schwimmer'!F"&amp;(V38+3))+INDIRECT("'Stammdaten - Schwimmer'!F"&amp;(W38+3))+INDIRECT("'Stammdaten - Schwimmer'!F"&amp;(X38+3))+INDIRECT("'Stammdaten - Schwimmer'!F"&amp;(Y38+3))+INDIRECT("'Stammdaten - Schwimmer'!F"&amp;(Z38+3))+INDIRECT("'Stammdaten - Schwimmer'!F"&amp;(AA38+3))+INDIRECT("'Stammdaten - Schwimmer'!F"&amp;(AB38+3))+INDIRECT("'Stammdaten - Schwimmer'!F"&amp;(AC38+3))+INDIRECT("'Stammdaten - Schwimmer'!F"&amp;(AD38+3))+INDIRECT("'Stammdaten - Schwimmer'!F"&amp;(AE38+3))+INDIRECT("'Stammdaten - Schwimmer'!F"&amp;(AF38+3))+INDIRECT("'Stammdaten - Schwimmer'!F"&amp;(AG38+3))</f>
        <v>0</v>
      </c>
      <c r="F38" s="2"/>
      <c r="G38" s="30" t="n">
        <f aca="false">E38*F38</f>
        <v>0</v>
      </c>
      <c r="H38" s="31" t="n">
        <f aca="false">IF(D38&gt;0,E38/D38,)</f>
        <v>0</v>
      </c>
      <c r="I38" s="1" t="n">
        <v>101</v>
      </c>
      <c r="J38" s="1" t="n">
        <v>101</v>
      </c>
      <c r="K38" s="1" t="n">
        <v>101</v>
      </c>
      <c r="L38" s="1" t="n">
        <v>101</v>
      </c>
      <c r="M38" s="1" t="n">
        <v>101</v>
      </c>
      <c r="N38" s="1" t="n">
        <v>101</v>
      </c>
      <c r="O38" s="1" t="n">
        <v>101</v>
      </c>
      <c r="P38" s="1" t="n">
        <v>101</v>
      </c>
      <c r="Q38" s="1" t="n">
        <v>101</v>
      </c>
      <c r="R38" s="1" t="n">
        <v>101</v>
      </c>
      <c r="S38" s="1" t="n">
        <v>101</v>
      </c>
      <c r="T38" s="1" t="n">
        <v>101</v>
      </c>
      <c r="U38" s="1" t="n">
        <v>101</v>
      </c>
      <c r="V38" s="1" t="n">
        <v>101</v>
      </c>
      <c r="W38" s="1" t="n">
        <v>101</v>
      </c>
      <c r="X38" s="1" t="n">
        <v>101</v>
      </c>
      <c r="Y38" s="1" t="n">
        <v>101</v>
      </c>
      <c r="Z38" s="1" t="n">
        <v>101</v>
      </c>
      <c r="AA38" s="1" t="n">
        <v>101</v>
      </c>
      <c r="AB38" s="1" t="n">
        <v>101</v>
      </c>
      <c r="AC38" s="1" t="n">
        <v>101</v>
      </c>
      <c r="AD38" s="1" t="n">
        <v>101</v>
      </c>
      <c r="AE38" s="1" t="n">
        <v>101</v>
      </c>
      <c r="AF38" s="1" t="n">
        <v>101</v>
      </c>
      <c r="AG38" s="1" t="n">
        <v>101</v>
      </c>
      <c r="AH38" s="1" t="n">
        <v>101</v>
      </c>
      <c r="AI38" s="1" t="n">
        <v>101</v>
      </c>
      <c r="AJ38" s="1" t="n">
        <v>101</v>
      </c>
      <c r="AK38" s="1" t="n">
        <v>101</v>
      </c>
      <c r="AL38" s="1" t="n">
        <v>101</v>
      </c>
      <c r="AM38" s="1" t="n">
        <v>101</v>
      </c>
      <c r="AN38" s="1" t="n">
        <v>101</v>
      </c>
      <c r="AO38" s="1"/>
      <c r="AP38" s="1"/>
      <c r="AQ38" s="1"/>
    </row>
    <row r="39" customFormat="false" ht="15" hidden="false" customHeight="false" outlineLevel="0" collapsed="false">
      <c r="A39" s="1" t="n">
        <v>536</v>
      </c>
      <c r="D39" s="29" t="n">
        <f aca="false">COUNTIFS(I39:AQ39,"&gt;0",I39:AQ39,"&lt;101")</f>
        <v>0</v>
      </c>
      <c r="E39" s="29" t="n">
        <f aca="true">INDIRECT("'Stammdaten - Schwimmer'!F"&amp;(I39+3))+INDIRECT("'Stammdaten - Schwimmer'!F"&amp;(J39+3))+INDIRECT("'Stammdaten - Schwimmer'!F"&amp;(K39+3))+INDIRECT("'Stammdaten - Schwimmer'!F"&amp;(L39+3))+INDIRECT("'Stammdaten - Schwimmer'!F"&amp;(M39+3))+INDIRECT("'Stammdaten - Schwimmer'!F"&amp;(N39+3))+INDIRECT("'Stammdaten - Schwimmer'!F"&amp;O39+3)+INDIRECT("'Stammdaten - Schwimmer'!F"&amp;(P39+3))+INDIRECT("'Stammdaten - Schwimmer'!F"&amp;(Q39+3))+INDIRECT("'Stammdaten - Schwimmer'!F"&amp;(R39+3))+INDIRECT("'Stammdaten - Schwimmer'!F"&amp;(S39+3))+INDIRECT("'Stammdaten - Schwimmer'!F"&amp;(T39+3))+INDIRECT("'Stammdaten - Schwimmer'!F"&amp;(U39+3))+INDIRECT("'Stammdaten - Schwimmer'!F"&amp;(V39+3))+INDIRECT("'Stammdaten - Schwimmer'!F"&amp;(W39+3))+INDIRECT("'Stammdaten - Schwimmer'!F"&amp;(X39+3))+INDIRECT("'Stammdaten - Schwimmer'!F"&amp;(Y39+3))+INDIRECT("'Stammdaten - Schwimmer'!F"&amp;(Z39+3))+INDIRECT("'Stammdaten - Schwimmer'!F"&amp;(AA39+3))+INDIRECT("'Stammdaten - Schwimmer'!F"&amp;(AB39+3))+INDIRECT("'Stammdaten - Schwimmer'!F"&amp;(AC39+3))+INDIRECT("'Stammdaten - Schwimmer'!F"&amp;(AD39+3))+INDIRECT("'Stammdaten - Schwimmer'!F"&amp;(AE39+3))+INDIRECT("'Stammdaten - Schwimmer'!F"&amp;(AF39+3))+INDIRECT("'Stammdaten - Schwimmer'!F"&amp;(AG39+3))</f>
        <v>0</v>
      </c>
      <c r="F39" s="2"/>
      <c r="G39" s="30" t="n">
        <f aca="false">E39*F39</f>
        <v>0</v>
      </c>
      <c r="H39" s="31" t="n">
        <f aca="false">IF(D39&gt;0,E39/D39,)</f>
        <v>0</v>
      </c>
      <c r="I39" s="1" t="n">
        <v>101</v>
      </c>
      <c r="J39" s="1" t="n">
        <v>101</v>
      </c>
      <c r="K39" s="1" t="n">
        <v>101</v>
      </c>
      <c r="L39" s="1" t="n">
        <v>101</v>
      </c>
      <c r="M39" s="1" t="n">
        <v>101</v>
      </c>
      <c r="N39" s="1" t="n">
        <v>101</v>
      </c>
      <c r="O39" s="1" t="n">
        <v>101</v>
      </c>
      <c r="P39" s="1" t="n">
        <v>101</v>
      </c>
      <c r="Q39" s="1" t="n">
        <v>101</v>
      </c>
      <c r="R39" s="1" t="n">
        <v>101</v>
      </c>
      <c r="S39" s="1" t="n">
        <v>101</v>
      </c>
      <c r="T39" s="1" t="n">
        <v>101</v>
      </c>
      <c r="U39" s="1" t="n">
        <v>101</v>
      </c>
      <c r="V39" s="1" t="n">
        <v>101</v>
      </c>
      <c r="W39" s="1" t="n">
        <v>101</v>
      </c>
      <c r="X39" s="1" t="n">
        <v>101</v>
      </c>
      <c r="Y39" s="1" t="n">
        <v>101</v>
      </c>
      <c r="Z39" s="1" t="n">
        <v>101</v>
      </c>
      <c r="AA39" s="1" t="n">
        <v>101</v>
      </c>
      <c r="AB39" s="1" t="n">
        <v>101</v>
      </c>
      <c r="AC39" s="1" t="n">
        <v>101</v>
      </c>
      <c r="AD39" s="1" t="n">
        <v>101</v>
      </c>
      <c r="AE39" s="1" t="n">
        <v>101</v>
      </c>
      <c r="AF39" s="1" t="n">
        <v>101</v>
      </c>
      <c r="AG39" s="1" t="n">
        <v>101</v>
      </c>
      <c r="AH39" s="1" t="n">
        <v>101</v>
      </c>
      <c r="AI39" s="1" t="n">
        <v>101</v>
      </c>
      <c r="AJ39" s="1" t="n">
        <v>101</v>
      </c>
      <c r="AK39" s="1" t="n">
        <v>101</v>
      </c>
      <c r="AL39" s="1" t="n">
        <v>101</v>
      </c>
      <c r="AM39" s="1" t="n">
        <v>101</v>
      </c>
      <c r="AN39" s="1" t="n">
        <v>101</v>
      </c>
      <c r="AO39" s="1"/>
      <c r="AP39" s="1"/>
      <c r="AQ39" s="1"/>
    </row>
    <row r="40" customFormat="false" ht="15" hidden="false" customHeight="false" outlineLevel="0" collapsed="false">
      <c r="A40" s="1" t="n">
        <v>537</v>
      </c>
      <c r="D40" s="29" t="n">
        <f aca="false">COUNTIFS(I40:AQ40,"&gt;0",I40:AQ40,"&lt;101")</f>
        <v>0</v>
      </c>
      <c r="E40" s="29" t="n">
        <f aca="true">INDIRECT("'Stammdaten - Schwimmer'!F"&amp;(I40+3))+INDIRECT("'Stammdaten - Schwimmer'!F"&amp;(J40+3))+INDIRECT("'Stammdaten - Schwimmer'!F"&amp;(K40+3))+INDIRECT("'Stammdaten - Schwimmer'!F"&amp;(L40+3))+INDIRECT("'Stammdaten - Schwimmer'!F"&amp;(M40+3))+INDIRECT("'Stammdaten - Schwimmer'!F"&amp;(N40+3))+INDIRECT("'Stammdaten - Schwimmer'!F"&amp;O40+3)+INDIRECT("'Stammdaten - Schwimmer'!F"&amp;(P40+3))+INDIRECT("'Stammdaten - Schwimmer'!F"&amp;(Q40+3))+INDIRECT("'Stammdaten - Schwimmer'!F"&amp;(R40+3))+INDIRECT("'Stammdaten - Schwimmer'!F"&amp;(S40+3))+INDIRECT("'Stammdaten - Schwimmer'!F"&amp;(T40+3))+INDIRECT("'Stammdaten - Schwimmer'!F"&amp;(U40+3))+INDIRECT("'Stammdaten - Schwimmer'!F"&amp;(V40+3))+INDIRECT("'Stammdaten - Schwimmer'!F"&amp;(W40+3))+INDIRECT("'Stammdaten - Schwimmer'!F"&amp;(X40+3))+INDIRECT("'Stammdaten - Schwimmer'!F"&amp;(Y40+3))+INDIRECT("'Stammdaten - Schwimmer'!F"&amp;(Z40+3))+INDIRECT("'Stammdaten - Schwimmer'!F"&amp;(AA40+3))+INDIRECT("'Stammdaten - Schwimmer'!F"&amp;(AB40+3))+INDIRECT("'Stammdaten - Schwimmer'!F"&amp;(AC40+3))+INDIRECT("'Stammdaten - Schwimmer'!F"&amp;(AD40+3))+INDIRECT("'Stammdaten - Schwimmer'!F"&amp;(AE40+3))+INDIRECT("'Stammdaten - Schwimmer'!F"&amp;(AF40+3))+INDIRECT("'Stammdaten - Schwimmer'!F"&amp;(AG40+3))</f>
        <v>0</v>
      </c>
      <c r="F40" s="2"/>
      <c r="G40" s="30" t="n">
        <f aca="false">E40*F40</f>
        <v>0</v>
      </c>
      <c r="H40" s="31" t="n">
        <f aca="false">IF(D40&gt;0,E40/D40,)</f>
        <v>0</v>
      </c>
      <c r="I40" s="1" t="n">
        <v>101</v>
      </c>
      <c r="J40" s="1" t="n">
        <v>101</v>
      </c>
      <c r="K40" s="1" t="n">
        <v>101</v>
      </c>
      <c r="L40" s="1" t="n">
        <v>101</v>
      </c>
      <c r="M40" s="1" t="n">
        <v>101</v>
      </c>
      <c r="N40" s="1" t="n">
        <v>101</v>
      </c>
      <c r="O40" s="1" t="n">
        <v>101</v>
      </c>
      <c r="P40" s="1" t="n">
        <v>101</v>
      </c>
      <c r="Q40" s="1" t="n">
        <v>101</v>
      </c>
      <c r="R40" s="1" t="n">
        <v>101</v>
      </c>
      <c r="S40" s="1" t="n">
        <v>101</v>
      </c>
      <c r="T40" s="1" t="n">
        <v>101</v>
      </c>
      <c r="U40" s="1" t="n">
        <v>101</v>
      </c>
      <c r="V40" s="1" t="n">
        <v>101</v>
      </c>
      <c r="W40" s="1" t="n">
        <v>101</v>
      </c>
      <c r="X40" s="1" t="n">
        <v>101</v>
      </c>
      <c r="Y40" s="1" t="n">
        <v>101</v>
      </c>
      <c r="Z40" s="1" t="n">
        <v>101</v>
      </c>
      <c r="AA40" s="1" t="n">
        <v>101</v>
      </c>
      <c r="AB40" s="1" t="n">
        <v>101</v>
      </c>
      <c r="AC40" s="1" t="n">
        <v>101</v>
      </c>
      <c r="AD40" s="1" t="n">
        <v>101</v>
      </c>
      <c r="AE40" s="1" t="n">
        <v>101</v>
      </c>
      <c r="AF40" s="1" t="n">
        <v>101</v>
      </c>
      <c r="AG40" s="1" t="n">
        <v>101</v>
      </c>
      <c r="AH40" s="1" t="n">
        <v>101</v>
      </c>
      <c r="AI40" s="1" t="n">
        <v>101</v>
      </c>
      <c r="AJ40" s="1" t="n">
        <v>101</v>
      </c>
      <c r="AK40" s="1" t="n">
        <v>101</v>
      </c>
      <c r="AL40" s="1" t="n">
        <v>101</v>
      </c>
      <c r="AM40" s="1" t="n">
        <v>101</v>
      </c>
      <c r="AN40" s="1" t="n">
        <v>101</v>
      </c>
      <c r="AO40" s="1"/>
      <c r="AP40" s="1"/>
      <c r="AQ40" s="1"/>
    </row>
    <row r="41" customFormat="false" ht="15" hidden="false" customHeight="false" outlineLevel="0" collapsed="false">
      <c r="A41" s="1" t="n">
        <v>538</v>
      </c>
      <c r="D41" s="29" t="n">
        <f aca="false">COUNTIFS(I41:AQ41,"&gt;0",I41:AQ41,"&lt;101")</f>
        <v>0</v>
      </c>
      <c r="E41" s="29" t="n">
        <f aca="true">INDIRECT("'Stammdaten - Schwimmer'!F"&amp;(I41+3))+INDIRECT("'Stammdaten - Schwimmer'!F"&amp;(J41+3))+INDIRECT("'Stammdaten - Schwimmer'!F"&amp;(K41+3))+INDIRECT("'Stammdaten - Schwimmer'!F"&amp;(L41+3))+INDIRECT("'Stammdaten - Schwimmer'!F"&amp;(M41+3))+INDIRECT("'Stammdaten - Schwimmer'!F"&amp;(N41+3))+INDIRECT("'Stammdaten - Schwimmer'!F"&amp;O41+3)+INDIRECT("'Stammdaten - Schwimmer'!F"&amp;(P41+3))+INDIRECT("'Stammdaten - Schwimmer'!F"&amp;(Q41+3))+INDIRECT("'Stammdaten - Schwimmer'!F"&amp;(R41+3))+INDIRECT("'Stammdaten - Schwimmer'!F"&amp;(S41+3))+INDIRECT("'Stammdaten - Schwimmer'!F"&amp;(T41+3))+INDIRECT("'Stammdaten - Schwimmer'!F"&amp;(U41+3))+INDIRECT("'Stammdaten - Schwimmer'!F"&amp;(V41+3))+INDIRECT("'Stammdaten - Schwimmer'!F"&amp;(W41+3))+INDIRECT("'Stammdaten - Schwimmer'!F"&amp;(X41+3))+INDIRECT("'Stammdaten - Schwimmer'!F"&amp;(Y41+3))+INDIRECT("'Stammdaten - Schwimmer'!F"&amp;(Z41+3))+INDIRECT("'Stammdaten - Schwimmer'!F"&amp;(AA41+3))+INDIRECT("'Stammdaten - Schwimmer'!F"&amp;(AB41+3))+INDIRECT("'Stammdaten - Schwimmer'!F"&amp;(AC41+3))+INDIRECT("'Stammdaten - Schwimmer'!F"&amp;(AD41+3))+INDIRECT("'Stammdaten - Schwimmer'!F"&amp;(AE41+3))+INDIRECT("'Stammdaten - Schwimmer'!F"&amp;(AF41+3))+INDIRECT("'Stammdaten - Schwimmer'!F"&amp;(AG41+3))</f>
        <v>0</v>
      </c>
      <c r="F41" s="2"/>
      <c r="G41" s="30" t="n">
        <f aca="false">E41*F41</f>
        <v>0</v>
      </c>
      <c r="H41" s="31" t="n">
        <f aca="false">IF(D41&gt;0,E41/D41,)</f>
        <v>0</v>
      </c>
      <c r="I41" s="1" t="n">
        <v>101</v>
      </c>
      <c r="J41" s="1" t="n">
        <v>101</v>
      </c>
      <c r="K41" s="1" t="n">
        <v>101</v>
      </c>
      <c r="L41" s="1" t="n">
        <v>101</v>
      </c>
      <c r="M41" s="1" t="n">
        <v>101</v>
      </c>
      <c r="N41" s="1" t="n">
        <v>101</v>
      </c>
      <c r="O41" s="1" t="n">
        <v>101</v>
      </c>
      <c r="P41" s="1" t="n">
        <v>101</v>
      </c>
      <c r="Q41" s="1" t="n">
        <v>101</v>
      </c>
      <c r="R41" s="1" t="n">
        <v>101</v>
      </c>
      <c r="S41" s="1" t="n">
        <v>101</v>
      </c>
      <c r="T41" s="1" t="n">
        <v>101</v>
      </c>
      <c r="U41" s="1" t="n">
        <v>101</v>
      </c>
      <c r="V41" s="1" t="n">
        <v>101</v>
      </c>
      <c r="W41" s="1" t="n">
        <v>101</v>
      </c>
      <c r="X41" s="1" t="n">
        <v>101</v>
      </c>
      <c r="Y41" s="1" t="n">
        <v>101</v>
      </c>
      <c r="Z41" s="1" t="n">
        <v>101</v>
      </c>
      <c r="AA41" s="1" t="n">
        <v>101</v>
      </c>
      <c r="AB41" s="1" t="n">
        <v>101</v>
      </c>
      <c r="AC41" s="1" t="n">
        <v>101</v>
      </c>
      <c r="AD41" s="1" t="n">
        <v>101</v>
      </c>
      <c r="AE41" s="1" t="n">
        <v>101</v>
      </c>
      <c r="AF41" s="1" t="n">
        <v>101</v>
      </c>
      <c r="AG41" s="1" t="n">
        <v>101</v>
      </c>
      <c r="AH41" s="1" t="n">
        <v>101</v>
      </c>
      <c r="AI41" s="1" t="n">
        <v>101</v>
      </c>
      <c r="AJ41" s="1" t="n">
        <v>101</v>
      </c>
      <c r="AK41" s="1" t="n">
        <v>101</v>
      </c>
      <c r="AL41" s="1" t="n">
        <v>101</v>
      </c>
      <c r="AM41" s="1" t="n">
        <v>101</v>
      </c>
      <c r="AN41" s="1" t="n">
        <v>101</v>
      </c>
      <c r="AO41" s="1"/>
      <c r="AP41" s="1"/>
      <c r="AQ41" s="1"/>
    </row>
    <row r="42" customFormat="false" ht="15" hidden="false" customHeight="false" outlineLevel="0" collapsed="false">
      <c r="A42" s="1" t="n">
        <v>539</v>
      </c>
      <c r="D42" s="29" t="n">
        <f aca="false">COUNTIFS(I42:AQ42,"&gt;0",I42:AQ42,"&lt;101")</f>
        <v>0</v>
      </c>
      <c r="E42" s="29" t="n">
        <f aca="true">INDIRECT("'Stammdaten - Schwimmer'!F"&amp;(I42+3))+INDIRECT("'Stammdaten - Schwimmer'!F"&amp;(J42+3))+INDIRECT("'Stammdaten - Schwimmer'!F"&amp;(K42+3))+INDIRECT("'Stammdaten - Schwimmer'!F"&amp;(L42+3))+INDIRECT("'Stammdaten - Schwimmer'!F"&amp;(M42+3))+INDIRECT("'Stammdaten - Schwimmer'!F"&amp;(N42+3))+INDIRECT("'Stammdaten - Schwimmer'!F"&amp;O42+3)+INDIRECT("'Stammdaten - Schwimmer'!F"&amp;(P42+3))+INDIRECT("'Stammdaten - Schwimmer'!F"&amp;(Q42+3))+INDIRECT("'Stammdaten - Schwimmer'!F"&amp;(R42+3))+INDIRECT("'Stammdaten - Schwimmer'!F"&amp;(S42+3))+INDIRECT("'Stammdaten - Schwimmer'!F"&amp;(T42+3))+INDIRECT("'Stammdaten - Schwimmer'!F"&amp;(U42+3))+INDIRECT("'Stammdaten - Schwimmer'!F"&amp;(V42+3))+INDIRECT("'Stammdaten - Schwimmer'!F"&amp;(W42+3))+INDIRECT("'Stammdaten - Schwimmer'!F"&amp;(X42+3))+INDIRECT("'Stammdaten - Schwimmer'!F"&amp;(Y42+3))+INDIRECT("'Stammdaten - Schwimmer'!F"&amp;(Z42+3))+INDIRECT("'Stammdaten - Schwimmer'!F"&amp;(AA42+3))+INDIRECT("'Stammdaten - Schwimmer'!F"&amp;(AB42+3))+INDIRECT("'Stammdaten - Schwimmer'!F"&amp;(AC42+3))+INDIRECT("'Stammdaten - Schwimmer'!F"&amp;(AD42+3))+INDIRECT("'Stammdaten - Schwimmer'!F"&amp;(AE42+3))+INDIRECT("'Stammdaten - Schwimmer'!F"&amp;(AF42+3))+INDIRECT("'Stammdaten - Schwimmer'!F"&amp;(AG42+3))</f>
        <v>0</v>
      </c>
      <c r="F42" s="2"/>
      <c r="G42" s="30" t="n">
        <f aca="false">E42*F42</f>
        <v>0</v>
      </c>
      <c r="H42" s="31" t="n">
        <f aca="false">IF(D42&gt;0,E42/D42,)</f>
        <v>0</v>
      </c>
      <c r="I42" s="1" t="n">
        <v>101</v>
      </c>
      <c r="J42" s="1" t="n">
        <v>101</v>
      </c>
      <c r="K42" s="1" t="n">
        <v>101</v>
      </c>
      <c r="L42" s="1" t="n">
        <v>101</v>
      </c>
      <c r="M42" s="1" t="n">
        <v>101</v>
      </c>
      <c r="N42" s="1" t="n">
        <v>101</v>
      </c>
      <c r="O42" s="1" t="n">
        <v>101</v>
      </c>
      <c r="P42" s="1" t="n">
        <v>101</v>
      </c>
      <c r="Q42" s="1" t="n">
        <v>101</v>
      </c>
      <c r="R42" s="1" t="n">
        <v>101</v>
      </c>
      <c r="S42" s="1" t="n">
        <v>101</v>
      </c>
      <c r="T42" s="1" t="n">
        <v>101</v>
      </c>
      <c r="U42" s="1" t="n">
        <v>101</v>
      </c>
      <c r="V42" s="1" t="n">
        <v>101</v>
      </c>
      <c r="W42" s="1" t="n">
        <v>101</v>
      </c>
      <c r="X42" s="1" t="n">
        <v>101</v>
      </c>
      <c r="Y42" s="1" t="n">
        <v>101</v>
      </c>
      <c r="Z42" s="1" t="n">
        <v>101</v>
      </c>
      <c r="AA42" s="1" t="n">
        <v>101</v>
      </c>
      <c r="AB42" s="1" t="n">
        <v>101</v>
      </c>
      <c r="AC42" s="1" t="n">
        <v>101</v>
      </c>
      <c r="AD42" s="1" t="n">
        <v>101</v>
      </c>
      <c r="AE42" s="1" t="n">
        <v>101</v>
      </c>
      <c r="AF42" s="1" t="n">
        <v>101</v>
      </c>
      <c r="AG42" s="1" t="n">
        <v>101</v>
      </c>
      <c r="AH42" s="1" t="n">
        <v>101</v>
      </c>
      <c r="AI42" s="1" t="n">
        <v>101</v>
      </c>
      <c r="AJ42" s="1" t="n">
        <v>101</v>
      </c>
      <c r="AK42" s="1" t="n">
        <v>101</v>
      </c>
      <c r="AL42" s="1" t="n">
        <v>101</v>
      </c>
      <c r="AM42" s="1" t="n">
        <v>101</v>
      </c>
      <c r="AN42" s="1" t="n">
        <v>101</v>
      </c>
      <c r="AO42" s="1"/>
      <c r="AP42" s="1"/>
      <c r="AQ42" s="1"/>
    </row>
    <row r="43" customFormat="false" ht="15" hidden="false" customHeight="false" outlineLevel="0" collapsed="false">
      <c r="A43" s="1" t="n">
        <v>540</v>
      </c>
      <c r="D43" s="29" t="n">
        <f aca="false">COUNTIFS(I43:AQ43,"&gt;0",I43:AQ43,"&lt;101")</f>
        <v>0</v>
      </c>
      <c r="E43" s="29" t="n">
        <f aca="true">INDIRECT("'Stammdaten - Schwimmer'!F"&amp;(I43+3))+INDIRECT("'Stammdaten - Schwimmer'!F"&amp;(J43+3))+INDIRECT("'Stammdaten - Schwimmer'!F"&amp;(K43+3))+INDIRECT("'Stammdaten - Schwimmer'!F"&amp;(L43+3))+INDIRECT("'Stammdaten - Schwimmer'!F"&amp;(M43+3))+INDIRECT("'Stammdaten - Schwimmer'!F"&amp;(N43+3))+INDIRECT("'Stammdaten - Schwimmer'!F"&amp;O43+3)+INDIRECT("'Stammdaten - Schwimmer'!F"&amp;(P43+3))+INDIRECT("'Stammdaten - Schwimmer'!F"&amp;(Q43+3))+INDIRECT("'Stammdaten - Schwimmer'!F"&amp;(R43+3))+INDIRECT("'Stammdaten - Schwimmer'!F"&amp;(S43+3))+INDIRECT("'Stammdaten - Schwimmer'!F"&amp;(T43+3))+INDIRECT("'Stammdaten - Schwimmer'!F"&amp;(U43+3))+INDIRECT("'Stammdaten - Schwimmer'!F"&amp;(V43+3))+INDIRECT("'Stammdaten - Schwimmer'!F"&amp;(W43+3))+INDIRECT("'Stammdaten - Schwimmer'!F"&amp;(X43+3))+INDIRECT("'Stammdaten - Schwimmer'!F"&amp;(Y43+3))+INDIRECT("'Stammdaten - Schwimmer'!F"&amp;(Z43+3))+INDIRECT("'Stammdaten - Schwimmer'!F"&amp;(AA43+3))+INDIRECT("'Stammdaten - Schwimmer'!F"&amp;(AB43+3))+INDIRECT("'Stammdaten - Schwimmer'!F"&amp;(AC43+3))+INDIRECT("'Stammdaten - Schwimmer'!F"&amp;(AD43+3))+INDIRECT("'Stammdaten - Schwimmer'!F"&amp;(AE43+3))+INDIRECT("'Stammdaten - Schwimmer'!F"&amp;(AF43+3))+INDIRECT("'Stammdaten - Schwimmer'!F"&amp;(AG43+3))</f>
        <v>0</v>
      </c>
      <c r="F43" s="2"/>
      <c r="G43" s="30" t="n">
        <f aca="false">E43*F43</f>
        <v>0</v>
      </c>
      <c r="H43" s="31" t="n">
        <f aca="false">IF(D43&gt;0,E43/D43,)</f>
        <v>0</v>
      </c>
      <c r="I43" s="1" t="n">
        <v>101</v>
      </c>
      <c r="J43" s="1" t="n">
        <v>101</v>
      </c>
      <c r="K43" s="1" t="n">
        <v>101</v>
      </c>
      <c r="L43" s="1" t="n">
        <v>101</v>
      </c>
      <c r="M43" s="1" t="n">
        <v>101</v>
      </c>
      <c r="N43" s="1" t="n">
        <v>101</v>
      </c>
      <c r="O43" s="1" t="n">
        <v>101</v>
      </c>
      <c r="P43" s="1" t="n">
        <v>101</v>
      </c>
      <c r="Q43" s="1" t="n">
        <v>101</v>
      </c>
      <c r="R43" s="1" t="n">
        <v>101</v>
      </c>
      <c r="S43" s="1" t="n">
        <v>101</v>
      </c>
      <c r="T43" s="1" t="n">
        <v>101</v>
      </c>
      <c r="U43" s="1" t="n">
        <v>101</v>
      </c>
      <c r="V43" s="1" t="n">
        <v>101</v>
      </c>
      <c r="W43" s="1" t="n">
        <v>101</v>
      </c>
      <c r="X43" s="1" t="n">
        <v>101</v>
      </c>
      <c r="Y43" s="1" t="n">
        <v>101</v>
      </c>
      <c r="Z43" s="1" t="n">
        <v>101</v>
      </c>
      <c r="AA43" s="1" t="n">
        <v>101</v>
      </c>
      <c r="AB43" s="1" t="n">
        <v>101</v>
      </c>
      <c r="AC43" s="1" t="n">
        <v>101</v>
      </c>
      <c r="AD43" s="1" t="n">
        <v>101</v>
      </c>
      <c r="AE43" s="1" t="n">
        <v>101</v>
      </c>
      <c r="AF43" s="1" t="n">
        <v>101</v>
      </c>
      <c r="AG43" s="1" t="n">
        <v>101</v>
      </c>
      <c r="AH43" s="1" t="n">
        <v>101</v>
      </c>
      <c r="AI43" s="1" t="n">
        <v>101</v>
      </c>
      <c r="AJ43" s="1" t="n">
        <v>101</v>
      </c>
      <c r="AK43" s="1" t="n">
        <v>101</v>
      </c>
      <c r="AL43" s="1" t="n">
        <v>101</v>
      </c>
      <c r="AM43" s="1" t="n">
        <v>101</v>
      </c>
      <c r="AN43" s="1" t="n">
        <v>101</v>
      </c>
      <c r="AO43" s="1"/>
      <c r="AP43" s="1"/>
      <c r="AQ43" s="1"/>
    </row>
    <row r="44" customFormat="false" ht="15" hidden="false" customHeight="false" outlineLevel="0" collapsed="false">
      <c r="A44" s="1" t="n">
        <v>541</v>
      </c>
      <c r="D44" s="29" t="n">
        <f aca="false">COUNTIFS(I44:AQ44,"&gt;0",I44:AQ44,"&lt;101")</f>
        <v>0</v>
      </c>
      <c r="E44" s="29" t="n">
        <f aca="true">INDIRECT("'Stammdaten - Schwimmer'!F"&amp;(I44+3))+INDIRECT("'Stammdaten - Schwimmer'!F"&amp;(J44+3))+INDIRECT("'Stammdaten - Schwimmer'!F"&amp;(K44+3))+INDIRECT("'Stammdaten - Schwimmer'!F"&amp;(L44+3))+INDIRECT("'Stammdaten - Schwimmer'!F"&amp;(M44+3))+INDIRECT("'Stammdaten - Schwimmer'!F"&amp;(N44+3))+INDIRECT("'Stammdaten - Schwimmer'!F"&amp;O44+3)+INDIRECT("'Stammdaten - Schwimmer'!F"&amp;(P44+3))+INDIRECT("'Stammdaten - Schwimmer'!F"&amp;(Q44+3))+INDIRECT("'Stammdaten - Schwimmer'!F"&amp;(R44+3))+INDIRECT("'Stammdaten - Schwimmer'!F"&amp;(S44+3))+INDIRECT("'Stammdaten - Schwimmer'!F"&amp;(T44+3))+INDIRECT("'Stammdaten - Schwimmer'!F"&amp;(U44+3))+INDIRECT("'Stammdaten - Schwimmer'!F"&amp;(V44+3))+INDIRECT("'Stammdaten - Schwimmer'!F"&amp;(W44+3))+INDIRECT("'Stammdaten - Schwimmer'!F"&amp;(X44+3))+INDIRECT("'Stammdaten - Schwimmer'!F"&amp;(Y44+3))+INDIRECT("'Stammdaten - Schwimmer'!F"&amp;(Z44+3))+INDIRECT("'Stammdaten - Schwimmer'!F"&amp;(AA44+3))+INDIRECT("'Stammdaten - Schwimmer'!F"&amp;(AB44+3))+INDIRECT("'Stammdaten - Schwimmer'!F"&amp;(AC44+3))+INDIRECT("'Stammdaten - Schwimmer'!F"&amp;(AD44+3))+INDIRECT("'Stammdaten - Schwimmer'!F"&amp;(AE44+3))+INDIRECT("'Stammdaten - Schwimmer'!F"&amp;(AF44+3))+INDIRECT("'Stammdaten - Schwimmer'!F"&amp;(AG44+3))</f>
        <v>0</v>
      </c>
      <c r="F44" s="2"/>
      <c r="G44" s="30" t="n">
        <f aca="false">E44*F44</f>
        <v>0</v>
      </c>
      <c r="H44" s="31" t="n">
        <f aca="false">IF(D44&gt;0,E44/D44,)</f>
        <v>0</v>
      </c>
      <c r="I44" s="1" t="n">
        <v>101</v>
      </c>
      <c r="J44" s="1" t="n">
        <v>101</v>
      </c>
      <c r="K44" s="1" t="n">
        <v>101</v>
      </c>
      <c r="L44" s="1" t="n">
        <v>101</v>
      </c>
      <c r="M44" s="1" t="n">
        <v>101</v>
      </c>
      <c r="N44" s="1" t="n">
        <v>101</v>
      </c>
      <c r="O44" s="1" t="n">
        <v>101</v>
      </c>
      <c r="P44" s="1" t="n">
        <v>101</v>
      </c>
      <c r="Q44" s="1" t="n">
        <v>101</v>
      </c>
      <c r="R44" s="1" t="n">
        <v>101</v>
      </c>
      <c r="S44" s="1" t="n">
        <v>101</v>
      </c>
      <c r="T44" s="1" t="n">
        <v>101</v>
      </c>
      <c r="U44" s="1" t="n">
        <v>101</v>
      </c>
      <c r="V44" s="1" t="n">
        <v>101</v>
      </c>
      <c r="W44" s="1" t="n">
        <v>101</v>
      </c>
      <c r="X44" s="1" t="n">
        <v>101</v>
      </c>
      <c r="Y44" s="1" t="n">
        <v>101</v>
      </c>
      <c r="Z44" s="1" t="n">
        <v>101</v>
      </c>
      <c r="AA44" s="1" t="n">
        <v>101</v>
      </c>
      <c r="AB44" s="1" t="n">
        <v>101</v>
      </c>
      <c r="AC44" s="1" t="n">
        <v>101</v>
      </c>
      <c r="AD44" s="1" t="n">
        <v>101</v>
      </c>
      <c r="AE44" s="1" t="n">
        <v>101</v>
      </c>
      <c r="AF44" s="1" t="n">
        <v>101</v>
      </c>
      <c r="AG44" s="1" t="n">
        <v>101</v>
      </c>
      <c r="AH44" s="1" t="n">
        <v>101</v>
      </c>
      <c r="AI44" s="1" t="n">
        <v>101</v>
      </c>
      <c r="AJ44" s="1" t="n">
        <v>101</v>
      </c>
      <c r="AK44" s="1" t="n">
        <v>101</v>
      </c>
      <c r="AL44" s="1" t="n">
        <v>101</v>
      </c>
      <c r="AM44" s="1" t="n">
        <v>101</v>
      </c>
      <c r="AN44" s="1" t="n">
        <v>101</v>
      </c>
      <c r="AO44" s="1"/>
      <c r="AP44" s="1"/>
      <c r="AQ44" s="1"/>
    </row>
    <row r="45" customFormat="false" ht="15" hidden="false" customHeight="false" outlineLevel="0" collapsed="false">
      <c r="A45" s="1" t="n">
        <v>542</v>
      </c>
      <c r="D45" s="29" t="n">
        <f aca="false">COUNTIFS(I45:AQ45,"&gt;0",I45:AQ45,"&lt;101")</f>
        <v>0</v>
      </c>
      <c r="E45" s="29" t="n">
        <f aca="true">INDIRECT("'Stammdaten - Schwimmer'!F"&amp;(I45+3))+INDIRECT("'Stammdaten - Schwimmer'!F"&amp;(J45+3))+INDIRECT("'Stammdaten - Schwimmer'!F"&amp;(K45+3))+INDIRECT("'Stammdaten - Schwimmer'!F"&amp;(L45+3))+INDIRECT("'Stammdaten - Schwimmer'!F"&amp;(M45+3))+INDIRECT("'Stammdaten - Schwimmer'!F"&amp;(N45+3))+INDIRECT("'Stammdaten - Schwimmer'!F"&amp;O45+3)+INDIRECT("'Stammdaten - Schwimmer'!F"&amp;(P45+3))+INDIRECT("'Stammdaten - Schwimmer'!F"&amp;(Q45+3))+INDIRECT("'Stammdaten - Schwimmer'!F"&amp;(R45+3))+INDIRECT("'Stammdaten - Schwimmer'!F"&amp;(S45+3))+INDIRECT("'Stammdaten - Schwimmer'!F"&amp;(T45+3))+INDIRECT("'Stammdaten - Schwimmer'!F"&amp;(U45+3))+INDIRECT("'Stammdaten - Schwimmer'!F"&amp;(V45+3))+INDIRECT("'Stammdaten - Schwimmer'!F"&amp;(W45+3))+INDIRECT("'Stammdaten - Schwimmer'!F"&amp;(X45+3))+INDIRECT("'Stammdaten - Schwimmer'!F"&amp;(Y45+3))+INDIRECT("'Stammdaten - Schwimmer'!F"&amp;(Z45+3))+INDIRECT("'Stammdaten - Schwimmer'!F"&amp;(AA45+3))+INDIRECT("'Stammdaten - Schwimmer'!F"&amp;(AB45+3))+INDIRECT("'Stammdaten - Schwimmer'!F"&amp;(AC45+3))+INDIRECT("'Stammdaten - Schwimmer'!F"&amp;(AD45+3))+INDIRECT("'Stammdaten - Schwimmer'!F"&amp;(AE45+3))+INDIRECT("'Stammdaten - Schwimmer'!F"&amp;(AF45+3))+INDIRECT("'Stammdaten - Schwimmer'!F"&amp;(AG45+3))</f>
        <v>0</v>
      </c>
      <c r="F45" s="2"/>
      <c r="G45" s="30" t="n">
        <f aca="false">E45*F45</f>
        <v>0</v>
      </c>
      <c r="H45" s="31" t="n">
        <f aca="false">IF(D45&gt;0,E45/D45,)</f>
        <v>0</v>
      </c>
      <c r="I45" s="1" t="n">
        <v>101</v>
      </c>
      <c r="J45" s="1" t="n">
        <v>101</v>
      </c>
      <c r="K45" s="1" t="n">
        <v>101</v>
      </c>
      <c r="L45" s="1" t="n">
        <v>101</v>
      </c>
      <c r="M45" s="1" t="n">
        <v>101</v>
      </c>
      <c r="N45" s="1" t="n">
        <v>101</v>
      </c>
      <c r="O45" s="1" t="n">
        <v>101</v>
      </c>
      <c r="P45" s="1" t="n">
        <v>101</v>
      </c>
      <c r="Q45" s="1" t="n">
        <v>101</v>
      </c>
      <c r="R45" s="1" t="n">
        <v>101</v>
      </c>
      <c r="S45" s="1" t="n">
        <v>101</v>
      </c>
      <c r="T45" s="1" t="n">
        <v>101</v>
      </c>
      <c r="U45" s="1" t="n">
        <v>101</v>
      </c>
      <c r="V45" s="1" t="n">
        <v>101</v>
      </c>
      <c r="W45" s="1" t="n">
        <v>101</v>
      </c>
      <c r="X45" s="1" t="n">
        <v>101</v>
      </c>
      <c r="Y45" s="1" t="n">
        <v>101</v>
      </c>
      <c r="Z45" s="1" t="n">
        <v>101</v>
      </c>
      <c r="AA45" s="1" t="n">
        <v>101</v>
      </c>
      <c r="AB45" s="1" t="n">
        <v>101</v>
      </c>
      <c r="AC45" s="1" t="n">
        <v>101</v>
      </c>
      <c r="AD45" s="1" t="n">
        <v>101</v>
      </c>
      <c r="AE45" s="1" t="n">
        <v>101</v>
      </c>
      <c r="AF45" s="1" t="n">
        <v>101</v>
      </c>
      <c r="AG45" s="1" t="n">
        <v>101</v>
      </c>
      <c r="AH45" s="1" t="n">
        <v>101</v>
      </c>
      <c r="AI45" s="1" t="n">
        <v>101</v>
      </c>
      <c r="AJ45" s="1" t="n">
        <v>101</v>
      </c>
      <c r="AK45" s="1" t="n">
        <v>101</v>
      </c>
      <c r="AL45" s="1" t="n">
        <v>101</v>
      </c>
      <c r="AM45" s="1" t="n">
        <v>101</v>
      </c>
      <c r="AN45" s="1" t="n">
        <v>101</v>
      </c>
      <c r="AO45" s="1"/>
      <c r="AP45" s="1"/>
      <c r="AQ45" s="1"/>
    </row>
    <row r="46" customFormat="false" ht="15" hidden="false" customHeight="false" outlineLevel="0" collapsed="false">
      <c r="A46" s="1" t="n">
        <v>543</v>
      </c>
      <c r="D46" s="29" t="n">
        <f aca="false">COUNTIFS(I46:AQ46,"&gt;0",I46:AQ46,"&lt;101")</f>
        <v>0</v>
      </c>
      <c r="E46" s="29" t="n">
        <f aca="true">INDIRECT("'Stammdaten - Schwimmer'!F"&amp;(I46+3))+INDIRECT("'Stammdaten - Schwimmer'!F"&amp;(J46+3))+INDIRECT("'Stammdaten - Schwimmer'!F"&amp;(K46+3))+INDIRECT("'Stammdaten - Schwimmer'!F"&amp;(L46+3))+INDIRECT("'Stammdaten - Schwimmer'!F"&amp;(M46+3))+INDIRECT("'Stammdaten - Schwimmer'!F"&amp;(N46+3))+INDIRECT("'Stammdaten - Schwimmer'!F"&amp;O46+3)+INDIRECT("'Stammdaten - Schwimmer'!F"&amp;(P46+3))+INDIRECT("'Stammdaten - Schwimmer'!F"&amp;(Q46+3))+INDIRECT("'Stammdaten - Schwimmer'!F"&amp;(R46+3))+INDIRECT("'Stammdaten - Schwimmer'!F"&amp;(S46+3))+INDIRECT("'Stammdaten - Schwimmer'!F"&amp;(T46+3))+INDIRECT("'Stammdaten - Schwimmer'!F"&amp;(U46+3))+INDIRECT("'Stammdaten - Schwimmer'!F"&amp;(V46+3))+INDIRECT("'Stammdaten - Schwimmer'!F"&amp;(W46+3))+INDIRECT("'Stammdaten - Schwimmer'!F"&amp;(X46+3))+INDIRECT("'Stammdaten - Schwimmer'!F"&amp;(Y46+3))+INDIRECT("'Stammdaten - Schwimmer'!F"&amp;(Z46+3))+INDIRECT("'Stammdaten - Schwimmer'!F"&amp;(AA46+3))+INDIRECT("'Stammdaten - Schwimmer'!F"&amp;(AB46+3))+INDIRECT("'Stammdaten - Schwimmer'!F"&amp;(AC46+3))+INDIRECT("'Stammdaten - Schwimmer'!F"&amp;(AD46+3))+INDIRECT("'Stammdaten - Schwimmer'!F"&amp;(AE46+3))+INDIRECT("'Stammdaten - Schwimmer'!F"&amp;(AF46+3))+INDIRECT("'Stammdaten - Schwimmer'!F"&amp;(AG46+3))</f>
        <v>0</v>
      </c>
      <c r="F46" s="2"/>
      <c r="G46" s="30" t="n">
        <f aca="false">E46*F46</f>
        <v>0</v>
      </c>
      <c r="H46" s="31" t="n">
        <f aca="false">IF(D46&gt;0,E46/D46,)</f>
        <v>0</v>
      </c>
      <c r="I46" s="1" t="n">
        <v>101</v>
      </c>
      <c r="J46" s="1" t="n">
        <v>101</v>
      </c>
      <c r="K46" s="1" t="n">
        <v>101</v>
      </c>
      <c r="L46" s="1" t="n">
        <v>101</v>
      </c>
      <c r="M46" s="1" t="n">
        <v>101</v>
      </c>
      <c r="N46" s="1" t="n">
        <v>101</v>
      </c>
      <c r="O46" s="1" t="n">
        <v>101</v>
      </c>
      <c r="P46" s="1" t="n">
        <v>101</v>
      </c>
      <c r="Q46" s="1" t="n">
        <v>101</v>
      </c>
      <c r="R46" s="1" t="n">
        <v>101</v>
      </c>
      <c r="S46" s="1" t="n">
        <v>101</v>
      </c>
      <c r="T46" s="1" t="n">
        <v>101</v>
      </c>
      <c r="U46" s="1" t="n">
        <v>101</v>
      </c>
      <c r="V46" s="1" t="n">
        <v>101</v>
      </c>
      <c r="W46" s="1" t="n">
        <v>101</v>
      </c>
      <c r="X46" s="1" t="n">
        <v>101</v>
      </c>
      <c r="Y46" s="1" t="n">
        <v>101</v>
      </c>
      <c r="Z46" s="1" t="n">
        <v>101</v>
      </c>
      <c r="AA46" s="1" t="n">
        <v>101</v>
      </c>
      <c r="AB46" s="1" t="n">
        <v>101</v>
      </c>
      <c r="AC46" s="1" t="n">
        <v>101</v>
      </c>
      <c r="AD46" s="1" t="n">
        <v>101</v>
      </c>
      <c r="AE46" s="1" t="n">
        <v>101</v>
      </c>
      <c r="AF46" s="1" t="n">
        <v>101</v>
      </c>
      <c r="AG46" s="1" t="n">
        <v>101</v>
      </c>
      <c r="AH46" s="1" t="n">
        <v>101</v>
      </c>
      <c r="AI46" s="1" t="n">
        <v>101</v>
      </c>
      <c r="AJ46" s="1" t="n">
        <v>101</v>
      </c>
      <c r="AK46" s="1" t="n">
        <v>101</v>
      </c>
      <c r="AL46" s="1" t="n">
        <v>101</v>
      </c>
      <c r="AM46" s="1" t="n">
        <v>101</v>
      </c>
      <c r="AN46" s="1" t="n">
        <v>101</v>
      </c>
      <c r="AO46" s="1"/>
      <c r="AP46" s="1"/>
      <c r="AQ46" s="1"/>
    </row>
    <row r="47" customFormat="false" ht="15" hidden="false" customHeight="false" outlineLevel="0" collapsed="false">
      <c r="A47" s="1" t="n">
        <v>544</v>
      </c>
      <c r="D47" s="29" t="n">
        <f aca="false">COUNTIFS(I47:AQ47,"&gt;0",I47:AQ47,"&lt;101")</f>
        <v>0</v>
      </c>
      <c r="E47" s="29" t="n">
        <f aca="true">INDIRECT("'Stammdaten - Schwimmer'!F"&amp;(I47+3))+INDIRECT("'Stammdaten - Schwimmer'!F"&amp;(J47+3))+INDIRECT("'Stammdaten - Schwimmer'!F"&amp;(K47+3))+INDIRECT("'Stammdaten - Schwimmer'!F"&amp;(L47+3))+INDIRECT("'Stammdaten - Schwimmer'!F"&amp;(M47+3))+INDIRECT("'Stammdaten - Schwimmer'!F"&amp;(N47+3))+INDIRECT("'Stammdaten - Schwimmer'!F"&amp;O47+3)+INDIRECT("'Stammdaten - Schwimmer'!F"&amp;(P47+3))+INDIRECT("'Stammdaten - Schwimmer'!F"&amp;(Q47+3))+INDIRECT("'Stammdaten - Schwimmer'!F"&amp;(R47+3))+INDIRECT("'Stammdaten - Schwimmer'!F"&amp;(S47+3))+INDIRECT("'Stammdaten - Schwimmer'!F"&amp;(T47+3))+INDIRECT("'Stammdaten - Schwimmer'!F"&amp;(U47+3))+INDIRECT("'Stammdaten - Schwimmer'!F"&amp;(V47+3))+INDIRECT("'Stammdaten - Schwimmer'!F"&amp;(W47+3))+INDIRECT("'Stammdaten - Schwimmer'!F"&amp;(X47+3))+INDIRECT("'Stammdaten - Schwimmer'!F"&amp;(Y47+3))+INDIRECT("'Stammdaten - Schwimmer'!F"&amp;(Z47+3))+INDIRECT("'Stammdaten - Schwimmer'!F"&amp;(AA47+3))+INDIRECT("'Stammdaten - Schwimmer'!F"&amp;(AB47+3))+INDIRECT("'Stammdaten - Schwimmer'!F"&amp;(AC47+3))+INDIRECT("'Stammdaten - Schwimmer'!F"&amp;(AD47+3))+INDIRECT("'Stammdaten - Schwimmer'!F"&amp;(AE47+3))+INDIRECT("'Stammdaten - Schwimmer'!F"&amp;(AF47+3))+INDIRECT("'Stammdaten - Schwimmer'!F"&amp;(AG47+3))</f>
        <v>0</v>
      </c>
      <c r="F47" s="2"/>
      <c r="G47" s="30" t="n">
        <f aca="false">E47*F47</f>
        <v>0</v>
      </c>
      <c r="H47" s="31" t="n">
        <f aca="false">IF(D47&gt;0,E47/D47,)</f>
        <v>0</v>
      </c>
      <c r="I47" s="1" t="n">
        <v>101</v>
      </c>
      <c r="J47" s="1" t="n">
        <v>101</v>
      </c>
      <c r="K47" s="1" t="n">
        <v>101</v>
      </c>
      <c r="L47" s="1" t="n">
        <v>101</v>
      </c>
      <c r="M47" s="1" t="n">
        <v>101</v>
      </c>
      <c r="N47" s="1" t="n">
        <v>101</v>
      </c>
      <c r="O47" s="1" t="n">
        <v>101</v>
      </c>
      <c r="P47" s="1" t="n">
        <v>101</v>
      </c>
      <c r="Q47" s="1" t="n">
        <v>101</v>
      </c>
      <c r="R47" s="1" t="n">
        <v>101</v>
      </c>
      <c r="S47" s="1" t="n">
        <v>101</v>
      </c>
      <c r="T47" s="1" t="n">
        <v>101</v>
      </c>
      <c r="U47" s="1" t="n">
        <v>101</v>
      </c>
      <c r="V47" s="1" t="n">
        <v>101</v>
      </c>
      <c r="W47" s="1" t="n">
        <v>101</v>
      </c>
      <c r="X47" s="1" t="n">
        <v>101</v>
      </c>
      <c r="Y47" s="1" t="n">
        <v>101</v>
      </c>
      <c r="Z47" s="1" t="n">
        <v>101</v>
      </c>
      <c r="AA47" s="1" t="n">
        <v>101</v>
      </c>
      <c r="AB47" s="1" t="n">
        <v>101</v>
      </c>
      <c r="AC47" s="1" t="n">
        <v>101</v>
      </c>
      <c r="AD47" s="1" t="n">
        <v>101</v>
      </c>
      <c r="AE47" s="1" t="n">
        <v>101</v>
      </c>
      <c r="AF47" s="1" t="n">
        <v>101</v>
      </c>
      <c r="AG47" s="1" t="n">
        <v>101</v>
      </c>
      <c r="AH47" s="1" t="n">
        <v>101</v>
      </c>
      <c r="AI47" s="1" t="n">
        <v>101</v>
      </c>
      <c r="AJ47" s="1" t="n">
        <v>101</v>
      </c>
      <c r="AK47" s="1" t="n">
        <v>101</v>
      </c>
      <c r="AL47" s="1" t="n">
        <v>101</v>
      </c>
      <c r="AM47" s="1" t="n">
        <v>101</v>
      </c>
      <c r="AN47" s="1" t="n">
        <v>101</v>
      </c>
      <c r="AO47" s="1"/>
      <c r="AP47" s="1"/>
      <c r="AQ47" s="1"/>
    </row>
    <row r="48" customFormat="false" ht="15" hidden="false" customHeight="false" outlineLevel="0" collapsed="false">
      <c r="A48" s="1" t="n">
        <v>545</v>
      </c>
      <c r="D48" s="29" t="n">
        <f aca="false">COUNTIFS(I48:AQ48,"&gt;0",I48:AQ48,"&lt;101")</f>
        <v>0</v>
      </c>
      <c r="E48" s="29" t="n">
        <f aca="true">INDIRECT("'Stammdaten - Schwimmer'!F"&amp;(I48+3))+INDIRECT("'Stammdaten - Schwimmer'!F"&amp;(J48+3))+INDIRECT("'Stammdaten - Schwimmer'!F"&amp;(K48+3))+INDIRECT("'Stammdaten - Schwimmer'!F"&amp;(L48+3))+INDIRECT("'Stammdaten - Schwimmer'!F"&amp;(M48+3))+INDIRECT("'Stammdaten - Schwimmer'!F"&amp;(N48+3))+INDIRECT("'Stammdaten - Schwimmer'!F"&amp;O48+3)+INDIRECT("'Stammdaten - Schwimmer'!F"&amp;(P48+3))+INDIRECT("'Stammdaten - Schwimmer'!F"&amp;(Q48+3))+INDIRECT("'Stammdaten - Schwimmer'!F"&amp;(R48+3))+INDIRECT("'Stammdaten - Schwimmer'!F"&amp;(S48+3))+INDIRECT("'Stammdaten - Schwimmer'!F"&amp;(T48+3))+INDIRECT("'Stammdaten - Schwimmer'!F"&amp;(U48+3))+INDIRECT("'Stammdaten - Schwimmer'!F"&amp;(V48+3))+INDIRECT("'Stammdaten - Schwimmer'!F"&amp;(W48+3))+INDIRECT("'Stammdaten - Schwimmer'!F"&amp;(X48+3))+INDIRECT("'Stammdaten - Schwimmer'!F"&amp;(Y48+3))+INDIRECT("'Stammdaten - Schwimmer'!F"&amp;(Z48+3))+INDIRECT("'Stammdaten - Schwimmer'!F"&amp;(AA48+3))+INDIRECT("'Stammdaten - Schwimmer'!F"&amp;(AB48+3))+INDIRECT("'Stammdaten - Schwimmer'!F"&amp;(AC48+3))+INDIRECT("'Stammdaten - Schwimmer'!F"&amp;(AD48+3))+INDIRECT("'Stammdaten - Schwimmer'!F"&amp;(AE48+3))+INDIRECT("'Stammdaten - Schwimmer'!F"&amp;(AF48+3))+INDIRECT("'Stammdaten - Schwimmer'!F"&amp;(AG48+3))</f>
        <v>0</v>
      </c>
      <c r="F48" s="2"/>
      <c r="G48" s="30" t="n">
        <f aca="false">E48*F48</f>
        <v>0</v>
      </c>
      <c r="H48" s="31" t="n">
        <f aca="false">IF(D48&gt;0,E48/D48,)</f>
        <v>0</v>
      </c>
      <c r="I48" s="1" t="n">
        <v>101</v>
      </c>
      <c r="J48" s="1" t="n">
        <v>101</v>
      </c>
      <c r="K48" s="1" t="n">
        <v>101</v>
      </c>
      <c r="L48" s="1" t="n">
        <v>101</v>
      </c>
      <c r="M48" s="1" t="n">
        <v>101</v>
      </c>
      <c r="N48" s="1" t="n">
        <v>101</v>
      </c>
      <c r="O48" s="1" t="n">
        <v>101</v>
      </c>
      <c r="P48" s="1" t="n">
        <v>101</v>
      </c>
      <c r="Q48" s="1" t="n">
        <v>101</v>
      </c>
      <c r="R48" s="1" t="n">
        <v>101</v>
      </c>
      <c r="S48" s="1" t="n">
        <v>101</v>
      </c>
      <c r="T48" s="1" t="n">
        <v>101</v>
      </c>
      <c r="U48" s="1" t="n">
        <v>101</v>
      </c>
      <c r="V48" s="1" t="n">
        <v>101</v>
      </c>
      <c r="W48" s="1" t="n">
        <v>101</v>
      </c>
      <c r="X48" s="1" t="n">
        <v>101</v>
      </c>
      <c r="Y48" s="1" t="n">
        <v>101</v>
      </c>
      <c r="Z48" s="1" t="n">
        <v>101</v>
      </c>
      <c r="AA48" s="1" t="n">
        <v>101</v>
      </c>
      <c r="AB48" s="1" t="n">
        <v>101</v>
      </c>
      <c r="AC48" s="1" t="n">
        <v>101</v>
      </c>
      <c r="AD48" s="1" t="n">
        <v>101</v>
      </c>
      <c r="AE48" s="1" t="n">
        <v>101</v>
      </c>
      <c r="AF48" s="1" t="n">
        <v>101</v>
      </c>
      <c r="AG48" s="1" t="n">
        <v>101</v>
      </c>
      <c r="AH48" s="1" t="n">
        <v>101</v>
      </c>
      <c r="AI48" s="1" t="n">
        <v>101</v>
      </c>
      <c r="AJ48" s="1" t="n">
        <v>101</v>
      </c>
      <c r="AK48" s="1" t="n">
        <v>101</v>
      </c>
      <c r="AL48" s="1" t="n">
        <v>101</v>
      </c>
      <c r="AM48" s="1" t="n">
        <v>101</v>
      </c>
      <c r="AN48" s="1" t="n">
        <v>101</v>
      </c>
      <c r="AO48" s="1"/>
      <c r="AP48" s="1"/>
      <c r="AQ48" s="1"/>
    </row>
    <row r="49" customFormat="false" ht="15" hidden="false" customHeight="false" outlineLevel="0" collapsed="false">
      <c r="A49" s="1" t="n">
        <v>546</v>
      </c>
      <c r="D49" s="29" t="n">
        <f aca="false">COUNTIFS(I49:AQ49,"&gt;0",I49:AQ49,"&lt;101")</f>
        <v>0</v>
      </c>
      <c r="E49" s="29" t="n">
        <f aca="true">INDIRECT("'Stammdaten - Schwimmer'!F"&amp;(I49+3))+INDIRECT("'Stammdaten - Schwimmer'!F"&amp;(J49+3))+INDIRECT("'Stammdaten - Schwimmer'!F"&amp;(K49+3))+INDIRECT("'Stammdaten - Schwimmer'!F"&amp;(L49+3))+INDIRECT("'Stammdaten - Schwimmer'!F"&amp;(M49+3))+INDIRECT("'Stammdaten - Schwimmer'!F"&amp;(N49+3))+INDIRECT("'Stammdaten - Schwimmer'!F"&amp;O49+3)+INDIRECT("'Stammdaten - Schwimmer'!F"&amp;(P49+3))+INDIRECT("'Stammdaten - Schwimmer'!F"&amp;(Q49+3))+INDIRECT("'Stammdaten - Schwimmer'!F"&amp;(R49+3))+INDIRECT("'Stammdaten - Schwimmer'!F"&amp;(S49+3))+INDIRECT("'Stammdaten - Schwimmer'!F"&amp;(T49+3))+INDIRECT("'Stammdaten - Schwimmer'!F"&amp;(U49+3))+INDIRECT("'Stammdaten - Schwimmer'!F"&amp;(V49+3))+INDIRECT("'Stammdaten - Schwimmer'!F"&amp;(W49+3))+INDIRECT("'Stammdaten - Schwimmer'!F"&amp;(X49+3))+INDIRECT("'Stammdaten - Schwimmer'!F"&amp;(Y49+3))+INDIRECT("'Stammdaten - Schwimmer'!F"&amp;(Z49+3))+INDIRECT("'Stammdaten - Schwimmer'!F"&amp;(AA49+3))+INDIRECT("'Stammdaten - Schwimmer'!F"&amp;(AB49+3))+INDIRECT("'Stammdaten - Schwimmer'!F"&amp;(AC49+3))+INDIRECT("'Stammdaten - Schwimmer'!F"&amp;(AD49+3))+INDIRECT("'Stammdaten - Schwimmer'!F"&amp;(AE49+3))+INDIRECT("'Stammdaten - Schwimmer'!F"&amp;(AF49+3))+INDIRECT("'Stammdaten - Schwimmer'!F"&amp;(AG49+3))</f>
        <v>0</v>
      </c>
      <c r="F49" s="2"/>
      <c r="G49" s="30" t="n">
        <f aca="false">E49*F49</f>
        <v>0</v>
      </c>
      <c r="H49" s="31" t="n">
        <f aca="false">IF(D49&gt;0,E49/D49,)</f>
        <v>0</v>
      </c>
      <c r="I49" s="1" t="n">
        <v>101</v>
      </c>
      <c r="J49" s="1" t="n">
        <v>101</v>
      </c>
      <c r="K49" s="1" t="n">
        <v>101</v>
      </c>
      <c r="L49" s="1" t="n">
        <v>101</v>
      </c>
      <c r="M49" s="1" t="n">
        <v>101</v>
      </c>
      <c r="N49" s="1" t="n">
        <v>101</v>
      </c>
      <c r="O49" s="1" t="n">
        <v>101</v>
      </c>
      <c r="P49" s="1" t="n">
        <v>101</v>
      </c>
      <c r="Q49" s="1" t="n">
        <v>101</v>
      </c>
      <c r="R49" s="1" t="n">
        <v>101</v>
      </c>
      <c r="S49" s="1" t="n">
        <v>101</v>
      </c>
      <c r="T49" s="1" t="n">
        <v>101</v>
      </c>
      <c r="U49" s="1" t="n">
        <v>101</v>
      </c>
      <c r="V49" s="1" t="n">
        <v>101</v>
      </c>
      <c r="W49" s="1" t="n">
        <v>101</v>
      </c>
      <c r="X49" s="1" t="n">
        <v>101</v>
      </c>
      <c r="Y49" s="1" t="n">
        <v>101</v>
      </c>
      <c r="Z49" s="1" t="n">
        <v>101</v>
      </c>
      <c r="AA49" s="1" t="n">
        <v>101</v>
      </c>
      <c r="AB49" s="1" t="n">
        <v>101</v>
      </c>
      <c r="AC49" s="1" t="n">
        <v>101</v>
      </c>
      <c r="AD49" s="1" t="n">
        <v>101</v>
      </c>
      <c r="AE49" s="1" t="n">
        <v>101</v>
      </c>
      <c r="AF49" s="1" t="n">
        <v>101</v>
      </c>
      <c r="AG49" s="1" t="n">
        <v>101</v>
      </c>
      <c r="AH49" s="1" t="n">
        <v>101</v>
      </c>
      <c r="AI49" s="1" t="n">
        <v>101</v>
      </c>
      <c r="AJ49" s="1" t="n">
        <v>101</v>
      </c>
      <c r="AK49" s="1" t="n">
        <v>101</v>
      </c>
      <c r="AL49" s="1" t="n">
        <v>101</v>
      </c>
      <c r="AM49" s="1" t="n">
        <v>101</v>
      </c>
      <c r="AN49" s="1" t="n">
        <v>101</v>
      </c>
      <c r="AO49" s="1"/>
      <c r="AP49" s="1"/>
      <c r="AQ49" s="1"/>
    </row>
    <row r="50" customFormat="false" ht="15" hidden="false" customHeight="false" outlineLevel="0" collapsed="false">
      <c r="A50" s="1" t="n">
        <v>547</v>
      </c>
      <c r="D50" s="29" t="n">
        <f aca="false">COUNTIFS(I50:AQ50,"&gt;0",I50:AQ50,"&lt;101")</f>
        <v>0</v>
      </c>
      <c r="E50" s="29" t="n">
        <f aca="true">INDIRECT("'Stammdaten - Schwimmer'!F"&amp;(I50+3))+INDIRECT("'Stammdaten - Schwimmer'!F"&amp;(J50+3))+INDIRECT("'Stammdaten - Schwimmer'!F"&amp;(K50+3))+INDIRECT("'Stammdaten - Schwimmer'!F"&amp;(L50+3))+INDIRECT("'Stammdaten - Schwimmer'!F"&amp;(M50+3))+INDIRECT("'Stammdaten - Schwimmer'!F"&amp;(N50+3))+INDIRECT("'Stammdaten - Schwimmer'!F"&amp;O50+3)+INDIRECT("'Stammdaten - Schwimmer'!F"&amp;(P50+3))+INDIRECT("'Stammdaten - Schwimmer'!F"&amp;(Q50+3))+INDIRECT("'Stammdaten - Schwimmer'!F"&amp;(R50+3))+INDIRECT("'Stammdaten - Schwimmer'!F"&amp;(S50+3))+INDIRECT("'Stammdaten - Schwimmer'!F"&amp;(T50+3))+INDIRECT("'Stammdaten - Schwimmer'!F"&amp;(U50+3))+INDIRECT("'Stammdaten - Schwimmer'!F"&amp;(V50+3))+INDIRECT("'Stammdaten - Schwimmer'!F"&amp;(W50+3))+INDIRECT("'Stammdaten - Schwimmer'!F"&amp;(X50+3))+INDIRECT("'Stammdaten - Schwimmer'!F"&amp;(Y50+3))+INDIRECT("'Stammdaten - Schwimmer'!F"&amp;(Z50+3))+INDIRECT("'Stammdaten - Schwimmer'!F"&amp;(AA50+3))+INDIRECT("'Stammdaten - Schwimmer'!F"&amp;(AB50+3))+INDIRECT("'Stammdaten - Schwimmer'!F"&amp;(AC50+3))+INDIRECT("'Stammdaten - Schwimmer'!F"&amp;(AD50+3))+INDIRECT("'Stammdaten - Schwimmer'!F"&amp;(AE50+3))+INDIRECT("'Stammdaten - Schwimmer'!F"&amp;(AF50+3))+INDIRECT("'Stammdaten - Schwimmer'!F"&amp;(AG50+3))</f>
        <v>0</v>
      </c>
      <c r="F50" s="2"/>
      <c r="G50" s="30" t="n">
        <f aca="false">E50*F50</f>
        <v>0</v>
      </c>
      <c r="H50" s="31" t="n">
        <f aca="false">IF(D50&gt;0,E50/D50,)</f>
        <v>0</v>
      </c>
      <c r="I50" s="1" t="n">
        <v>101</v>
      </c>
      <c r="J50" s="1" t="n">
        <v>101</v>
      </c>
      <c r="K50" s="1" t="n">
        <v>101</v>
      </c>
      <c r="L50" s="1" t="n">
        <v>101</v>
      </c>
      <c r="M50" s="1" t="n">
        <v>101</v>
      </c>
      <c r="N50" s="1" t="n">
        <v>101</v>
      </c>
      <c r="O50" s="1" t="n">
        <v>101</v>
      </c>
      <c r="P50" s="1" t="n">
        <v>101</v>
      </c>
      <c r="Q50" s="1" t="n">
        <v>101</v>
      </c>
      <c r="R50" s="1" t="n">
        <v>101</v>
      </c>
      <c r="S50" s="1" t="n">
        <v>101</v>
      </c>
      <c r="T50" s="1" t="n">
        <v>101</v>
      </c>
      <c r="U50" s="1" t="n">
        <v>101</v>
      </c>
      <c r="V50" s="1" t="n">
        <v>101</v>
      </c>
      <c r="W50" s="1" t="n">
        <v>101</v>
      </c>
      <c r="X50" s="1" t="n">
        <v>101</v>
      </c>
      <c r="Y50" s="1" t="n">
        <v>101</v>
      </c>
      <c r="Z50" s="1" t="n">
        <v>101</v>
      </c>
      <c r="AA50" s="1" t="n">
        <v>101</v>
      </c>
      <c r="AB50" s="1" t="n">
        <v>101</v>
      </c>
      <c r="AC50" s="1" t="n">
        <v>101</v>
      </c>
      <c r="AD50" s="1" t="n">
        <v>101</v>
      </c>
      <c r="AE50" s="1" t="n">
        <v>101</v>
      </c>
      <c r="AF50" s="1" t="n">
        <v>101</v>
      </c>
      <c r="AG50" s="1" t="n">
        <v>101</v>
      </c>
      <c r="AH50" s="1" t="n">
        <v>101</v>
      </c>
      <c r="AI50" s="1" t="n">
        <v>101</v>
      </c>
      <c r="AJ50" s="1" t="n">
        <v>101</v>
      </c>
      <c r="AK50" s="1" t="n">
        <v>101</v>
      </c>
      <c r="AL50" s="1" t="n">
        <v>101</v>
      </c>
      <c r="AM50" s="1" t="n">
        <v>101</v>
      </c>
      <c r="AN50" s="1" t="n">
        <v>101</v>
      </c>
      <c r="AO50" s="1"/>
      <c r="AP50" s="1"/>
      <c r="AQ50" s="1"/>
    </row>
    <row r="51" customFormat="false" ht="15" hidden="false" customHeight="false" outlineLevel="0" collapsed="false">
      <c r="A51" s="1" t="n">
        <v>548</v>
      </c>
      <c r="D51" s="29" t="n">
        <f aca="false">COUNTIFS(I51:AQ51,"&gt;0",I51:AQ51,"&lt;101")</f>
        <v>0</v>
      </c>
      <c r="E51" s="29" t="n">
        <f aca="true">INDIRECT("'Stammdaten - Schwimmer'!F"&amp;(I51+3))+INDIRECT("'Stammdaten - Schwimmer'!F"&amp;(J51+3))+INDIRECT("'Stammdaten - Schwimmer'!F"&amp;(K51+3))+INDIRECT("'Stammdaten - Schwimmer'!F"&amp;(L51+3))+INDIRECT("'Stammdaten - Schwimmer'!F"&amp;(M51+3))+INDIRECT("'Stammdaten - Schwimmer'!F"&amp;(N51+3))+INDIRECT("'Stammdaten - Schwimmer'!F"&amp;O51+3)+INDIRECT("'Stammdaten - Schwimmer'!F"&amp;(P51+3))+INDIRECT("'Stammdaten - Schwimmer'!F"&amp;(Q51+3))+INDIRECT("'Stammdaten - Schwimmer'!F"&amp;(R51+3))+INDIRECT("'Stammdaten - Schwimmer'!F"&amp;(S51+3))+INDIRECT("'Stammdaten - Schwimmer'!F"&amp;(T51+3))+INDIRECT("'Stammdaten - Schwimmer'!F"&amp;(U51+3))+INDIRECT("'Stammdaten - Schwimmer'!F"&amp;(V51+3))+INDIRECT("'Stammdaten - Schwimmer'!F"&amp;(W51+3))+INDIRECT("'Stammdaten - Schwimmer'!F"&amp;(X51+3))+INDIRECT("'Stammdaten - Schwimmer'!F"&amp;(Y51+3))+INDIRECT("'Stammdaten - Schwimmer'!F"&amp;(Z51+3))+INDIRECT("'Stammdaten - Schwimmer'!F"&amp;(AA51+3))+INDIRECT("'Stammdaten - Schwimmer'!F"&amp;(AB51+3))+INDIRECT("'Stammdaten - Schwimmer'!F"&amp;(AC51+3))+INDIRECT("'Stammdaten - Schwimmer'!F"&amp;(AD51+3))+INDIRECT("'Stammdaten - Schwimmer'!F"&amp;(AE51+3))+INDIRECT("'Stammdaten - Schwimmer'!F"&amp;(AF51+3))+INDIRECT("'Stammdaten - Schwimmer'!F"&amp;(AG51+3))</f>
        <v>0</v>
      </c>
      <c r="F51" s="2"/>
      <c r="G51" s="30" t="n">
        <f aca="false">E51*F51</f>
        <v>0</v>
      </c>
      <c r="H51" s="31" t="n">
        <f aca="false">IF(D51&gt;0,E51/D51,)</f>
        <v>0</v>
      </c>
      <c r="I51" s="1" t="n">
        <v>101</v>
      </c>
      <c r="J51" s="1" t="n">
        <v>101</v>
      </c>
      <c r="K51" s="1" t="n">
        <v>101</v>
      </c>
      <c r="L51" s="1" t="n">
        <v>101</v>
      </c>
      <c r="M51" s="1" t="n">
        <v>101</v>
      </c>
      <c r="N51" s="1" t="n">
        <v>101</v>
      </c>
      <c r="O51" s="1" t="n">
        <v>101</v>
      </c>
      <c r="P51" s="1" t="n">
        <v>101</v>
      </c>
      <c r="Q51" s="1" t="n">
        <v>101</v>
      </c>
      <c r="R51" s="1" t="n">
        <v>101</v>
      </c>
      <c r="S51" s="1" t="n">
        <v>101</v>
      </c>
      <c r="T51" s="1" t="n">
        <v>101</v>
      </c>
      <c r="U51" s="1" t="n">
        <v>101</v>
      </c>
      <c r="V51" s="1" t="n">
        <v>101</v>
      </c>
      <c r="W51" s="1" t="n">
        <v>101</v>
      </c>
      <c r="X51" s="1" t="n">
        <v>101</v>
      </c>
      <c r="Y51" s="1" t="n">
        <v>101</v>
      </c>
      <c r="Z51" s="1" t="n">
        <v>101</v>
      </c>
      <c r="AA51" s="1" t="n">
        <v>101</v>
      </c>
      <c r="AB51" s="1" t="n">
        <v>101</v>
      </c>
      <c r="AC51" s="1" t="n">
        <v>101</v>
      </c>
      <c r="AD51" s="1" t="n">
        <v>101</v>
      </c>
      <c r="AE51" s="1" t="n">
        <v>101</v>
      </c>
      <c r="AF51" s="1" t="n">
        <v>101</v>
      </c>
      <c r="AG51" s="1" t="n">
        <v>101</v>
      </c>
      <c r="AH51" s="1" t="n">
        <v>101</v>
      </c>
      <c r="AI51" s="1" t="n">
        <v>101</v>
      </c>
      <c r="AJ51" s="1" t="n">
        <v>101</v>
      </c>
      <c r="AK51" s="1" t="n">
        <v>101</v>
      </c>
      <c r="AL51" s="1" t="n">
        <v>101</v>
      </c>
      <c r="AM51" s="1" t="n">
        <v>101</v>
      </c>
      <c r="AN51" s="1" t="n">
        <v>101</v>
      </c>
      <c r="AO51" s="1"/>
      <c r="AP51" s="1"/>
      <c r="AQ51" s="1"/>
    </row>
    <row r="52" customFormat="false" ht="15" hidden="false" customHeight="false" outlineLevel="0" collapsed="false">
      <c r="A52" s="1" t="n">
        <v>549</v>
      </c>
      <c r="D52" s="29" t="n">
        <f aca="false">COUNTIFS(I52:AQ52,"&gt;0",I52:AQ52,"&lt;101")</f>
        <v>0</v>
      </c>
      <c r="E52" s="29" t="n">
        <f aca="true">INDIRECT("'Stammdaten - Schwimmer'!F"&amp;(I52+3))+INDIRECT("'Stammdaten - Schwimmer'!F"&amp;(J52+3))+INDIRECT("'Stammdaten - Schwimmer'!F"&amp;(K52+3))+INDIRECT("'Stammdaten - Schwimmer'!F"&amp;(L52+3))+INDIRECT("'Stammdaten - Schwimmer'!F"&amp;(M52+3))+INDIRECT("'Stammdaten - Schwimmer'!F"&amp;(N52+3))+INDIRECT("'Stammdaten - Schwimmer'!F"&amp;O52+3)+INDIRECT("'Stammdaten - Schwimmer'!F"&amp;(P52+3))+INDIRECT("'Stammdaten - Schwimmer'!F"&amp;(Q52+3))+INDIRECT("'Stammdaten - Schwimmer'!F"&amp;(R52+3))+INDIRECT("'Stammdaten - Schwimmer'!F"&amp;(S52+3))+INDIRECT("'Stammdaten - Schwimmer'!F"&amp;(T52+3))+INDIRECT("'Stammdaten - Schwimmer'!F"&amp;(U52+3))+INDIRECT("'Stammdaten - Schwimmer'!F"&amp;(V52+3))+INDIRECT("'Stammdaten - Schwimmer'!F"&amp;(W52+3))+INDIRECT("'Stammdaten - Schwimmer'!F"&amp;(X52+3))+INDIRECT("'Stammdaten - Schwimmer'!F"&amp;(Y52+3))+INDIRECT("'Stammdaten - Schwimmer'!F"&amp;(Z52+3))+INDIRECT("'Stammdaten - Schwimmer'!F"&amp;(AA52+3))+INDIRECT("'Stammdaten - Schwimmer'!F"&amp;(AB52+3))+INDIRECT("'Stammdaten - Schwimmer'!F"&amp;(AC52+3))+INDIRECT("'Stammdaten - Schwimmer'!F"&amp;(AD52+3))+INDIRECT("'Stammdaten - Schwimmer'!F"&amp;(AE52+3))+INDIRECT("'Stammdaten - Schwimmer'!F"&amp;(AF52+3))+INDIRECT("'Stammdaten - Schwimmer'!F"&amp;(AG52+3))</f>
        <v>0</v>
      </c>
      <c r="F52" s="2"/>
      <c r="G52" s="30" t="n">
        <f aca="false">E52*F52</f>
        <v>0</v>
      </c>
      <c r="H52" s="31" t="n">
        <f aca="false">IF(D52&gt;0,E52/D52,)</f>
        <v>0</v>
      </c>
      <c r="I52" s="1" t="n">
        <v>101</v>
      </c>
      <c r="J52" s="1" t="n">
        <v>101</v>
      </c>
      <c r="K52" s="1" t="n">
        <v>101</v>
      </c>
      <c r="L52" s="1" t="n">
        <v>101</v>
      </c>
      <c r="M52" s="1" t="n">
        <v>101</v>
      </c>
      <c r="N52" s="1" t="n">
        <v>101</v>
      </c>
      <c r="O52" s="1" t="n">
        <v>101</v>
      </c>
      <c r="P52" s="1" t="n">
        <v>101</v>
      </c>
      <c r="Q52" s="1" t="n">
        <v>101</v>
      </c>
      <c r="R52" s="1" t="n">
        <v>101</v>
      </c>
      <c r="S52" s="1" t="n">
        <v>101</v>
      </c>
      <c r="T52" s="1" t="n">
        <v>101</v>
      </c>
      <c r="U52" s="1" t="n">
        <v>101</v>
      </c>
      <c r="V52" s="1" t="n">
        <v>101</v>
      </c>
      <c r="W52" s="1" t="n">
        <v>101</v>
      </c>
      <c r="X52" s="1" t="n">
        <v>101</v>
      </c>
      <c r="Y52" s="1" t="n">
        <v>101</v>
      </c>
      <c r="Z52" s="1" t="n">
        <v>101</v>
      </c>
      <c r="AA52" s="1" t="n">
        <v>101</v>
      </c>
      <c r="AB52" s="1" t="n">
        <v>101</v>
      </c>
      <c r="AC52" s="1" t="n">
        <v>101</v>
      </c>
      <c r="AD52" s="1" t="n">
        <v>101</v>
      </c>
      <c r="AE52" s="1" t="n">
        <v>101</v>
      </c>
      <c r="AF52" s="1" t="n">
        <v>101</v>
      </c>
      <c r="AG52" s="1" t="n">
        <v>101</v>
      </c>
      <c r="AH52" s="1" t="n">
        <v>101</v>
      </c>
      <c r="AI52" s="1" t="n">
        <v>101</v>
      </c>
      <c r="AJ52" s="1" t="n">
        <v>101</v>
      </c>
      <c r="AK52" s="1" t="n">
        <v>101</v>
      </c>
      <c r="AL52" s="1" t="n">
        <v>101</v>
      </c>
      <c r="AM52" s="1" t="n">
        <v>101</v>
      </c>
      <c r="AN52" s="1" t="n">
        <v>101</v>
      </c>
      <c r="AO52" s="1"/>
      <c r="AP52" s="1"/>
      <c r="AQ52" s="1"/>
    </row>
    <row r="53" customFormat="false" ht="15" hidden="false" customHeight="false" outlineLevel="0" collapsed="false">
      <c r="A53" s="1" t="n">
        <v>550</v>
      </c>
      <c r="D53" s="29" t="n">
        <f aca="false">COUNTIFS(I53:AQ53,"&gt;0",I53:AQ53,"&lt;101")</f>
        <v>0</v>
      </c>
      <c r="E53" s="29" t="n">
        <f aca="true">INDIRECT("'Stammdaten - Schwimmer'!F"&amp;(I53+3))+INDIRECT("'Stammdaten - Schwimmer'!F"&amp;(J53+3))+INDIRECT("'Stammdaten - Schwimmer'!F"&amp;(K53+3))+INDIRECT("'Stammdaten - Schwimmer'!F"&amp;(L53+3))+INDIRECT("'Stammdaten - Schwimmer'!F"&amp;(M53+3))+INDIRECT("'Stammdaten - Schwimmer'!F"&amp;(N53+3))+INDIRECT("'Stammdaten - Schwimmer'!F"&amp;O53+3)+INDIRECT("'Stammdaten - Schwimmer'!F"&amp;(P53+3))+INDIRECT("'Stammdaten - Schwimmer'!F"&amp;(Q53+3))+INDIRECT("'Stammdaten - Schwimmer'!F"&amp;(R53+3))+INDIRECT("'Stammdaten - Schwimmer'!F"&amp;(S53+3))+INDIRECT("'Stammdaten - Schwimmer'!F"&amp;(T53+3))+INDIRECT("'Stammdaten - Schwimmer'!F"&amp;(U53+3))+INDIRECT("'Stammdaten - Schwimmer'!F"&amp;(V53+3))+INDIRECT("'Stammdaten - Schwimmer'!F"&amp;(W53+3))+INDIRECT("'Stammdaten - Schwimmer'!F"&amp;(X53+3))+INDIRECT("'Stammdaten - Schwimmer'!F"&amp;(Y53+3))+INDIRECT("'Stammdaten - Schwimmer'!F"&amp;(Z53+3))+INDIRECT("'Stammdaten - Schwimmer'!F"&amp;(AA53+3))+INDIRECT("'Stammdaten - Schwimmer'!F"&amp;(AB53+3))+INDIRECT("'Stammdaten - Schwimmer'!F"&amp;(AC53+3))+INDIRECT("'Stammdaten - Schwimmer'!F"&amp;(AD53+3))+INDIRECT("'Stammdaten - Schwimmer'!F"&amp;(AE53+3))+INDIRECT("'Stammdaten - Schwimmer'!F"&amp;(AF53+3))+INDIRECT("'Stammdaten - Schwimmer'!F"&amp;(AG53+3))</f>
        <v>0</v>
      </c>
      <c r="F53" s="2"/>
      <c r="G53" s="30" t="n">
        <f aca="false">E53*F53</f>
        <v>0</v>
      </c>
      <c r="H53" s="31" t="n">
        <f aca="false">IF(D53&gt;0,E53/D53,)</f>
        <v>0</v>
      </c>
      <c r="I53" s="1" t="n">
        <v>101</v>
      </c>
      <c r="J53" s="1" t="n">
        <v>101</v>
      </c>
      <c r="K53" s="1" t="n">
        <v>101</v>
      </c>
      <c r="L53" s="1" t="n">
        <v>101</v>
      </c>
      <c r="M53" s="1" t="n">
        <v>101</v>
      </c>
      <c r="N53" s="1" t="n">
        <v>101</v>
      </c>
      <c r="O53" s="1" t="n">
        <v>101</v>
      </c>
      <c r="P53" s="1" t="n">
        <v>101</v>
      </c>
      <c r="Q53" s="1" t="n">
        <v>101</v>
      </c>
      <c r="R53" s="1" t="n">
        <v>101</v>
      </c>
      <c r="S53" s="1" t="n">
        <v>101</v>
      </c>
      <c r="T53" s="1" t="n">
        <v>101</v>
      </c>
      <c r="U53" s="1" t="n">
        <v>101</v>
      </c>
      <c r="V53" s="1" t="n">
        <v>101</v>
      </c>
      <c r="W53" s="1" t="n">
        <v>101</v>
      </c>
      <c r="X53" s="1" t="n">
        <v>101</v>
      </c>
      <c r="Y53" s="1" t="n">
        <v>101</v>
      </c>
      <c r="Z53" s="1" t="n">
        <v>101</v>
      </c>
      <c r="AA53" s="1" t="n">
        <v>101</v>
      </c>
      <c r="AB53" s="1" t="n">
        <v>101</v>
      </c>
      <c r="AC53" s="1" t="n">
        <v>101</v>
      </c>
      <c r="AD53" s="1" t="n">
        <v>101</v>
      </c>
      <c r="AE53" s="1" t="n">
        <v>101</v>
      </c>
      <c r="AF53" s="1" t="n">
        <v>101</v>
      </c>
      <c r="AG53" s="1" t="n">
        <v>101</v>
      </c>
      <c r="AH53" s="1" t="n">
        <v>101</v>
      </c>
      <c r="AI53" s="1" t="n">
        <v>101</v>
      </c>
      <c r="AJ53" s="1" t="n">
        <v>101</v>
      </c>
      <c r="AK53" s="1" t="n">
        <v>101</v>
      </c>
      <c r="AL53" s="1" t="n">
        <v>101</v>
      </c>
      <c r="AM53" s="1" t="n">
        <v>101</v>
      </c>
      <c r="AN53" s="1" t="n">
        <v>101</v>
      </c>
      <c r="AO53" s="1"/>
      <c r="AP53" s="1"/>
      <c r="AQ53" s="1"/>
    </row>
    <row r="70" customFormat="false" ht="15" hidden="false" customHeight="false" outlineLevel="0" collapsed="false">
      <c r="A70" s="3" t="s">
        <v>346</v>
      </c>
    </row>
    <row r="72" customFormat="false" ht="28.35" hidden="false" customHeight="false" outlineLevel="0" collapsed="false">
      <c r="A72" s="32" t="str">
        <f aca="false">A3</f>
        <v>Team Nummer</v>
      </c>
      <c r="B72" s="32" t="str">
        <f aca="false">B3</f>
        <v>Team Name</v>
      </c>
      <c r="C72" s="32" t="str">
        <f aca="false">C3</f>
        <v>Verantwortlicher </v>
      </c>
      <c r="D72" s="33" t="str">
        <f aca="false">D3</f>
        <v>Gesamt 
Mitglieder</v>
      </c>
      <c r="E72" s="33" t="str">
        <f aca="false">E3</f>
        <v>Gesamtanzahl
Bahnen</v>
      </c>
      <c r="F72" s="33" t="str">
        <f aca="false">F3</f>
        <v>Spende
pro Bahn</v>
      </c>
      <c r="G72" s="33" t="str">
        <f aca="false">G3</f>
        <v>Spenden-
Betrag</v>
      </c>
      <c r="H72" s="33" t="str">
        <f aca="false">H3</f>
        <v>Bahnen pro
Mitglied</v>
      </c>
    </row>
    <row r="73" customFormat="false" ht="7.5" hidden="false" customHeight="true" outlineLevel="0" collapsed="false">
      <c r="A73" s="32"/>
      <c r="B73" s="32"/>
      <c r="C73" s="32"/>
      <c r="D73" s="32"/>
      <c r="E73" s="32"/>
      <c r="F73" s="32"/>
      <c r="G73" s="32"/>
      <c r="H73" s="32"/>
    </row>
    <row r="74" customFormat="false" ht="15" hidden="false" customHeight="false" outlineLevel="0" collapsed="false">
      <c r="A74" s="32" t="n">
        <f aca="false">A5</f>
        <v>502</v>
      </c>
      <c r="B74" s="32" t="str">
        <f aca="false">B5</f>
        <v>DLRG</v>
      </c>
      <c r="C74" s="32" t="str">
        <f aca="false">C5</f>
        <v>Thomas Schmid</v>
      </c>
      <c r="D74" s="32" t="n">
        <f aca="false">D5</f>
        <v>16</v>
      </c>
      <c r="E74" s="32" t="n">
        <f aca="false">E5</f>
        <v>769</v>
      </c>
      <c r="F74" s="34" t="n">
        <f aca="false">F5</f>
        <v>0.5</v>
      </c>
      <c r="G74" s="34" t="n">
        <f aca="false">G5</f>
        <v>384.5</v>
      </c>
      <c r="H74" s="35" t="n">
        <f aca="false">H5</f>
        <v>48.0625</v>
      </c>
    </row>
    <row r="75" customFormat="false" ht="15" hidden="false" customHeight="false" outlineLevel="0" collapsed="false">
      <c r="A75" s="32" t="n">
        <f aca="false">A6</f>
        <v>503</v>
      </c>
      <c r="B75" s="32" t="str">
        <f aca="false">B6</f>
        <v>TVV Schwimm</v>
      </c>
      <c r="C75" s="32" t="str">
        <f aca="false">C6</f>
        <v>Tim Bauer</v>
      </c>
      <c r="D75" s="32" t="n">
        <f aca="false">D6</f>
        <v>20</v>
      </c>
      <c r="E75" s="32" t="n">
        <f aca="false">E6</f>
        <v>1266</v>
      </c>
      <c r="F75" s="34" t="n">
        <f aca="false">F6</f>
        <v>0.5</v>
      </c>
      <c r="G75" s="34" t="n">
        <f aca="false">G6</f>
        <v>633</v>
      </c>
      <c r="H75" s="35" t="n">
        <f aca="false">H6</f>
        <v>63.3</v>
      </c>
    </row>
    <row r="76" customFormat="false" ht="15" hidden="false" customHeight="false" outlineLevel="0" collapsed="false">
      <c r="A76" s="32" t="n">
        <f aca="false">A8</f>
        <v>505</v>
      </c>
      <c r="B76" s="32" t="str">
        <f aca="false">B8</f>
        <v>Kanu Klub</v>
      </c>
      <c r="C76" s="32" t="str">
        <f aca="false">C8</f>
        <v>Michael Fischer</v>
      </c>
      <c r="D76" s="32" t="n">
        <f aca="false">D8</f>
        <v>3</v>
      </c>
      <c r="E76" s="32" t="n">
        <f aca="false">E8</f>
        <v>159</v>
      </c>
      <c r="F76" s="34" t="n">
        <f aca="false">F8</f>
        <v>0.5</v>
      </c>
      <c r="G76" s="34" t="n">
        <f aca="false">G8</f>
        <v>79.5</v>
      </c>
      <c r="H76" s="35" t="n">
        <f aca="false">H8</f>
        <v>53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0.6796875" defaultRowHeight="15" customHeight="false" zeroHeight="false" outlineLevelRow="0" outlineLevelCol="0"/>
  <cols>
    <col collapsed="false" customWidth="true" hidden="false" outlineLevel="0" max="2" min="2" style="0" width="17.29"/>
    <col collapsed="false" customWidth="true" hidden="false" outlineLevel="0" max="3" min="3" style="0" width="16.71"/>
    <col collapsed="false" customWidth="true" hidden="false" outlineLevel="0" max="5" min="5" style="1" width="11.43"/>
    <col collapsed="false" customWidth="true" hidden="false" outlineLevel="0" max="9" min="9" style="0" width="16.85"/>
    <col collapsed="false" customWidth="true" hidden="false" outlineLevel="0" max="10" min="10" style="0" width="16.43"/>
    <col collapsed="false" customWidth="true" hidden="false" outlineLevel="0" max="16" min="16" style="0" width="18.57"/>
    <col collapsed="false" customWidth="true" hidden="false" outlineLevel="0" max="17" min="17" style="0" width="17.86"/>
  </cols>
  <sheetData>
    <row r="1" customFormat="false" ht="15" hidden="false" customHeight="false" outlineLevel="0" collapsed="false">
      <c r="A1" s="0" t="s">
        <v>347</v>
      </c>
    </row>
    <row r="3" customFormat="false" ht="15" hidden="false" customHeight="false" outlineLevel="0" collapsed="false">
      <c r="A3" s="0" t="s">
        <v>348</v>
      </c>
      <c r="H3" s="0" t="s">
        <v>349</v>
      </c>
      <c r="O3" s="0" t="s">
        <v>350</v>
      </c>
    </row>
    <row r="4" customFormat="false" ht="28.35" hidden="false" customHeight="false" outlineLevel="0" collapsed="false">
      <c r="A4" s="36" t="s">
        <v>351</v>
      </c>
      <c r="B4" s="37" t="s">
        <v>3</v>
      </c>
      <c r="C4" s="37" t="s">
        <v>4</v>
      </c>
      <c r="D4" s="38" t="s">
        <v>352</v>
      </c>
      <c r="E4" s="38" t="s">
        <v>353</v>
      </c>
      <c r="H4" s="36" t="s">
        <v>2</v>
      </c>
      <c r="I4" s="37" t="s">
        <v>3</v>
      </c>
      <c r="J4" s="37" t="s">
        <v>4</v>
      </c>
      <c r="K4" s="38" t="s">
        <v>352</v>
      </c>
      <c r="L4" s="38" t="s">
        <v>7</v>
      </c>
      <c r="O4" s="36" t="s">
        <v>2</v>
      </c>
      <c r="P4" s="37" t="s">
        <v>3</v>
      </c>
      <c r="Q4" s="37" t="s">
        <v>4</v>
      </c>
      <c r="R4" s="38" t="s">
        <v>352</v>
      </c>
      <c r="S4" s="38" t="s">
        <v>7</v>
      </c>
    </row>
    <row r="5" customFormat="false" ht="15" hidden="false" customHeight="false" outlineLevel="0" collapsed="false">
      <c r="A5" s="39" t="e">
        <f aca="false">INDEX('Spenden-Kalkulation-Schwimmer'!$H$4:$H$103,MATCH(LARGE('Spenden-Kalkulation-Schwimmer'!$L$4:$L$103,ROWS('Spenden-Kalkulation-Schwimmer'!$H$4:H4)),'Spenden-Kalkulation-Schwimmer'!$L$4:$L$103,0))</f>
        <v>#REF!</v>
      </c>
      <c r="B5" s="39" t="e">
        <f aca="false">INDEX('Spenden-Kalkulation-Schwimmer'!$I$4:$I$103,MATCH(LARGE('Spenden-Kalkulation-Schwimmer'!$L$4:$L$103,ROWS('Spenden-Kalkulation-Schwimmer'!$I$4:I4)),'Spenden-Kalkulation-Schwimmer'!$L$4:$L$103,0))</f>
        <v>#REF!</v>
      </c>
      <c r="C5" s="39" t="e">
        <f aca="false">INDEX('Spenden-Kalkulation-Schwimmer'!$J$4:$J$103,MATCH(LARGE('Spenden-Kalkulation-Schwimmer'!$L$4:$L$103,ROWS('Spenden-Kalkulation-Schwimmer'!$J$4:J4)),'Spenden-Kalkulation-Schwimmer'!$L$4:$L$103,0))</f>
        <v>#REF!</v>
      </c>
      <c r="D5" s="40" t="e">
        <f aca="false">INDEX('Spenden-Kalkulation-Schwimmer'!$K$4:$K$103,MATCH(LARGE('Spenden-Kalkulation-Schwimmer'!$L$4:$L$103,ROWS('Spenden-Kalkulation-Schwimmer'!$K$4:K4)),'Spenden-Kalkulation-Schwimmer'!$L$4:$L$103,0))</f>
        <v>#REF!</v>
      </c>
      <c r="E5" s="39" t="e">
        <f aca="false">LARGE('Spenden-Kalkulation-Schwimmer'!$L$4:$L$103,ROWS('Spenden-Kalkulation-Schwimmer'!L$4:L4))</f>
        <v>#REF!</v>
      </c>
      <c r="H5" s="39" t="e">
        <f aca="false">INDEX('Spenden-Kalkulation-Schwimmer'!$O$4:$O$103,MATCH(LARGE('Spenden-Kalkulation-Schwimmer'!$S$4:$S$103,ROWS('Spenden-Kalkulation-Schwimmer'!$O$4:O4)),'Spenden-Kalkulation-Schwimmer'!$S$4:$S$103,0))</f>
        <v>#REF!</v>
      </c>
      <c r="I5" s="39" t="e">
        <f aca="false">INDEX('Spenden-Kalkulation-Schwimmer'!$P$4:$P$103,MATCH(LARGE('Spenden-Kalkulation-Schwimmer'!$S$4:$S$103,ROWS('Spenden-Kalkulation-Schwimmer'!$P$4:P4)),'Spenden-Kalkulation-Schwimmer'!$S$4:$S$103,0))</f>
        <v>#REF!</v>
      </c>
      <c r="J5" s="39" t="e">
        <f aca="false">INDEX('Spenden-Kalkulation-Schwimmer'!$Q$4:$Q$103,MATCH(LARGE('Spenden-Kalkulation-Schwimmer'!$S$4:$S$103,ROWS('Spenden-Kalkulation-Schwimmer'!$Q$4:Q4)),'Spenden-Kalkulation-Schwimmer'!$S$4:$S$103,0))</f>
        <v>#REF!</v>
      </c>
      <c r="K5" s="40" t="e">
        <f aca="false">INDEX('Spenden-Kalkulation-Schwimmer'!$R$4:$R$103,MATCH(LARGE('Spenden-Kalkulation-Schwimmer'!$S$4:$S$103,ROWS('Spenden-Kalkulation-Schwimmer'!$R$4:R4)),'Spenden-Kalkulation-Schwimmer'!$S$4:$S$103,0))</f>
        <v>#REF!</v>
      </c>
      <c r="L5" s="39" t="e">
        <f aca="false">LARGE('Spenden-Kalkulation-Schwimmer'!$S$4:$S$103,ROWS('Spenden-Kalkulation-Schwimmer'!S$4:S4))</f>
        <v>#REF!</v>
      </c>
      <c r="O5" s="39" t="e">
        <f aca="false">INDEX('Spenden-Kalkulation-Schwimmer'!$V$4:$V$103,MATCH(LARGE('Spenden-Kalkulation-Schwimmer'!$Z$4:$Z$103,ROWS('Spenden-Kalkulation-Schwimmer'!$V$4:V4)),'Spenden-Kalkulation-Schwimmer'!$Z$4:$Z$103,0))</f>
        <v>#REF!</v>
      </c>
      <c r="P5" s="39" t="e">
        <f aca="false">INDEX('Spenden-Kalkulation-Schwimmer'!$W$4:$W$103,MATCH(LARGE('Spenden-Kalkulation-Schwimmer'!$Z$4:$Z$103,ROWS('Spenden-Kalkulation-Schwimmer'!$W$4:W4)),'Spenden-Kalkulation-Schwimmer'!$Z$4:$Z$103,0))</f>
        <v>#REF!</v>
      </c>
      <c r="Q5" s="39" t="e">
        <f aca="false">INDEX('Spenden-Kalkulation-Schwimmer'!$X$4:$X$103,MATCH(LARGE('Spenden-Kalkulation-Schwimmer'!$Z$4:$Z$103,ROWS('Spenden-Kalkulation-Schwimmer'!$X$4:X4)),'Spenden-Kalkulation-Schwimmer'!$Z$4:$Z$103,0))</f>
        <v>#REF!</v>
      </c>
      <c r="R5" s="40" t="e">
        <f aca="false">INDEX('Spenden-Kalkulation-Schwimmer'!$Y$4:$Y$103,MATCH(LARGE('Spenden-Kalkulation-Schwimmer'!$Z$4:$Z$103,ROWS('Spenden-Kalkulation-Schwimmer'!$Y$4:Y4)),'Spenden-Kalkulation-Schwimmer'!$Z$4:$Z$103,0))</f>
        <v>#REF!</v>
      </c>
      <c r="S5" s="39" t="e">
        <f aca="false">LARGE('Spenden-Kalkulation-Schwimmer'!$Z$4:$Z$103,ROWS('Spenden-Kalkulation-Schwimmer'!Z$4:Z4))</f>
        <v>#REF!</v>
      </c>
    </row>
    <row r="6" customFormat="false" ht="15" hidden="false" customHeight="false" outlineLevel="0" collapsed="false">
      <c r="A6" s="39" t="e">
        <f aca="false">INDEX('Spenden-Kalkulation-Schwimmer'!$H$4:$H$103,MATCH(LARGE('Spenden-Kalkulation-Schwimmer'!$L$4:$L$103,ROWS('Spenden-Kalkulation-Schwimmer'!$H$4:H5)),'Spenden-Kalkulation-Schwimmer'!$L$4:$L$103,0))</f>
        <v>#REF!</v>
      </c>
      <c r="B6" s="39" t="e">
        <f aca="false">INDEX('Spenden-Kalkulation-Schwimmer'!$I$4:$I$103,MATCH(LARGE('Spenden-Kalkulation-Schwimmer'!$L$4:$L$103,ROWS('Spenden-Kalkulation-Schwimmer'!$I$4:I5)),'Spenden-Kalkulation-Schwimmer'!$L$4:$L$103,0))</f>
        <v>#REF!</v>
      </c>
      <c r="C6" s="39" t="e">
        <f aca="false">INDEX('Spenden-Kalkulation-Schwimmer'!$J$4:$J$103,MATCH(LARGE('Spenden-Kalkulation-Schwimmer'!$L$4:$L$103,ROWS('Spenden-Kalkulation-Schwimmer'!$J$4:J5)),'Spenden-Kalkulation-Schwimmer'!$L$4:$L$103,0))</f>
        <v>#REF!</v>
      </c>
      <c r="D6" s="40" t="e">
        <f aca="false">INDEX('Spenden-Kalkulation-Schwimmer'!$K$4:$K$103,MATCH(LARGE('Spenden-Kalkulation-Schwimmer'!$L$4:$L$103,ROWS('Spenden-Kalkulation-Schwimmer'!$K$4:K5)),'Spenden-Kalkulation-Schwimmer'!$L$4:$L$103,0))</f>
        <v>#REF!</v>
      </c>
      <c r="E6" s="39" t="e">
        <f aca="false">LARGE('Spenden-Kalkulation-Schwimmer'!$L$4:$L$103,ROWS('Spenden-Kalkulation-Schwimmer'!L$4:L5))</f>
        <v>#REF!</v>
      </c>
      <c r="H6" s="39" t="e">
        <f aca="false">INDEX('Spenden-Kalkulation-Schwimmer'!$O$4:$O$103,MATCH(LARGE('Spenden-Kalkulation-Schwimmer'!$S$4:$S$103,ROWS('Spenden-Kalkulation-Schwimmer'!$O$4:O5)),'Spenden-Kalkulation-Schwimmer'!$S$4:$S$103,0))</f>
        <v>#REF!</v>
      </c>
      <c r="I6" s="39" t="e">
        <f aca="false">INDEX('Spenden-Kalkulation-Schwimmer'!$P$4:$P$103,MATCH(LARGE('Spenden-Kalkulation-Schwimmer'!$S$4:$S$103,ROWS('Spenden-Kalkulation-Schwimmer'!$P$4:P5)),'Spenden-Kalkulation-Schwimmer'!$S$4:$S$103,0))</f>
        <v>#REF!</v>
      </c>
      <c r="J6" s="39" t="e">
        <f aca="false">INDEX('Spenden-Kalkulation-Schwimmer'!$Q$4:$Q$103,MATCH(LARGE('Spenden-Kalkulation-Schwimmer'!$S$4:$S$103,ROWS('Spenden-Kalkulation-Schwimmer'!$Q$4:Q5)),'Spenden-Kalkulation-Schwimmer'!$S$4:$S$103,0))</f>
        <v>#REF!</v>
      </c>
      <c r="K6" s="40" t="e">
        <f aca="false">INDEX('Spenden-Kalkulation-Schwimmer'!$R$4:$R$103,MATCH(LARGE('Spenden-Kalkulation-Schwimmer'!$S$4:$S$103,ROWS('Spenden-Kalkulation-Schwimmer'!$R$4:R5)),'Spenden-Kalkulation-Schwimmer'!$S$4:$S$103,0))</f>
        <v>#REF!</v>
      </c>
      <c r="L6" s="39" t="e">
        <f aca="false">LARGE('Spenden-Kalkulation-Schwimmer'!$S$4:$S$103,ROWS('Spenden-Kalkulation-Schwimmer'!S$4:S5))</f>
        <v>#REF!</v>
      </c>
      <c r="O6" s="39" t="e">
        <f aca="false">INDEX('Spenden-Kalkulation-Schwimmer'!$V$4:$V$103,MATCH(LARGE('Spenden-Kalkulation-Schwimmer'!$Z$4:$Z$103,ROWS('Spenden-Kalkulation-Schwimmer'!$V$4:V5)),'Spenden-Kalkulation-Schwimmer'!$Z$4:$Z$103,0))</f>
        <v>#REF!</v>
      </c>
      <c r="P6" s="39" t="e">
        <f aca="false">INDEX('Spenden-Kalkulation-Schwimmer'!$W$4:$W$103,MATCH(LARGE('Spenden-Kalkulation-Schwimmer'!$Z$4:$Z$103,ROWS('Spenden-Kalkulation-Schwimmer'!$W$4:W5)),'Spenden-Kalkulation-Schwimmer'!$Z$4:$Z$103,0))</f>
        <v>#REF!</v>
      </c>
      <c r="Q6" s="39" t="e">
        <f aca="false">INDEX('Spenden-Kalkulation-Schwimmer'!$X$4:$X$103,MATCH(LARGE('Spenden-Kalkulation-Schwimmer'!$Z$4:$Z$103,ROWS('Spenden-Kalkulation-Schwimmer'!$X$4:X5)),'Spenden-Kalkulation-Schwimmer'!$Z$4:$Z$103,0))</f>
        <v>#REF!</v>
      </c>
      <c r="R6" s="40" t="e">
        <f aca="false">INDEX('Spenden-Kalkulation-Schwimmer'!$Y$4:$Y$103,MATCH(LARGE('Spenden-Kalkulation-Schwimmer'!$Z$4:$Z$103,ROWS('Spenden-Kalkulation-Schwimmer'!$Y$4:Y5)),'Spenden-Kalkulation-Schwimmer'!$Z$4:$Z$103,0))</f>
        <v>#REF!</v>
      </c>
      <c r="S6" s="39" t="e">
        <f aca="false">LARGE('Spenden-Kalkulation-Schwimmer'!$Z$4:$Z$103,ROWS('Spenden-Kalkulation-Schwimmer'!Z$4:Z5))</f>
        <v>#REF!</v>
      </c>
    </row>
    <row r="7" customFormat="false" ht="15" hidden="false" customHeight="false" outlineLevel="0" collapsed="false">
      <c r="A7" s="39" t="e">
        <f aca="false">INDEX('Spenden-Kalkulation-Schwimmer'!$H$4:$H$103,MATCH(LARGE('Spenden-Kalkulation-Schwimmer'!$L$4:$L$103,ROWS('Spenden-Kalkulation-Schwimmer'!$H$4:H6)),'Spenden-Kalkulation-Schwimmer'!$L$4:$L$103,0))</f>
        <v>#REF!</v>
      </c>
      <c r="B7" s="39" t="e">
        <f aca="false">INDEX('Spenden-Kalkulation-Schwimmer'!$I$4:$I$103,MATCH(LARGE('Spenden-Kalkulation-Schwimmer'!$L$4:$L$103,ROWS('Spenden-Kalkulation-Schwimmer'!$I$4:I6)),'Spenden-Kalkulation-Schwimmer'!$L$4:$L$103,0))</f>
        <v>#REF!</v>
      </c>
      <c r="C7" s="39" t="e">
        <f aca="false">INDEX('Spenden-Kalkulation-Schwimmer'!$J$4:$J$103,MATCH(LARGE('Spenden-Kalkulation-Schwimmer'!$L$4:$L$103,ROWS('Spenden-Kalkulation-Schwimmer'!$J$4:J6)),'Spenden-Kalkulation-Schwimmer'!$L$4:$L$103,0))</f>
        <v>#REF!</v>
      </c>
      <c r="D7" s="40" t="e">
        <f aca="false">INDEX('Spenden-Kalkulation-Schwimmer'!$K$4:$K$103,MATCH(LARGE('Spenden-Kalkulation-Schwimmer'!$L$4:$L$103,ROWS('Spenden-Kalkulation-Schwimmer'!$K$4:K6)),'Spenden-Kalkulation-Schwimmer'!$L$4:$L$103,0))</f>
        <v>#REF!</v>
      </c>
      <c r="E7" s="39" t="e">
        <f aca="false">LARGE('Spenden-Kalkulation-Schwimmer'!$L$4:$L$103,ROWS('Spenden-Kalkulation-Schwimmer'!L$4:L6))</f>
        <v>#REF!</v>
      </c>
      <c r="H7" s="39" t="e">
        <f aca="false">INDEX('Spenden-Kalkulation-Schwimmer'!$O$4:$O$103,MATCH(LARGE('Spenden-Kalkulation-Schwimmer'!$S$4:$S$103,ROWS('Spenden-Kalkulation-Schwimmer'!$O$4:O6)),'Spenden-Kalkulation-Schwimmer'!$S$4:$S$103,0))</f>
        <v>#REF!</v>
      </c>
      <c r="I7" s="39" t="e">
        <f aca="false">INDEX('Spenden-Kalkulation-Schwimmer'!$P$4:$P$103,MATCH(LARGE('Spenden-Kalkulation-Schwimmer'!$S$4:$S$103,ROWS('Spenden-Kalkulation-Schwimmer'!$P$4:P6)),'Spenden-Kalkulation-Schwimmer'!$S$4:$S$103,0))</f>
        <v>#REF!</v>
      </c>
      <c r="J7" s="39" t="e">
        <f aca="false">INDEX('Spenden-Kalkulation-Schwimmer'!$Q$4:$Q$103,MATCH(LARGE('Spenden-Kalkulation-Schwimmer'!$S$4:$S$103,ROWS('Spenden-Kalkulation-Schwimmer'!$Q$4:Q6)),'Spenden-Kalkulation-Schwimmer'!$S$4:$S$103,0))</f>
        <v>#REF!</v>
      </c>
      <c r="K7" s="40" t="e">
        <f aca="false">INDEX('Spenden-Kalkulation-Schwimmer'!$R$4:$R$103,MATCH(LARGE('Spenden-Kalkulation-Schwimmer'!$S$4:$S$103,ROWS('Spenden-Kalkulation-Schwimmer'!$R$4:R6)),'Spenden-Kalkulation-Schwimmer'!$S$4:$S$103,0))</f>
        <v>#REF!</v>
      </c>
      <c r="L7" s="39" t="e">
        <f aca="false">LARGE('Spenden-Kalkulation-Schwimmer'!$S$4:$S$103,ROWS('Spenden-Kalkulation-Schwimmer'!S$4:S6))</f>
        <v>#REF!</v>
      </c>
      <c r="O7" s="39" t="e">
        <f aca="false">INDEX('Spenden-Kalkulation-Schwimmer'!$V$4:$V$103,MATCH(LARGE('Spenden-Kalkulation-Schwimmer'!$Z$4:$Z$103,ROWS('Spenden-Kalkulation-Schwimmer'!$V$4:V6)),'Spenden-Kalkulation-Schwimmer'!$Z$4:$Z$103,0))</f>
        <v>#REF!</v>
      </c>
      <c r="P7" s="39" t="e">
        <f aca="false">INDEX('Spenden-Kalkulation-Schwimmer'!$W$4:$W$103,MATCH(LARGE('Spenden-Kalkulation-Schwimmer'!$Z$4:$Z$103,ROWS('Spenden-Kalkulation-Schwimmer'!$W$4:W6)),'Spenden-Kalkulation-Schwimmer'!$Z$4:$Z$103,0))</f>
        <v>#REF!</v>
      </c>
      <c r="Q7" s="39" t="e">
        <f aca="false">INDEX('Spenden-Kalkulation-Schwimmer'!$X$4:$X$103,MATCH(LARGE('Spenden-Kalkulation-Schwimmer'!$Z$4:$Z$103,ROWS('Spenden-Kalkulation-Schwimmer'!$X$4:X6)),'Spenden-Kalkulation-Schwimmer'!$Z$4:$Z$103,0))</f>
        <v>#REF!</v>
      </c>
      <c r="R7" s="40" t="e">
        <f aca="false">INDEX('Spenden-Kalkulation-Schwimmer'!$Y$4:$Y$103,MATCH(LARGE('Spenden-Kalkulation-Schwimmer'!$Z$4:$Z$103,ROWS('Spenden-Kalkulation-Schwimmer'!$Y$4:Y6)),'Spenden-Kalkulation-Schwimmer'!$Z$4:$Z$103,0))</f>
        <v>#REF!</v>
      </c>
      <c r="S7" s="39" t="e">
        <f aca="false">LARGE('Spenden-Kalkulation-Schwimmer'!$Z$4:$Z$103,ROWS('Spenden-Kalkulation-Schwimmer'!Z$4:Z6))</f>
        <v>#REF!</v>
      </c>
    </row>
    <row r="8" customFormat="false" ht="15" hidden="false" customHeight="false" outlineLevel="0" collapsed="false">
      <c r="A8" s="39" t="e">
        <f aca="false">INDEX('Spenden-Kalkulation-Schwimmer'!$H$4:$H$103,MATCH(LARGE('Spenden-Kalkulation-Schwimmer'!$L$4:$L$103,ROWS('Spenden-Kalkulation-Schwimmer'!$H$4:H7)),'Spenden-Kalkulation-Schwimmer'!$L$4:$L$103,0))</f>
        <v>#REF!</v>
      </c>
      <c r="B8" s="39" t="e">
        <f aca="false">INDEX('Spenden-Kalkulation-Schwimmer'!$I$4:$I$103,MATCH(LARGE('Spenden-Kalkulation-Schwimmer'!$L$4:$L$103,ROWS('Spenden-Kalkulation-Schwimmer'!$I$4:I7)),'Spenden-Kalkulation-Schwimmer'!$L$4:$L$103,0))</f>
        <v>#REF!</v>
      </c>
      <c r="C8" s="39" t="e">
        <f aca="false">INDEX('Spenden-Kalkulation-Schwimmer'!$J$4:$J$103,MATCH(LARGE('Spenden-Kalkulation-Schwimmer'!$L$4:$L$103,ROWS('Spenden-Kalkulation-Schwimmer'!$J$4:J7)),'Spenden-Kalkulation-Schwimmer'!$L$4:$L$103,0))</f>
        <v>#REF!</v>
      </c>
      <c r="D8" s="40" t="e">
        <f aca="false">INDEX('Spenden-Kalkulation-Schwimmer'!$K$4:$K$103,MATCH(LARGE('Spenden-Kalkulation-Schwimmer'!$L$4:$L$103,ROWS('Spenden-Kalkulation-Schwimmer'!$K$4:K7)),'Spenden-Kalkulation-Schwimmer'!$L$4:$L$103,0))</f>
        <v>#REF!</v>
      </c>
      <c r="E8" s="39" t="e">
        <f aca="false">LARGE('Spenden-Kalkulation-Schwimmer'!$L$4:$L$103,ROWS('Spenden-Kalkulation-Schwimmer'!L$4:L7))</f>
        <v>#REF!</v>
      </c>
      <c r="H8" s="39" t="e">
        <f aca="false">INDEX('Spenden-Kalkulation-Schwimmer'!$O$4:$O$103,MATCH(LARGE('Spenden-Kalkulation-Schwimmer'!$S$4:$S$103,ROWS('Spenden-Kalkulation-Schwimmer'!$O$4:O7)),'Spenden-Kalkulation-Schwimmer'!$S$4:$S$103,0))</f>
        <v>#REF!</v>
      </c>
      <c r="I8" s="39" t="e">
        <f aca="false">INDEX('Spenden-Kalkulation-Schwimmer'!$P$4:$P$103,MATCH(LARGE('Spenden-Kalkulation-Schwimmer'!$S$4:$S$103,ROWS('Spenden-Kalkulation-Schwimmer'!$P$4:P7)),'Spenden-Kalkulation-Schwimmer'!$S$4:$S$103,0))</f>
        <v>#REF!</v>
      </c>
      <c r="J8" s="39" t="e">
        <f aca="false">INDEX('Spenden-Kalkulation-Schwimmer'!$Q$4:$Q$103,MATCH(LARGE('Spenden-Kalkulation-Schwimmer'!$S$4:$S$103,ROWS('Spenden-Kalkulation-Schwimmer'!$Q$4:Q7)),'Spenden-Kalkulation-Schwimmer'!$S$4:$S$103,0))</f>
        <v>#REF!</v>
      </c>
      <c r="K8" s="40" t="e">
        <f aca="false">INDEX('Spenden-Kalkulation-Schwimmer'!$R$4:$R$103,MATCH(LARGE('Spenden-Kalkulation-Schwimmer'!$S$4:$S$103,ROWS('Spenden-Kalkulation-Schwimmer'!$R$4:R7)),'Spenden-Kalkulation-Schwimmer'!$S$4:$S$103,0))</f>
        <v>#REF!</v>
      </c>
      <c r="L8" s="39" t="e">
        <f aca="false">LARGE('Spenden-Kalkulation-Schwimmer'!$S$4:$S$103,ROWS('Spenden-Kalkulation-Schwimmer'!S$4:S7))</f>
        <v>#REF!</v>
      </c>
      <c r="O8" s="39" t="e">
        <f aca="false">INDEX('Spenden-Kalkulation-Schwimmer'!$V$4:$V$103,MATCH(LARGE('Spenden-Kalkulation-Schwimmer'!$Z$4:$Z$103,ROWS('Spenden-Kalkulation-Schwimmer'!$V$4:V7)),'Spenden-Kalkulation-Schwimmer'!$Z$4:$Z$103,0))</f>
        <v>#REF!</v>
      </c>
      <c r="P8" s="39" t="e">
        <f aca="false">INDEX('Spenden-Kalkulation-Schwimmer'!$W$4:$W$103,MATCH(LARGE('Spenden-Kalkulation-Schwimmer'!$Z$4:$Z$103,ROWS('Spenden-Kalkulation-Schwimmer'!$W$4:W7)),'Spenden-Kalkulation-Schwimmer'!$Z$4:$Z$103,0))</f>
        <v>#REF!</v>
      </c>
      <c r="Q8" s="39" t="e">
        <f aca="false">INDEX('Spenden-Kalkulation-Schwimmer'!$X$4:$X$103,MATCH(LARGE('Spenden-Kalkulation-Schwimmer'!$Z$4:$Z$103,ROWS('Spenden-Kalkulation-Schwimmer'!$X$4:X7)),'Spenden-Kalkulation-Schwimmer'!$Z$4:$Z$103,0))</f>
        <v>#REF!</v>
      </c>
      <c r="R8" s="40" t="e">
        <f aca="false">INDEX('Spenden-Kalkulation-Schwimmer'!$Y$4:$Y$103,MATCH(LARGE('Spenden-Kalkulation-Schwimmer'!$Z$4:$Z$103,ROWS('Spenden-Kalkulation-Schwimmer'!$Y$4:Y7)),'Spenden-Kalkulation-Schwimmer'!$Z$4:$Z$103,0))</f>
        <v>#REF!</v>
      </c>
      <c r="S8" s="39" t="e">
        <f aca="false">LARGE('Spenden-Kalkulation-Schwimmer'!$Z$4:$Z$103,ROWS('Spenden-Kalkulation-Schwimmer'!Z$4:Z7))</f>
        <v>#REF!</v>
      </c>
    </row>
    <row r="9" customFormat="false" ht="15" hidden="false" customHeight="false" outlineLevel="0" collapsed="false">
      <c r="A9" s="39" t="e">
        <f aca="false">INDEX('Spenden-Kalkulation-Schwimmer'!$H$4:$H$103,MATCH(LARGE('Spenden-Kalkulation-Schwimmer'!$L$4:$L$103,ROWS('Spenden-Kalkulation-Schwimmer'!$H$4:H8)),'Spenden-Kalkulation-Schwimmer'!$L$4:$L$103,0))</f>
        <v>#REF!</v>
      </c>
      <c r="B9" s="39" t="e">
        <f aca="false">INDEX('Spenden-Kalkulation-Schwimmer'!$I$4:$I$103,MATCH(LARGE('Spenden-Kalkulation-Schwimmer'!$L$4:$L$103,ROWS('Spenden-Kalkulation-Schwimmer'!$I$4:I8)),'Spenden-Kalkulation-Schwimmer'!$L$4:$L$103,0))</f>
        <v>#REF!</v>
      </c>
      <c r="C9" s="39" t="e">
        <f aca="false">INDEX('Spenden-Kalkulation-Schwimmer'!$J$4:$J$103,MATCH(LARGE('Spenden-Kalkulation-Schwimmer'!$L$4:$L$103,ROWS('Spenden-Kalkulation-Schwimmer'!$J$4:J8)),'Spenden-Kalkulation-Schwimmer'!$L$4:$L$103,0))</f>
        <v>#REF!</v>
      </c>
      <c r="D9" s="40" t="e">
        <f aca="false">INDEX('Spenden-Kalkulation-Schwimmer'!$K$4:$K$103,MATCH(LARGE('Spenden-Kalkulation-Schwimmer'!$L$4:$L$103,ROWS('Spenden-Kalkulation-Schwimmer'!$K$4:K8)),'Spenden-Kalkulation-Schwimmer'!$L$4:$L$103,0))</f>
        <v>#REF!</v>
      </c>
      <c r="E9" s="39" t="e">
        <f aca="false">LARGE('Spenden-Kalkulation-Schwimmer'!$L$4:$L$103,ROWS('Spenden-Kalkulation-Schwimmer'!L$4:L8))</f>
        <v>#REF!</v>
      </c>
      <c r="H9" s="39" t="e">
        <f aca="false">INDEX('Spenden-Kalkulation-Schwimmer'!$O$4:$O$103,MATCH(LARGE('Spenden-Kalkulation-Schwimmer'!$S$4:$S$103,ROWS('Spenden-Kalkulation-Schwimmer'!$O$4:O8)),'Spenden-Kalkulation-Schwimmer'!$S$4:$S$103,0))</f>
        <v>#REF!</v>
      </c>
      <c r="I9" s="39" t="e">
        <f aca="false">INDEX('Spenden-Kalkulation-Schwimmer'!$P$4:$P$103,MATCH(LARGE('Spenden-Kalkulation-Schwimmer'!$S$4:$S$103,ROWS('Spenden-Kalkulation-Schwimmer'!$P$4:P8)),'Spenden-Kalkulation-Schwimmer'!$S$4:$S$103,0))</f>
        <v>#REF!</v>
      </c>
      <c r="J9" s="39" t="e">
        <f aca="false">INDEX('Spenden-Kalkulation-Schwimmer'!$Q$4:$Q$103,MATCH(LARGE('Spenden-Kalkulation-Schwimmer'!$S$4:$S$103,ROWS('Spenden-Kalkulation-Schwimmer'!$Q$4:Q8)),'Spenden-Kalkulation-Schwimmer'!$S$4:$S$103,0))</f>
        <v>#REF!</v>
      </c>
      <c r="K9" s="40" t="e">
        <f aca="false">INDEX('Spenden-Kalkulation-Schwimmer'!$R$4:$R$103,MATCH(LARGE('Spenden-Kalkulation-Schwimmer'!$S$4:$S$103,ROWS('Spenden-Kalkulation-Schwimmer'!$R$4:R8)),'Spenden-Kalkulation-Schwimmer'!$S$4:$S$103,0))</f>
        <v>#REF!</v>
      </c>
      <c r="L9" s="39" t="e">
        <f aca="false">LARGE('Spenden-Kalkulation-Schwimmer'!$S$4:$S$103,ROWS('Spenden-Kalkulation-Schwimmer'!S$4:S8))</f>
        <v>#REF!</v>
      </c>
      <c r="O9" s="39" t="e">
        <f aca="false">INDEX('Spenden-Kalkulation-Schwimmer'!$V$4:$V$103,MATCH(LARGE('Spenden-Kalkulation-Schwimmer'!$Z$4:$Z$103,ROWS('Spenden-Kalkulation-Schwimmer'!$V$4:V8)),'Spenden-Kalkulation-Schwimmer'!$Z$4:$Z$103,0))</f>
        <v>#REF!</v>
      </c>
      <c r="P9" s="39" t="e">
        <f aca="false">INDEX('Spenden-Kalkulation-Schwimmer'!$W$4:$W$103,MATCH(LARGE('Spenden-Kalkulation-Schwimmer'!$Z$4:$Z$103,ROWS('Spenden-Kalkulation-Schwimmer'!$W$4:W8)),'Spenden-Kalkulation-Schwimmer'!$Z$4:$Z$103,0))</f>
        <v>#REF!</v>
      </c>
      <c r="Q9" s="39" t="e">
        <f aca="false">INDEX('Spenden-Kalkulation-Schwimmer'!$X$4:$X$103,MATCH(LARGE('Spenden-Kalkulation-Schwimmer'!$Z$4:$Z$103,ROWS('Spenden-Kalkulation-Schwimmer'!$X$4:X8)),'Spenden-Kalkulation-Schwimmer'!$Z$4:$Z$103,0))</f>
        <v>#REF!</v>
      </c>
      <c r="R9" s="40" t="e">
        <f aca="false">INDEX('Spenden-Kalkulation-Schwimmer'!$Y$4:$Y$103,MATCH(LARGE('Spenden-Kalkulation-Schwimmer'!$Z$4:$Z$103,ROWS('Spenden-Kalkulation-Schwimmer'!$Y$4:Y8)),'Spenden-Kalkulation-Schwimmer'!$Z$4:$Z$103,0))</f>
        <v>#REF!</v>
      </c>
      <c r="S9" s="39" t="e">
        <f aca="false">LARGE('Spenden-Kalkulation-Schwimmer'!$Z$4:$Z$103,ROWS('Spenden-Kalkulation-Schwimmer'!Z$4:Z8))</f>
        <v>#REF!</v>
      </c>
    </row>
    <row r="18" customFormat="false" ht="15" hidden="false" customHeight="false" outlineLevel="0" collapsed="false">
      <c r="A18" s="0" t="s">
        <v>354</v>
      </c>
      <c r="H18" s="0" t="s">
        <v>355</v>
      </c>
    </row>
    <row r="19" customFormat="false" ht="28.35" hidden="false" customHeight="false" outlineLevel="0" collapsed="false">
      <c r="A19" s="36" t="s">
        <v>2</v>
      </c>
      <c r="B19" s="37" t="s">
        <v>3</v>
      </c>
      <c r="C19" s="37" t="s">
        <v>4</v>
      </c>
      <c r="D19" s="38" t="s">
        <v>356</v>
      </c>
      <c r="E19" s="38" t="s">
        <v>7</v>
      </c>
      <c r="F19" s="38" t="s">
        <v>352</v>
      </c>
      <c r="H19" s="36" t="s">
        <v>2</v>
      </c>
      <c r="I19" s="37" t="s">
        <v>3</v>
      </c>
      <c r="J19" s="37" t="s">
        <v>4</v>
      </c>
      <c r="K19" s="38" t="s">
        <v>356</v>
      </c>
      <c r="L19" s="38" t="s">
        <v>335</v>
      </c>
      <c r="M19" s="38" t="s">
        <v>352</v>
      </c>
    </row>
    <row r="20" customFormat="false" ht="15" hidden="false" customHeight="false" outlineLevel="0" collapsed="false">
      <c r="A20" s="39" t="n">
        <f aca="false">INDEX('Stammdaten Teams'!$A$4:$A$102,MATCH(LARGE('Stammdaten Teams'!$E$4:$E$102,ROWS('Stammdaten Teams'!$A$4:A4)),'Stammdaten Teams'!$E$4:$E$102,0))</f>
        <v>503</v>
      </c>
      <c r="B20" s="39" t="str">
        <f aca="false">INDEX('Stammdaten Teams'!$B$4:$B$102,MATCH(LARGE('Stammdaten Teams'!$E$4:$E$102,ROWS('Stammdaten Teams'!$B$4:B4)),'Stammdaten Teams'!$E$4:$E$102,0))</f>
        <v>TVV Schwimm</v>
      </c>
      <c r="C20" s="39" t="str">
        <f aca="false">INDEX('Stammdaten Teams'!$C$4:$C$102,MATCH(LARGE('Stammdaten Teams'!$E$4:$E$102,ROWS('Stammdaten Teams'!$C$4:C4)),'Stammdaten Teams'!$E$4:$E$102,0))</f>
        <v>Tim Bauer</v>
      </c>
      <c r="D20" s="39" t="n">
        <f aca="false">INDEX('Stammdaten Teams'!$D$4:$D$102,MATCH(LARGE('Stammdaten Teams'!$E$4:$E$102,ROWS('Stammdaten Teams'!$D$4:D4)),'Stammdaten Teams'!$E$4:$E$102,0))</f>
        <v>20</v>
      </c>
      <c r="E20" s="29" t="n">
        <f aca="false">LARGE('Stammdaten Teams'!$E$4:$E$102,ROWS('Stammdaten Teams'!E$4:E4))</f>
        <v>1266</v>
      </c>
      <c r="F20" s="40" t="n">
        <f aca="false">INDEX('Stammdaten Teams'!$G$4:$G$102,MATCH(LARGE('Stammdaten Teams'!$E$4:$E$102,ROWS('Stammdaten Teams'!$G$4:G4)),'Stammdaten Teams'!$E$4:$E$102,0))</f>
        <v>633</v>
      </c>
      <c r="H20" s="39" t="n">
        <f aca="false">INDEX('Stammdaten Teams'!$A$4:$A$102,MATCH(LARGE('Stammdaten Teams'!$H$4:$H$102,ROWS('Stammdaten Teams'!$A$4:A4)),'Stammdaten Teams'!$H$4:$H$102,0))</f>
        <v>503</v>
      </c>
      <c r="I20" s="39" t="str">
        <f aca="false">INDEX('Stammdaten Teams'!$B$4:$B$102,MATCH(LARGE('Stammdaten Teams'!$H$4:$H$102,ROWS('Stammdaten Teams'!$B$4:B4)),'Stammdaten Teams'!$H$4:$H$102,0))</f>
        <v>TVV Schwimm</v>
      </c>
      <c r="J20" s="39" t="str">
        <f aca="false">INDEX('Stammdaten Teams'!$C$4:$C$102,MATCH(LARGE('Stammdaten Teams'!$H$4:$H$102,ROWS('Stammdaten Teams'!$C$4:C4)),'Stammdaten Teams'!$H$4:$H$102,0))</f>
        <v>Tim Bauer</v>
      </c>
      <c r="K20" s="39" t="n">
        <f aca="false">INDEX('Stammdaten Teams'!$D$4:$D$102,MATCH(LARGE('Stammdaten Teams'!$H$4:$H$102,ROWS('Stammdaten Teams'!$D$4:D4)),'Stammdaten Teams'!$H$4:$H$102,0))</f>
        <v>20</v>
      </c>
      <c r="L20" s="41" t="n">
        <f aca="false">LARGE('Stammdaten Teams'!$H$4:$H$102,ROWS('Stammdaten Teams'!H$4:H4))</f>
        <v>63.3</v>
      </c>
      <c r="M20" s="40" t="n">
        <f aca="false">INDEX('Stammdaten Teams'!$G$4:$G$102,MATCH(LARGE('Stammdaten Teams'!$H$4:$H$102,ROWS('Stammdaten Teams'!$G$4:G4)),'Stammdaten Teams'!$H$4:$H$102,0))</f>
        <v>633</v>
      </c>
    </row>
    <row r="21" customFormat="false" ht="15" hidden="false" customHeight="false" outlineLevel="0" collapsed="false">
      <c r="A21" s="39" t="n">
        <f aca="false">INDEX('Stammdaten Teams'!$A$4:$A$102,MATCH(LARGE('Stammdaten Teams'!$E$4:$E$102,ROWS('Stammdaten Teams'!$A$4:A5)),'Stammdaten Teams'!$E$4:$E$102,0))</f>
        <v>503</v>
      </c>
      <c r="B21" s="39" t="str">
        <f aca="false">INDEX('Stammdaten Teams'!$B$4:$B$102,MATCH(LARGE('Stammdaten Teams'!$E$4:$E$102,ROWS('Stammdaten Teams'!$B$4:B5)),'Stammdaten Teams'!$E$4:$E$102,0))</f>
        <v>TVV Schwimm</v>
      </c>
      <c r="C21" s="39" t="str">
        <f aca="false">INDEX('Stammdaten Teams'!$C$4:$C$102,MATCH(LARGE('Stammdaten Teams'!$E$4:$E$102,ROWS('Stammdaten Teams'!$C$4:C5)),'Stammdaten Teams'!$E$4:$E$102,0))</f>
        <v>Tim Bauer</v>
      </c>
      <c r="D21" s="39" t="n">
        <f aca="false">INDEX('Stammdaten Teams'!$D$4:$D$102,MATCH(LARGE('Stammdaten Teams'!$E$4:$E$102,ROWS('Stammdaten Teams'!$D$4:D5)),'Stammdaten Teams'!$E$4:$E$102,0))</f>
        <v>20</v>
      </c>
      <c r="E21" s="29" t="n">
        <f aca="false">LARGE('Stammdaten Teams'!$E$4:$E$102,ROWS('Stammdaten Teams'!E$4:E5))</f>
        <v>1266</v>
      </c>
      <c r="F21" s="40" t="n">
        <f aca="false">INDEX('Stammdaten Teams'!$G$4:$G$102,MATCH(LARGE('Stammdaten Teams'!$E$4:$E$102,ROWS('Stammdaten Teams'!$G$4:G5)),'Stammdaten Teams'!$E$4:$E$102,0))</f>
        <v>633</v>
      </c>
      <c r="H21" s="39" t="n">
        <f aca="false">INDEX('Stammdaten Teams'!$A$4:$A$102,MATCH(LARGE('Stammdaten Teams'!$H$4:$H$102,ROWS('Stammdaten Teams'!$A$4:A5)),'Stammdaten Teams'!$H$4:$H$102,0))</f>
        <v>503</v>
      </c>
      <c r="I21" s="39" t="str">
        <f aca="false">INDEX('Stammdaten Teams'!$B$4:$B$102,MATCH(LARGE('Stammdaten Teams'!$H$4:$H$102,ROWS('Stammdaten Teams'!$B$4:B5)),'Stammdaten Teams'!$H$4:$H$102,0))</f>
        <v>TVV Schwimm</v>
      </c>
      <c r="J21" s="39" t="str">
        <f aca="false">INDEX('Stammdaten Teams'!$C$4:$C$102,MATCH(LARGE('Stammdaten Teams'!$H$4:$H$102,ROWS('Stammdaten Teams'!$C$4:C5)),'Stammdaten Teams'!$H$4:$H$102,0))</f>
        <v>Tim Bauer</v>
      </c>
      <c r="K21" s="39" t="n">
        <f aca="false">INDEX('Stammdaten Teams'!$D$4:$D$102,MATCH(LARGE('Stammdaten Teams'!$H$4:$H$102,ROWS('Stammdaten Teams'!$D$4:D5)),'Stammdaten Teams'!$H$4:$H$102,0))</f>
        <v>20</v>
      </c>
      <c r="L21" s="41" t="n">
        <f aca="false">LARGE('Stammdaten Teams'!$H$4:$H$102,ROWS('Stammdaten Teams'!H$4:H5))</f>
        <v>63.3</v>
      </c>
      <c r="M21" s="40" t="n">
        <f aca="false">INDEX('Stammdaten Teams'!$G$4:$G$102,MATCH(LARGE('Stammdaten Teams'!$H$4:$H$102,ROWS('Stammdaten Teams'!$G$4:G5)),'Stammdaten Teams'!$H$4:$H$102,0))</f>
        <v>633</v>
      </c>
    </row>
    <row r="22" customFormat="false" ht="15" hidden="false" customHeight="false" outlineLevel="0" collapsed="false">
      <c r="A22" s="39" t="n">
        <f aca="false">INDEX('Stammdaten Teams'!$A$4:$A$102,MATCH(LARGE('Stammdaten Teams'!$E$4:$E$102,ROWS('Stammdaten Teams'!$A$4:A6)),'Stammdaten Teams'!$E$4:$E$102,0))</f>
        <v>502</v>
      </c>
      <c r="B22" s="39" t="str">
        <f aca="false">INDEX('Stammdaten Teams'!$B$4:$B$102,MATCH(LARGE('Stammdaten Teams'!$E$4:$E$102,ROWS('Stammdaten Teams'!$B$4:B6)),'Stammdaten Teams'!$E$4:$E$102,0))</f>
        <v>DLRG</v>
      </c>
      <c r="C22" s="39" t="str">
        <f aca="false">INDEX('Stammdaten Teams'!$C$4:$C$102,MATCH(LARGE('Stammdaten Teams'!$E$4:$E$102,ROWS('Stammdaten Teams'!$C$4:C6)),'Stammdaten Teams'!$E$4:$E$102,0))</f>
        <v>Thomas Schmid</v>
      </c>
      <c r="D22" s="39" t="n">
        <f aca="false">INDEX('Stammdaten Teams'!$D$4:$D$102,MATCH(LARGE('Stammdaten Teams'!$E$4:$E$102,ROWS('Stammdaten Teams'!$D$4:D6)),'Stammdaten Teams'!$E$4:$E$102,0))</f>
        <v>16</v>
      </c>
      <c r="E22" s="29" t="n">
        <f aca="false">LARGE('Stammdaten Teams'!$E$4:$E$102,ROWS('Stammdaten Teams'!E$4:E6))</f>
        <v>769</v>
      </c>
      <c r="F22" s="40" t="n">
        <f aca="false">INDEX('Stammdaten Teams'!$G$4:$G$102,MATCH(LARGE('Stammdaten Teams'!$E$4:$E$102,ROWS('Stammdaten Teams'!$G$4:G6)),'Stammdaten Teams'!$E$4:$E$102,0))</f>
        <v>384.5</v>
      </c>
      <c r="H22" s="39" t="n">
        <f aca="false">INDEX('Stammdaten Teams'!$A$4:$A$102,MATCH(LARGE('Stammdaten Teams'!$H$4:$H$102,ROWS('Stammdaten Teams'!$A$4:A6)),'Stammdaten Teams'!$H$4:$H$102,0))</f>
        <v>505</v>
      </c>
      <c r="I22" s="39" t="str">
        <f aca="false">INDEX('Stammdaten Teams'!$B$4:$B$102,MATCH(LARGE('Stammdaten Teams'!$H$4:$H$102,ROWS('Stammdaten Teams'!$B$4:B6)),'Stammdaten Teams'!$H$4:$H$102,0))</f>
        <v>Kanu Klub</v>
      </c>
      <c r="J22" s="39" t="str">
        <f aca="false">INDEX('Stammdaten Teams'!$C$4:$C$102,MATCH(LARGE('Stammdaten Teams'!$H$4:$H$102,ROWS('Stammdaten Teams'!$C$4:C6)),'Stammdaten Teams'!$H$4:$H$102,0))</f>
        <v>Michael Fischer</v>
      </c>
      <c r="K22" s="39" t="n">
        <f aca="false">INDEX('Stammdaten Teams'!$D$4:$D$102,MATCH(LARGE('Stammdaten Teams'!$H$4:$H$102,ROWS('Stammdaten Teams'!$D$4:D6)),'Stammdaten Teams'!$H$4:$H$102,0))</f>
        <v>3</v>
      </c>
      <c r="L22" s="41" t="n">
        <f aca="false">LARGE('Stammdaten Teams'!$H$4:$H$102,ROWS('Stammdaten Teams'!H$4:H6))</f>
        <v>53</v>
      </c>
      <c r="M22" s="40" t="n">
        <f aca="false">INDEX('Stammdaten Teams'!$G$4:$G$102,MATCH(LARGE('Stammdaten Teams'!$H$4:$H$102,ROWS('Stammdaten Teams'!$G$4:G6)),'Stammdaten Teams'!$H$4:$H$102,0))</f>
        <v>79.5</v>
      </c>
    </row>
    <row r="23" customFormat="false" ht="15" hidden="false" customHeight="false" outlineLevel="0" collapsed="false">
      <c r="A23" s="39" t="n">
        <f aca="false">INDEX('Stammdaten Teams'!$A$4:$A$102,MATCH(LARGE('Stammdaten Teams'!$E$4:$E$102,ROWS('Stammdaten Teams'!$A$4:A7)),'Stammdaten Teams'!$E$4:$E$102,0))</f>
        <v>502</v>
      </c>
      <c r="B23" s="39" t="str">
        <f aca="false">INDEX('Stammdaten Teams'!$B$4:$B$102,MATCH(LARGE('Stammdaten Teams'!$E$4:$E$102,ROWS('Stammdaten Teams'!$B$4:B7)),'Stammdaten Teams'!$E$4:$E$102,0))</f>
        <v>DLRG</v>
      </c>
      <c r="C23" s="39" t="str">
        <f aca="false">INDEX('Stammdaten Teams'!$C$4:$C$102,MATCH(LARGE('Stammdaten Teams'!$E$4:$E$102,ROWS('Stammdaten Teams'!$C$4:C7)),'Stammdaten Teams'!$E$4:$E$102,0))</f>
        <v>Thomas Schmid</v>
      </c>
      <c r="D23" s="39" t="n">
        <f aca="false">INDEX('Stammdaten Teams'!$D$4:$D$102,MATCH(LARGE('Stammdaten Teams'!$E$4:$E$102,ROWS('Stammdaten Teams'!$D$4:D7)),'Stammdaten Teams'!$E$4:$E$102,0))</f>
        <v>16</v>
      </c>
      <c r="E23" s="29" t="n">
        <f aca="false">LARGE('Stammdaten Teams'!$E$4:$E$102,ROWS('Stammdaten Teams'!E$4:E7))</f>
        <v>769</v>
      </c>
      <c r="F23" s="40" t="n">
        <f aca="false">INDEX('Stammdaten Teams'!$G$4:$G$102,MATCH(LARGE('Stammdaten Teams'!$E$4:$E$102,ROWS('Stammdaten Teams'!$G$4:G7)),'Stammdaten Teams'!$E$4:$E$102,0))</f>
        <v>384.5</v>
      </c>
      <c r="H23" s="39" t="n">
        <f aca="false">INDEX('Stammdaten Teams'!$A$4:$A$102,MATCH(LARGE('Stammdaten Teams'!$H$4:$H$102,ROWS('Stammdaten Teams'!$A$4:A7)),'Stammdaten Teams'!$H$4:$H$102,0))</f>
        <v>505</v>
      </c>
      <c r="I23" s="39" t="str">
        <f aca="false">INDEX('Stammdaten Teams'!$B$4:$B$102,MATCH(LARGE('Stammdaten Teams'!$H$4:$H$102,ROWS('Stammdaten Teams'!$B$4:B7)),'Stammdaten Teams'!$H$4:$H$102,0))</f>
        <v>Kanu Klub</v>
      </c>
      <c r="J23" s="39" t="str">
        <f aca="false">INDEX('Stammdaten Teams'!$C$4:$C$102,MATCH(LARGE('Stammdaten Teams'!$H$4:$H$102,ROWS('Stammdaten Teams'!$C$4:C7)),'Stammdaten Teams'!$H$4:$H$102,0))</f>
        <v>Michael Fischer</v>
      </c>
      <c r="K23" s="39" t="n">
        <f aca="false">INDEX('Stammdaten Teams'!$D$4:$D$102,MATCH(LARGE('Stammdaten Teams'!$H$4:$H$102,ROWS('Stammdaten Teams'!$D$4:D7)),'Stammdaten Teams'!$H$4:$H$102,0))</f>
        <v>3</v>
      </c>
      <c r="L23" s="41" t="n">
        <f aca="false">LARGE('Stammdaten Teams'!$H$4:$H$102,ROWS('Stammdaten Teams'!H$4:H7))</f>
        <v>53</v>
      </c>
      <c r="M23" s="40" t="n">
        <f aca="false">INDEX('Stammdaten Teams'!$G$4:$G$102,MATCH(LARGE('Stammdaten Teams'!$H$4:$H$102,ROWS('Stammdaten Teams'!$G$4:G7)),'Stammdaten Teams'!$H$4:$H$102,0))</f>
        <v>79.5</v>
      </c>
    </row>
    <row r="24" customFormat="false" ht="15" hidden="false" customHeight="false" outlineLevel="0" collapsed="false">
      <c r="A24" s="39" t="n">
        <f aca="false">INDEX('Stammdaten Teams'!$A$4:$A$102,MATCH(LARGE('Stammdaten Teams'!$E$4:$E$102,ROWS('Stammdaten Teams'!$A$4:A8)),'Stammdaten Teams'!$E$4:$E$102,0))</f>
        <v>504</v>
      </c>
      <c r="B24" s="39" t="str">
        <f aca="false">INDEX('Stammdaten Teams'!$B$4:$B$102,MATCH(LARGE('Stammdaten Teams'!$E$4:$E$102,ROWS('Stammdaten Teams'!$B$4:B8)),'Stammdaten Teams'!$E$4:$E$102,0))</f>
        <v>Schildkröten</v>
      </c>
      <c r="C24" s="39" t="str">
        <f aca="false">INDEX('Stammdaten Teams'!$C$4:$C$102,MATCH(LARGE('Stammdaten Teams'!$E$4:$E$102,ROWS('Stammdaten Teams'!$C$4:C8)),'Stammdaten Teams'!$E$4:$E$102,0))</f>
        <v>Symmetree GmbH</v>
      </c>
      <c r="D24" s="39" t="n">
        <f aca="false">INDEX('Stammdaten Teams'!$D$4:$D$102,MATCH(LARGE('Stammdaten Teams'!$E$4:$E$102,ROWS('Stammdaten Teams'!$D$4:D8)),'Stammdaten Teams'!$E$4:$E$102,0))</f>
        <v>6</v>
      </c>
      <c r="E24" s="29" t="n">
        <f aca="false">LARGE('Stammdaten Teams'!$E$4:$E$102,ROWS('Stammdaten Teams'!E$4:E8))</f>
        <v>254</v>
      </c>
      <c r="F24" s="40" t="n">
        <f aca="false">INDEX('Stammdaten Teams'!$G$4:$G$102,MATCH(LARGE('Stammdaten Teams'!$E$4:$E$102,ROWS('Stammdaten Teams'!$G$4:G8)),'Stammdaten Teams'!$E$4:$E$102,0))</f>
        <v>127</v>
      </c>
      <c r="H24" s="39" t="n">
        <f aca="false">INDEX('Stammdaten Teams'!$A$4:$A$102,MATCH(LARGE('Stammdaten Teams'!$H$4:$H$102,ROWS('Stammdaten Teams'!$A$4:A8)),'Stammdaten Teams'!$H$4:$H$102,0))</f>
        <v>502</v>
      </c>
      <c r="I24" s="39" t="str">
        <f aca="false">INDEX('Stammdaten Teams'!$B$4:$B$102,MATCH(LARGE('Stammdaten Teams'!$H$4:$H$102,ROWS('Stammdaten Teams'!$B$4:B8)),'Stammdaten Teams'!$H$4:$H$102,0))</f>
        <v>DLRG</v>
      </c>
      <c r="J24" s="39" t="str">
        <f aca="false">INDEX('Stammdaten Teams'!$C$4:$C$102,MATCH(LARGE('Stammdaten Teams'!$H$4:$H$102,ROWS('Stammdaten Teams'!$C$4:C8)),'Stammdaten Teams'!$H$4:$H$102,0))</f>
        <v>Thomas Schmid</v>
      </c>
      <c r="K24" s="39" t="n">
        <f aca="false">INDEX('Stammdaten Teams'!$D$4:$D$102,MATCH(LARGE('Stammdaten Teams'!$H$4:$H$102,ROWS('Stammdaten Teams'!$D$4:D8)),'Stammdaten Teams'!$H$4:$H$102,0))</f>
        <v>16</v>
      </c>
      <c r="L24" s="41" t="n">
        <f aca="false">LARGE('Stammdaten Teams'!$H$4:$H$102,ROWS('Stammdaten Teams'!H$4:H8))</f>
        <v>48.0625</v>
      </c>
      <c r="M24" s="40" t="n">
        <f aca="false">INDEX('Stammdaten Teams'!$G$4:$G$102,MATCH(LARGE('Stammdaten Teams'!$H$4:$H$102,ROWS('Stammdaten Teams'!$G$4:G8)),'Stammdaten Teams'!$H$4:$H$102,0))</f>
        <v>384.5</v>
      </c>
    </row>
    <row r="29" customFormat="false" ht="15" hidden="false" customHeight="false" outlineLevel="0" collapsed="false">
      <c r="T29" s="0" t="e">
        <f aca="false">#REF!</f>
        <v>#REF!</v>
      </c>
    </row>
    <row r="30" customFormat="false" ht="15" hidden="false" customHeight="false" outlineLevel="0" collapsed="false">
      <c r="T30" s="42" t="n">
        <f aca="false">'Spenden-Kalkulation-Schwimmer'!D8</f>
        <v>92.5</v>
      </c>
    </row>
    <row r="31" customFormat="false" ht="15" hidden="false" customHeight="false" outlineLevel="0" collapsed="false">
      <c r="A31" s="0" t="s">
        <v>357</v>
      </c>
      <c r="H31" s="0" t="s">
        <v>358</v>
      </c>
    </row>
    <row r="32" customFormat="false" ht="28.35" hidden="false" customHeight="false" outlineLevel="0" collapsed="false">
      <c r="A32" s="36" t="s">
        <v>351</v>
      </c>
      <c r="B32" s="37" t="s">
        <v>3</v>
      </c>
      <c r="C32" s="37" t="s">
        <v>4</v>
      </c>
      <c r="D32" s="38" t="s">
        <v>5</v>
      </c>
      <c r="E32" s="38" t="s">
        <v>352</v>
      </c>
      <c r="F32" s="38" t="s">
        <v>353</v>
      </c>
      <c r="H32" s="36" t="s">
        <v>2</v>
      </c>
      <c r="I32" s="37" t="s">
        <v>3</v>
      </c>
      <c r="J32" s="37" t="s">
        <v>4</v>
      </c>
      <c r="K32" s="38" t="s">
        <v>5</v>
      </c>
      <c r="L32" s="38" t="s">
        <v>352</v>
      </c>
      <c r="M32" s="38" t="s">
        <v>7</v>
      </c>
    </row>
    <row r="33" customFormat="false" ht="15" hidden="false" customHeight="false" outlineLevel="0" collapsed="false">
      <c r="A33" s="39" t="e">
        <f aca="false">INDEX('Stammdaten - Schwimmer'!$A$4:$A$99,MATCH(LARGE('Stammdaten - Schwimmer'!$D$4:$D$99,ROWS(#REF!)),'Stammdaten - Schwimmer'!$D$4:$D$99,0))</f>
        <v>#REF!</v>
      </c>
      <c r="B33" s="39" t="e">
        <f aca="false">INDEX('Stammdaten - Schwimmer'!$B$4:$B$99,MATCH(LARGE('Stammdaten - Schwimmer'!$D$4:$D$99,ROWS(#REF!)),'Stammdaten - Schwimmer'!$D$4:$D$99,0))</f>
        <v>#REF!</v>
      </c>
      <c r="C33" s="39" t="e">
        <f aca="false">INDEX('Stammdaten - Schwimmer'!$C$4:$C$99,MATCH(LARGE('Stammdaten - Schwimmer'!$D$4:$D$99,ROWS(#REF!)),'Stammdaten - Schwimmer'!$D$4:$D$99,0))</f>
        <v>#REF!</v>
      </c>
      <c r="D33" s="43" t="e">
        <f aca="false">LARGE('Stammdaten - Schwimmer'!$D$4:$D$99,ROWS(#REF!))</f>
        <v>#REF!</v>
      </c>
      <c r="E33" s="30" t="n">
        <f aca="false">INDEX('Spenden-Kalkulation-Schwimmer'!$D$4:$D$103,MATCH(LARGE('Stammdaten - Schwimmer'!$D$4:$D$99,ROWS('Spenden-Kalkulation-Schwimmer'!$D$4:D4)),'Stammdaten - Schwimmer'!$D$4:$D$99,0))</f>
        <v>35</v>
      </c>
      <c r="F33" s="39" t="e">
        <f aca="false">INDEX('Stammdaten - Schwimmer'!$F$4:$F$99,MATCH(LARGE('Stammdaten - Schwimmer'!$D$4:$D$99,ROWS(#REF!)),'Stammdaten - Schwimmer'!$D$4:$D$99,0))</f>
        <v>#REF!</v>
      </c>
      <c r="H33" s="39" t="e">
        <f aca="false">INDEX('Stammdaten - Schwimmer'!$A$4:$A$99,MATCH(SMALL('Stammdaten - Schwimmer'!$D$4:$D$99,ROWS(#REF!)),'Stammdaten - Schwimmer'!$D$4:$D$99,0))</f>
        <v>#REF!</v>
      </c>
      <c r="I33" s="39" t="e">
        <f aca="false">INDEX('Stammdaten - Schwimmer'!$B$4:$B$99,MATCH(SMALL('Stammdaten - Schwimmer'!$D$4:$D$99,ROWS(#REF!)),'Stammdaten - Schwimmer'!$D$4:$D$99,0))</f>
        <v>#REF!</v>
      </c>
      <c r="J33" s="39" t="e">
        <f aca="false">INDEX('Stammdaten - Schwimmer'!$C$4:$C$99,MATCH(SMALL('Stammdaten - Schwimmer'!$D$4:$D$99,ROWS(#REF!)),'Stammdaten - Schwimmer'!$D$4:$D$99,0))</f>
        <v>#REF!</v>
      </c>
      <c r="K33" s="43" t="e">
        <f aca="false">SMALL('Stammdaten - Schwimmer'!$D$4:$D$99,ROWS(#REF!))</f>
        <v>#REF!</v>
      </c>
      <c r="L33" s="40" t="n">
        <f aca="false">INDEX('Spenden-Kalkulation-Schwimmer'!$D$4:$D$103,MATCH(SMALL('Stammdaten - Schwimmer'!$D$4:$D$99,ROWS('Spenden-Kalkulation-Schwimmer'!$D$4:D4)),'Stammdaten - Schwimmer'!$D$4:$D$99,0))</f>
        <v>60</v>
      </c>
      <c r="M33" s="39" t="e">
        <f aca="false">INDEX('Stammdaten - Schwimmer'!$F$4:$F$99,MATCH(SMALL('Stammdaten - Schwimmer'!$D$4:$D$99,ROWS(#REF!)),'Stammdaten - Schwimmer'!$D$4:$D$99,0))</f>
        <v>#REF!</v>
      </c>
    </row>
    <row r="34" customFormat="false" ht="15" hidden="false" customHeight="false" outlineLevel="0" collapsed="false">
      <c r="A34" s="39" t="n">
        <f aca="false">INDEX('Stammdaten - Schwimmer'!$A$4:$A$99,MATCH(LARGE('Stammdaten - Schwimmer'!$D$4:$D$99,ROWS('Stammdaten - Schwimmer'!$A$4:A4)),'Stammdaten - Schwimmer'!$D$4:$D$99,0))</f>
        <v>7</v>
      </c>
      <c r="B34" s="39" t="str">
        <f aca="false">INDEX('Stammdaten - Schwimmer'!$B$4:$B$99,MATCH(LARGE('Stammdaten - Schwimmer'!$D$4:$D$99,ROWS('Stammdaten - Schwimmer'!$B$4:B4)),'Stammdaten - Schwimmer'!$D$4:$D$99,0))</f>
        <v>Gessler </v>
      </c>
      <c r="C34" s="39" t="str">
        <f aca="false">INDEX('Stammdaten - Schwimmer'!$C$4:$C$99,MATCH(LARGE('Stammdaten - Schwimmer'!$D$4:$D$99,ROWS('Stammdaten - Schwimmer'!$C$4:C4)),'Stammdaten - Schwimmer'!$D$4:$D$99,0))</f>
        <v>Anna</v>
      </c>
      <c r="D34" s="43" t="n">
        <f aca="false">LARGE('Stammdaten - Schwimmer'!$D$4:$D$99,ROWS('Stammdaten - Schwimmer'!D$4:D4))</f>
        <v>43707</v>
      </c>
      <c r="E34" s="30" t="n">
        <f aca="false">INDEX('Spenden-Kalkulation-Schwimmer'!$D$4:$D$103,MATCH(LARGE('Stammdaten - Schwimmer'!$D$4:$D$99,ROWS('Spenden-Kalkulation-Schwimmer'!$D$4:D5)),'Stammdaten - Schwimmer'!$D$4:$D$99,0))</f>
        <v>25</v>
      </c>
      <c r="F34" s="39" t="n">
        <f aca="false">INDEX('Stammdaten - Schwimmer'!$F$4:$F$99,MATCH(LARGE('Stammdaten - Schwimmer'!$D$4:$D$99,ROWS('Stammdaten - Schwimmer'!$F$4:F4)),'Stammdaten - Schwimmer'!$D$4:$D$99,0))</f>
        <v>7</v>
      </c>
      <c r="H34" s="39" t="n">
        <f aca="false">INDEX('Stammdaten - Schwimmer'!$A$4:$A$99,MATCH(SMALL('Stammdaten - Schwimmer'!$D$4:$D$99,ROWS('Stammdaten - Schwimmer'!$A$4:A4)),'Stammdaten - Schwimmer'!$D$4:$D$99,0))</f>
        <v>67</v>
      </c>
      <c r="I34" s="39" t="str">
        <f aca="false">INDEX('Stammdaten - Schwimmer'!$B$4:$B$99,MATCH(SMALL('Stammdaten - Schwimmer'!$D$4:$D$99,ROWS('Stammdaten - Schwimmer'!$B$4:B4)),'Stammdaten - Schwimmer'!$D$4:$D$99,0))</f>
        <v>Siebert-Rieger</v>
      </c>
      <c r="J34" s="39" t="str">
        <f aca="false">INDEX('Stammdaten - Schwimmer'!$C$4:$C$99,MATCH(SMALL('Stammdaten - Schwimmer'!$D$4:$D$99,ROWS('Stammdaten - Schwimmer'!$C$4:C4)),'Stammdaten - Schwimmer'!$D$4:$D$99,0))</f>
        <v>Annegret</v>
      </c>
      <c r="K34" s="43" t="n">
        <f aca="false">SMALL('Stammdaten - Schwimmer'!$D$4:$D$99,ROWS('Stammdaten - Schwimmer'!D$4:D4))</f>
        <v>19107</v>
      </c>
      <c r="L34" s="40" t="n">
        <f aca="false">INDEX('Spenden-Kalkulation-Schwimmer'!$D$4:$D$103,MATCH(SMALL('Stammdaten - Schwimmer'!$D$4:$D$99,ROWS('Spenden-Kalkulation-Schwimmer'!$D$4:D5)),'Stammdaten - Schwimmer'!$D$4:$D$99,0))</f>
        <v>12</v>
      </c>
      <c r="M34" s="39" t="n">
        <f aca="false">INDEX('Stammdaten - Schwimmer'!$F$4:$F$99,MATCH(SMALL('Stammdaten - Schwimmer'!$D$4:$D$99,ROWS('Stammdaten - Schwimmer'!$F$4:F4)),'Stammdaten - Schwimmer'!$D$4:$D$99,0))</f>
        <v>20</v>
      </c>
    </row>
    <row r="35" customFormat="false" ht="15" hidden="false" customHeight="false" outlineLevel="0" collapsed="false">
      <c r="A35" s="39" t="n">
        <f aca="false">INDEX('Stammdaten - Schwimmer'!$A$4:$A$99,MATCH(LARGE('Stammdaten - Schwimmer'!$D$4:$D$99,ROWS('Stammdaten - Schwimmer'!$A$4:A5)),'Stammdaten - Schwimmer'!$D$4:$D$99,0))</f>
        <v>30</v>
      </c>
      <c r="B35" s="39" t="str">
        <f aca="false">INDEX('Stammdaten - Schwimmer'!$B$4:$B$99,MATCH(LARGE('Stammdaten - Schwimmer'!$D$4:$D$99,ROWS('Stammdaten - Schwimmer'!$B$4:B5)),'Stammdaten - Schwimmer'!$D$4:$D$99,0))</f>
        <v>Kombacher</v>
      </c>
      <c r="C35" s="39" t="str">
        <f aca="false">INDEX('Stammdaten - Schwimmer'!$C$4:$C$99,MATCH(LARGE('Stammdaten - Schwimmer'!$D$4:$D$99,ROWS('Stammdaten - Schwimmer'!$C$4:C5)),'Stammdaten - Schwimmer'!$D$4:$D$99,0))</f>
        <v>Mia</v>
      </c>
      <c r="D35" s="43" t="n">
        <f aca="false">LARGE('Stammdaten - Schwimmer'!$D$4:$D$99,ROWS('Stammdaten - Schwimmer'!D$4:D5))</f>
        <v>43635</v>
      </c>
      <c r="E35" s="30" t="n">
        <f aca="false">INDEX('Spenden-Kalkulation-Schwimmer'!$D$4:$D$103,MATCH(LARGE('Stammdaten - Schwimmer'!$D$4:$D$99,ROWS('Spenden-Kalkulation-Schwimmer'!$D$4:D6)),'Stammdaten - Schwimmer'!$D$4:$D$99,0))</f>
        <v>25</v>
      </c>
      <c r="F35" s="39" t="n">
        <f aca="false">INDEX('Stammdaten - Schwimmer'!$F$4:$F$99,MATCH(LARGE('Stammdaten - Schwimmer'!$D$4:$D$99,ROWS('Stammdaten - Schwimmer'!$F$4:F5)),'Stammdaten - Schwimmer'!$D$4:$D$99,0))</f>
        <v>0</v>
      </c>
      <c r="H35" s="39" t="n">
        <f aca="false">INDEX('Stammdaten - Schwimmer'!$A$4:$A$99,MATCH(SMALL('Stammdaten - Schwimmer'!$D$4:$D$99,ROWS('Stammdaten - Schwimmer'!$A$4:A5)),'Stammdaten - Schwimmer'!$D$4:$D$99,0))</f>
        <v>4</v>
      </c>
      <c r="I35" s="39" t="str">
        <f aca="false">INDEX('Stammdaten - Schwimmer'!$B$4:$B$99,MATCH(SMALL('Stammdaten - Schwimmer'!$D$4:$D$99,ROWS('Stammdaten - Schwimmer'!$B$4:B5)),'Stammdaten - Schwimmer'!$D$4:$D$99,0))</f>
        <v>Schwenk-Fischer</v>
      </c>
      <c r="J35" s="39" t="str">
        <f aca="false">INDEX('Stammdaten - Schwimmer'!$C$4:$C$99,MATCH(SMALL('Stammdaten - Schwimmer'!$D$4:$D$99,ROWS('Stammdaten - Schwimmer'!$C$4:C5)),'Stammdaten - Schwimmer'!$D$4:$D$99,0))</f>
        <v>Eva</v>
      </c>
      <c r="K35" s="43" t="n">
        <f aca="false">SMALL('Stammdaten - Schwimmer'!$D$4:$D$99,ROWS('Stammdaten - Schwimmer'!D$4:D5))</f>
        <v>20973</v>
      </c>
      <c r="L35" s="40" t="n">
        <f aca="false">INDEX('Spenden-Kalkulation-Schwimmer'!$D$4:$D$103,MATCH(SMALL('Stammdaten - Schwimmer'!$D$4:$D$99,ROWS('Spenden-Kalkulation-Schwimmer'!$D$4:D6)),'Stammdaten - Schwimmer'!$D$4:$D$99,0))</f>
        <v>11</v>
      </c>
      <c r="M35" s="39" t="n">
        <f aca="false">INDEX('Stammdaten - Schwimmer'!$F$4:$F$99,MATCH(SMALL('Stammdaten - Schwimmer'!$D$4:$D$99,ROWS('Stammdaten - Schwimmer'!$F$4:F5)),'Stammdaten - Schwimmer'!$D$4:$D$99,0))</f>
        <v>35</v>
      </c>
    </row>
    <row r="36" customFormat="false" ht="15" hidden="false" customHeight="false" outlineLevel="0" collapsed="false">
      <c r="A36" s="39" t="n">
        <f aca="false">INDEX('Stammdaten - Schwimmer'!$A$4:$A$99,MATCH(LARGE('Stammdaten - Schwimmer'!$D$4:$D$99,ROWS('Stammdaten - Schwimmer'!$A$4:A6)),'Stammdaten - Schwimmer'!$D$4:$D$99,0))</f>
        <v>16</v>
      </c>
      <c r="B36" s="39" t="str">
        <f aca="false">INDEX('Stammdaten - Schwimmer'!$B$4:$B$99,MATCH(LARGE('Stammdaten - Schwimmer'!$D$4:$D$99,ROWS('Stammdaten - Schwimmer'!$B$4:B6)),'Stammdaten - Schwimmer'!$D$4:$D$99,0))</f>
        <v>Strobel</v>
      </c>
      <c r="C36" s="39" t="str">
        <f aca="false">INDEX('Stammdaten - Schwimmer'!$C$4:$C$99,MATCH(LARGE('Stammdaten - Schwimmer'!$D$4:$D$99,ROWS('Stammdaten - Schwimmer'!$C$4:C6)),'Stammdaten - Schwimmer'!$D$4:$D$99,0))</f>
        <v>Liana</v>
      </c>
      <c r="D36" s="43" t="n">
        <f aca="false">LARGE('Stammdaten - Schwimmer'!$D$4:$D$99,ROWS('Stammdaten - Schwimmer'!D$4:D6))</f>
        <v>42732</v>
      </c>
      <c r="E36" s="30" t="n">
        <f aca="false">INDEX('Spenden-Kalkulation-Schwimmer'!$D$4:$D$103,MATCH(LARGE('Stammdaten - Schwimmer'!$D$4:$D$99,ROWS('Spenden-Kalkulation-Schwimmer'!$D$4:D7)),'Stammdaten - Schwimmer'!$D$4:$D$99,0))</f>
        <v>35</v>
      </c>
      <c r="F36" s="39" t="n">
        <f aca="false">INDEX('Stammdaten - Schwimmer'!$F$4:$F$99,MATCH(LARGE('Stammdaten - Schwimmer'!$D$4:$D$99,ROWS('Stammdaten - Schwimmer'!$F$4:F6)),'Stammdaten - Schwimmer'!$D$4:$D$99,0))</f>
        <v>68</v>
      </c>
      <c r="H36" s="39" t="n">
        <f aca="false">INDEX('Stammdaten - Schwimmer'!$A$4:$A$99,MATCH(SMALL('Stammdaten - Schwimmer'!$D$4:$D$99,ROWS('Stammdaten - Schwimmer'!$A$4:A6)),'Stammdaten - Schwimmer'!$D$4:$D$99,0))</f>
        <v>25</v>
      </c>
      <c r="I36" s="39" t="str">
        <f aca="false">INDEX('Stammdaten - Schwimmer'!$B$4:$B$99,MATCH(SMALL('Stammdaten - Schwimmer'!$D$4:$D$99,ROWS('Stammdaten - Schwimmer'!$B$4:B6)),'Stammdaten - Schwimmer'!$D$4:$D$99,0))</f>
        <v>Sure</v>
      </c>
      <c r="J36" s="39" t="str">
        <f aca="false">INDEX('Stammdaten - Schwimmer'!$C$4:$C$99,MATCH(SMALL('Stammdaten - Schwimmer'!$D$4:$D$99,ROWS('Stammdaten - Schwimmer'!$C$4:C6)),'Stammdaten - Schwimmer'!$D$4:$D$99,0))</f>
        <v>Doris</v>
      </c>
      <c r="K36" s="43" t="n">
        <f aca="false">SMALL('Stammdaten - Schwimmer'!$D$4:$D$99,ROWS('Stammdaten - Schwimmer'!D$4:D6))</f>
        <v>22857</v>
      </c>
      <c r="L36" s="40" t="n">
        <f aca="false">INDEX('Spenden-Kalkulation-Schwimmer'!$D$4:$D$103,MATCH(SMALL('Stammdaten - Schwimmer'!$D$4:$D$99,ROWS('Spenden-Kalkulation-Schwimmer'!$D$4:D7)),'Stammdaten - Schwimmer'!$D$4:$D$99,0))</f>
        <v>34</v>
      </c>
      <c r="M36" s="39" t="n">
        <f aca="false">INDEX('Stammdaten - Schwimmer'!$F$4:$F$99,MATCH(SMALL('Stammdaten - Schwimmer'!$D$4:$D$99,ROWS('Stammdaten - Schwimmer'!$F$4:F6)),'Stammdaten - Schwimmer'!$D$4:$D$99,0))</f>
        <v>22</v>
      </c>
    </row>
    <row r="37" customFormat="false" ht="15" hidden="false" customHeight="false" outlineLevel="0" collapsed="false">
      <c r="A37" s="39" t="n">
        <f aca="false">INDEX('Stammdaten - Schwimmer'!$A$4:$A$99,MATCH(LARGE('Stammdaten - Schwimmer'!$D$4:$D$99,ROWS('Stammdaten - Schwimmer'!$A$4:A7)),'Stammdaten - Schwimmer'!$D$4:$D$99,0))</f>
        <v>51</v>
      </c>
      <c r="B37" s="39" t="str">
        <f aca="false">INDEX('Stammdaten - Schwimmer'!$B$4:$B$99,MATCH(LARGE('Stammdaten - Schwimmer'!$D$4:$D$99,ROWS('Stammdaten - Schwimmer'!$B$4:B7)),'Stammdaten - Schwimmer'!$D$4:$D$99,0))</f>
        <v>Warga</v>
      </c>
      <c r="C37" s="39" t="str">
        <f aca="false">INDEX('Stammdaten - Schwimmer'!$C$4:$C$99,MATCH(LARGE('Stammdaten - Schwimmer'!$D$4:$D$99,ROWS('Stammdaten - Schwimmer'!$C$4:C7)),'Stammdaten - Schwimmer'!$D$4:$D$99,0))</f>
        <v>Eva</v>
      </c>
      <c r="D37" s="43" t="n">
        <f aca="false">LARGE('Stammdaten - Schwimmer'!$D$4:$D$99,ROWS('Stammdaten - Schwimmer'!D$4:D7))</f>
        <v>42629</v>
      </c>
      <c r="E37" s="30" t="n">
        <f aca="false">INDEX('Spenden-Kalkulation-Schwimmer'!$D$4:$D$103,MATCH(LARGE('Stammdaten - Schwimmer'!$D$4:$D$99,ROWS('Spenden-Kalkulation-Schwimmer'!$D$4:D8)),'Stammdaten - Schwimmer'!$D$4:$D$99,0))</f>
        <v>20</v>
      </c>
      <c r="F37" s="39" t="n">
        <f aca="false">INDEX('Stammdaten - Schwimmer'!$F$4:$F$99,MATCH(LARGE('Stammdaten - Schwimmer'!$D$4:$D$99,ROWS('Stammdaten - Schwimmer'!$F$4:F7)),'Stammdaten - Schwimmer'!$D$4:$D$99,0))</f>
        <v>108</v>
      </c>
      <c r="H37" s="39" t="n">
        <f aca="false">INDEX('Stammdaten - Schwimmer'!$A$4:$A$99,MATCH(SMALL('Stammdaten - Schwimmer'!$D$4:$D$99,ROWS('Stammdaten - Schwimmer'!$A$4:A7)),'Stammdaten - Schwimmer'!$D$4:$D$99,0))</f>
        <v>20</v>
      </c>
      <c r="I37" s="39" t="str">
        <f aca="false">INDEX('Stammdaten - Schwimmer'!$B$4:$B$99,MATCH(SMALL('Stammdaten - Schwimmer'!$D$4:$D$99,ROWS('Stammdaten - Schwimmer'!$B$4:B7)),'Stammdaten - Schwimmer'!$D$4:$D$99,0))</f>
        <v>Winkler</v>
      </c>
      <c r="J37" s="39" t="str">
        <f aca="false">INDEX('Stammdaten - Schwimmer'!$C$4:$C$99,MATCH(SMALL('Stammdaten - Schwimmer'!$D$4:$D$99,ROWS('Stammdaten - Schwimmer'!$C$4:C7)),'Stammdaten - Schwimmer'!$D$4:$D$99,0))</f>
        <v>Anette</v>
      </c>
      <c r="K37" s="43" t="n">
        <f aca="false">SMALL('Stammdaten - Schwimmer'!$D$4:$D$99,ROWS('Stammdaten - Schwimmer'!D$4:D7))</f>
        <v>22984</v>
      </c>
      <c r="L37" s="40" t="n">
        <f aca="false">INDEX('Spenden-Kalkulation-Schwimmer'!$D$4:$D$103,MATCH(SMALL('Stammdaten - Schwimmer'!$D$4:$D$99,ROWS('Spenden-Kalkulation-Schwimmer'!$D$4:D8)),'Stammdaten - Schwimmer'!$D$4:$D$99,0))</f>
        <v>108</v>
      </c>
      <c r="M37" s="39" t="n">
        <f aca="false">INDEX('Stammdaten - Schwimmer'!$F$4:$F$99,MATCH(SMALL('Stammdaten - Schwimmer'!$D$4:$D$99,ROWS('Stammdaten - Schwimmer'!$F$4:F7)),'Stammdaten - Schwimmer'!$D$4:$D$99,0))</f>
        <v>30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0.6796875" defaultRowHeight="15" customHeight="false" zeroHeight="false" outlineLevelRow="0" outlineLevelCol="0"/>
  <cols>
    <col collapsed="false" customWidth="true" hidden="false" outlineLevel="0" max="2" min="2" style="0" width="23"/>
    <col collapsed="false" customWidth="true" hidden="false" outlineLevel="0" max="3" min="3" style="0" width="23.57"/>
    <col collapsed="false" customWidth="true" hidden="false" outlineLevel="0" max="5" min="4" style="2" width="11.43"/>
    <col collapsed="false" customWidth="true" hidden="false" outlineLevel="0" max="6" min="6" style="1" width="6"/>
    <col collapsed="false" customWidth="true" hidden="false" outlineLevel="0" max="7" min="7" style="0" width="6"/>
    <col collapsed="false" customWidth="true" hidden="false" outlineLevel="0" max="9" min="9" style="0" width="21.43"/>
    <col collapsed="false" customWidth="true" hidden="false" outlineLevel="0" max="10" min="10" style="0" width="19.57"/>
    <col collapsed="false" customWidth="true" hidden="false" outlineLevel="0" max="13" min="13" style="0" width="5.42"/>
    <col collapsed="false" customWidth="true" hidden="false" outlineLevel="0" max="14" min="14" style="0" width="6.29"/>
    <col collapsed="false" customWidth="true" hidden="false" outlineLevel="0" max="16" min="16" style="0" width="23.42"/>
    <col collapsed="false" customWidth="true" hidden="false" outlineLevel="0" max="17" min="17" style="0" width="22"/>
    <col collapsed="false" customWidth="true" hidden="false" outlineLevel="0" max="18" min="18" style="1" width="11.43"/>
    <col collapsed="false" customWidth="true" hidden="false" outlineLevel="0" max="20" min="20" style="0" width="5.42"/>
    <col collapsed="false" customWidth="true" hidden="false" outlineLevel="0" max="21" min="21" style="0" width="6.57"/>
    <col collapsed="false" customWidth="true" hidden="false" outlineLevel="0" max="23" min="23" style="0" width="19"/>
    <col collapsed="false" customWidth="true" hidden="false" outlineLevel="0" max="24" min="24" style="0" width="18.71"/>
    <col collapsed="false" customWidth="true" hidden="false" outlineLevel="0" max="27" min="27" style="0" width="7.29"/>
  </cols>
  <sheetData>
    <row r="1" customFormat="false" ht="15" hidden="false" customHeight="false" outlineLevel="0" collapsed="false">
      <c r="A1" s="0" t="s">
        <v>359</v>
      </c>
    </row>
    <row r="2" customFormat="false" ht="15" hidden="false" customHeight="false" outlineLevel="0" collapsed="false">
      <c r="H2" s="0" t="s">
        <v>360</v>
      </c>
      <c r="K2" s="2"/>
      <c r="L2" s="1"/>
      <c r="O2" s="0" t="s">
        <v>361</v>
      </c>
      <c r="R2" s="2"/>
      <c r="S2" s="1"/>
      <c r="V2" s="0" t="s">
        <v>362</v>
      </c>
      <c r="Y2" s="2"/>
      <c r="Z2" s="1"/>
    </row>
    <row r="3" customFormat="false" ht="28.35" hidden="false" customHeight="false" outlineLevel="0" collapsed="false">
      <c r="A3" s="36" t="s">
        <v>2</v>
      </c>
      <c r="B3" s="37" t="s">
        <v>3</v>
      </c>
      <c r="C3" s="37" t="s">
        <v>4</v>
      </c>
      <c r="D3" s="38" t="s">
        <v>352</v>
      </c>
      <c r="E3" s="38" t="s">
        <v>7</v>
      </c>
      <c r="H3" s="36" t="s">
        <v>2</v>
      </c>
      <c r="I3" s="37" t="s">
        <v>3</v>
      </c>
      <c r="J3" s="37" t="s">
        <v>4</v>
      </c>
      <c r="K3" s="38" t="s">
        <v>352</v>
      </c>
      <c r="L3" s="38" t="s">
        <v>7</v>
      </c>
      <c r="O3" s="36" t="s">
        <v>2</v>
      </c>
      <c r="P3" s="37" t="s">
        <v>3</v>
      </c>
      <c r="Q3" s="37" t="s">
        <v>4</v>
      </c>
      <c r="R3" s="38" t="s">
        <v>352</v>
      </c>
      <c r="S3" s="38" t="s">
        <v>7</v>
      </c>
      <c r="T3" s="0" t="s">
        <v>363</v>
      </c>
      <c r="V3" s="36" t="s">
        <v>2</v>
      </c>
      <c r="W3" s="37" t="s">
        <v>3</v>
      </c>
      <c r="X3" s="37" t="s">
        <v>4</v>
      </c>
      <c r="Y3" s="38" t="s">
        <v>352</v>
      </c>
      <c r="Z3" s="38" t="s">
        <v>7</v>
      </c>
    </row>
    <row r="4" customFormat="false" ht="15" hidden="false" customHeight="false" outlineLevel="0" collapsed="false">
      <c r="A4" s="44" t="e">
        <f aca="false">#REF!</f>
        <v>#REF!</v>
      </c>
      <c r="B4" s="45" t="e">
        <f aca="false">#REF!</f>
        <v>#REF!</v>
      </c>
      <c r="C4" s="45" t="e">
        <f aca="false">#REF!</f>
        <v>#REF!</v>
      </c>
      <c r="D4" s="30" t="e">
        <f aca="false">#REF!+#REF!+#REF!+#REF!+'Stammdaten - Schwimmer'!Z4</f>
        <v>#REF!</v>
      </c>
      <c r="E4" s="46" t="e">
        <f aca="false">#REF!</f>
        <v>#REF!</v>
      </c>
      <c r="H4" s="29" t="e">
        <f aca="false">IF(#REF!&gt;DATE(2011,7,20),A4,)</f>
        <v>#REF!</v>
      </c>
      <c r="I4" s="29" t="e">
        <f aca="false">IF(#REF!&gt;DATE(2011,7,20),B4,)</f>
        <v>#REF!</v>
      </c>
      <c r="J4" s="29" t="e">
        <f aca="false">IF(#REF!&gt;DATE(2011,7,20),C4,)</f>
        <v>#REF!</v>
      </c>
      <c r="K4" s="30" t="e">
        <f aca="false">IF(#REF!&gt;DATE(2011,7,20),D4,)</f>
        <v>#REF!</v>
      </c>
      <c r="L4" s="29" t="e">
        <f aca="false">IF(#REF!&gt;DATE(2011,7,20),#REF!,)</f>
        <v>#REF!</v>
      </c>
      <c r="M4" s="0" t="e">
        <f aca="false">_xlfn.RANK.EQ(L4,L$4:L$103,0)</f>
        <v>#REF!</v>
      </c>
      <c r="O4" s="29" t="e">
        <f aca="false">IF(AND(#REF!&lt;DATE(2011,7,20),#REF!&gt;DATE(2007,7,19)),A4,)</f>
        <v>#REF!</v>
      </c>
      <c r="P4" s="29" t="e">
        <f aca="false">IF(AND(#REF!&lt;DATE(2011,7,20),#REF!&gt;DATE(2007,7,19)),B4,)</f>
        <v>#REF!</v>
      </c>
      <c r="Q4" s="29" t="e">
        <f aca="false">IF(AND(#REF!&lt;DATE(2011,7,20),#REF!&gt;DATE(2007,7,19)),C4,)</f>
        <v>#REF!</v>
      </c>
      <c r="R4" s="30" t="e">
        <f aca="false">IF(AND(#REF!&lt;DATE(2011,7,20),#REF!&gt;DATE(2007,7,19)),D4,)</f>
        <v>#REF!</v>
      </c>
      <c r="S4" s="46" t="e">
        <f aca="false">IF(AND(#REF!&lt;DATE(2011,7,20),#REF!&gt;DATE(2007,7,19)),#REF!,)</f>
        <v>#REF!</v>
      </c>
      <c r="T4" s="0" t="e">
        <f aca="false">_xlfn.RANK.EQ(S4,S$4:S$103,0)</f>
        <v>#REF!</v>
      </c>
      <c r="V4" s="29" t="e">
        <f aca="false">IF(#REF!&lt;DATE(2007,7,20),A4,)</f>
        <v>#REF!</v>
      </c>
      <c r="W4" s="29" t="e">
        <f aca="false">IF(#REF!&lt;DATE(2007,7,20),B4,)</f>
        <v>#REF!</v>
      </c>
      <c r="X4" s="29" t="e">
        <f aca="false">IF(#REF!&lt;DATE(2007,7,20),C4,)</f>
        <v>#REF!</v>
      </c>
      <c r="Y4" s="30" t="e">
        <f aca="false">IF(#REF!&lt;DATE(2007,7,20),D4,)</f>
        <v>#REF!</v>
      </c>
      <c r="Z4" s="46" t="e">
        <f aca="false">IF(#REF!&lt;DATE(2007,7,20),#REF!,)</f>
        <v>#REF!</v>
      </c>
      <c r="AA4" s="0" t="e">
        <f aca="false">_xlfn.RANK.EQ(Z4,Z$4:Z$103,0)</f>
        <v>#REF!</v>
      </c>
    </row>
    <row r="5" customFormat="false" ht="15" hidden="false" customHeight="false" outlineLevel="0" collapsed="false">
      <c r="A5" s="44" t="n">
        <f aca="false">'Stammdaten - Schwimmer'!A4</f>
        <v>2</v>
      </c>
      <c r="B5" s="45" t="str">
        <f aca="false">'Stammdaten - Schwimmer'!B4</f>
        <v>Grambow</v>
      </c>
      <c r="C5" s="45" t="str">
        <f aca="false">'Stammdaten - Schwimmer'!C4</f>
        <v>Kerstin</v>
      </c>
      <c r="D5" s="30" t="e">
        <f aca="false">'stammdaten - schwimmer'!#ref!+'stammdaten - schwimmer'!#ref!+'Stammdaten - Schwimmer'!R4+'Stammdaten - Schwimmer'!V4+'Stammdaten - Schwimmer'!Z5</f>
        <v>#VALUE!</v>
      </c>
      <c r="E5" s="46" t="e">
        <f aca="false">'stammdaten - schwimmer'!#ref!</f>
        <v>#VALUE!</v>
      </c>
      <c r="H5" s="29" t="e">
        <f aca="false">IF('stammdaten - schwimmer'!#ref!&gt;DATE(2011,7,20),A5,)</f>
        <v>#VALUE!</v>
      </c>
      <c r="I5" s="29" t="e">
        <f aca="false">IF('stammdaten - schwimmer'!#ref!&gt;DATE(2011,7,20),B5,)</f>
        <v>#VALUE!</v>
      </c>
      <c r="J5" s="29" t="e">
        <f aca="false">IF('stammdaten - schwimmer'!#ref!&gt;DATE(2011,7,20),C5,)</f>
        <v>#VALUE!</v>
      </c>
      <c r="K5" s="30" t="e">
        <f aca="false">IF('stammdaten - schwimmer'!#ref!&gt;DATE(2011,7,20),D5,)</f>
        <v>#VALUE!</v>
      </c>
      <c r="L5" s="29" t="e">
        <f aca="false">IF('stammdaten - schwimmer'!#ref!&gt;DATE(2011,7,20),'stammdaten - schwimmer'!#ref!,)</f>
        <v>#VALUE!</v>
      </c>
      <c r="M5" s="0" t="e">
        <f aca="false">_xlfn.RANK.EQ(L5,L$4:L$103,0)</f>
        <v>#REF!</v>
      </c>
      <c r="O5" s="29" t="e">
        <f aca="false">IF(AND('stammdaten - schwimmer'!#ref!&lt;DATE(2011,7,20),'stammdaten - schwimmer'!#ref!&gt;DATE(2007,7,19)),A5,)</f>
        <v>#VALUE!</v>
      </c>
      <c r="P5" s="29" t="e">
        <f aca="false">IF(AND('stammdaten - schwimmer'!#ref!&lt;DATE(2011,7,20),'stammdaten - schwimmer'!#ref!&gt;DATE(2007,7,19)),B5,)</f>
        <v>#VALUE!</v>
      </c>
      <c r="Q5" s="29" t="e">
        <f aca="false">IF(AND('stammdaten - schwimmer'!#ref!&lt;DATE(2011,7,20),'stammdaten - schwimmer'!#ref!&gt;DATE(2007,7,19)),C5,)</f>
        <v>#VALUE!</v>
      </c>
      <c r="R5" s="30" t="e">
        <f aca="false">IF(AND('stammdaten - schwimmer'!#ref!&lt;DATE(2011,7,20),'stammdaten - schwimmer'!#ref!&gt;DATE(2007,7,19)),D5,)</f>
        <v>#VALUE!</v>
      </c>
      <c r="S5" s="46" t="e">
        <f aca="false">IF(AND('stammdaten - schwimmer'!#ref!&lt;DATE(2011,7,20),'stammdaten - schwimmer'!#ref!&gt;DATE(2007,7,19)),'stammdaten - schwimmer'!#ref!,)</f>
        <v>#VALUE!</v>
      </c>
      <c r="T5" s="0" t="e">
        <f aca="false">_xlfn.RANK.EQ(S5,S$4:S$103,0)</f>
        <v>#REF!</v>
      </c>
      <c r="V5" s="29" t="e">
        <f aca="false">IF('stammdaten - schwimmer'!#ref!&lt;DATE(2007,7,20),A5,)</f>
        <v>#VALUE!</v>
      </c>
      <c r="W5" s="29" t="e">
        <f aca="false">IF('stammdaten - schwimmer'!#ref!&lt;DATE(2007,7,20),B5,)</f>
        <v>#VALUE!</v>
      </c>
      <c r="X5" s="29" t="e">
        <f aca="false">IF('stammdaten - schwimmer'!#ref!&lt;DATE(2007,7,20),C5,)</f>
        <v>#VALUE!</v>
      </c>
      <c r="Y5" s="30" t="e">
        <f aca="false">IF('stammdaten - schwimmer'!#ref!&lt;DATE(2007,7,20),D5,)</f>
        <v>#VALUE!</v>
      </c>
      <c r="Z5" s="46" t="e">
        <f aca="false">IF('stammdaten - schwimmer'!#ref!&lt;DATE(2007,7,20),'stammdaten - schwimmer'!#ref!,)</f>
        <v>#VALUE!</v>
      </c>
      <c r="AA5" s="0" t="e">
        <f aca="false">_xlfn.RANK.EQ(Z5,Z$4:Z$103,0)</f>
        <v>#REF!</v>
      </c>
    </row>
    <row r="6" customFormat="false" ht="15" hidden="false" customHeight="false" outlineLevel="0" collapsed="false">
      <c r="A6" s="44" t="n">
        <f aca="false">'Stammdaten - Schwimmer'!A5</f>
        <v>3</v>
      </c>
      <c r="B6" s="45" t="str">
        <f aca="false">'Stammdaten - Schwimmer'!B5</f>
        <v>Gessler </v>
      </c>
      <c r="C6" s="45" t="str">
        <f aca="false">'Stammdaten - Schwimmer'!C5</f>
        <v>Tom</v>
      </c>
      <c r="D6" s="30" t="n">
        <f aca="false">'Stammdaten - Schwimmer'!J5+'Stammdaten - Schwimmer'!N5+'Stammdaten - Schwimmer'!R5+'Stammdaten - Schwimmer'!V5+'Stammdaten - Schwimmer'!Z6</f>
        <v>12</v>
      </c>
      <c r="E6" s="46" t="n">
        <f aca="false">'Stammdaten - Schwimmer'!F5</f>
        <v>24</v>
      </c>
      <c r="H6" s="29" t="n">
        <f aca="false">IF('Stammdaten - Schwimmer'!D5&gt;DATE(2011,7,20),A6,)</f>
        <v>3</v>
      </c>
      <c r="I6" s="29" t="str">
        <f aca="false">IF('Stammdaten - Schwimmer'!$D5&gt;DATE(2011,7,20),B6,)</f>
        <v>Gessler </v>
      </c>
      <c r="J6" s="29" t="str">
        <f aca="false">IF('Stammdaten - Schwimmer'!$D5&gt;DATE(2011,7,20),C6,)</f>
        <v>Tom</v>
      </c>
      <c r="K6" s="30" t="n">
        <f aca="false">IF('Stammdaten - Schwimmer'!$D5&gt;DATE(2011,7,20),D6,)</f>
        <v>12</v>
      </c>
      <c r="L6" s="29" t="n">
        <f aca="false">IF('Stammdaten - Schwimmer'!$D5&gt;DATE(2011,7,20),'Stammdaten - Schwimmer'!F5,)</f>
        <v>24</v>
      </c>
      <c r="M6" s="0" t="e">
        <f aca="false">_xlfn.RANK.EQ(L6,L$4:L$103,0)</f>
        <v>#REF!</v>
      </c>
      <c r="O6" s="29" t="n">
        <f aca="false">IF(AND('Stammdaten - Schwimmer'!$D5&lt;DATE(2011,7,20),'Stammdaten - Schwimmer'!$D5&gt;DATE(2007,7,19)),A6,)</f>
        <v>0</v>
      </c>
      <c r="P6" s="29" t="n">
        <f aca="false">IF(AND('Stammdaten - Schwimmer'!$D5&lt;DATE(2011,7,20),'Stammdaten - Schwimmer'!$D5&gt;DATE(2007,7,19)),B6,)</f>
        <v>0</v>
      </c>
      <c r="Q6" s="29" t="n">
        <f aca="false">IF(AND('Stammdaten - Schwimmer'!$D5&lt;DATE(2011,7,20),'Stammdaten - Schwimmer'!$D5&gt;DATE(2007,7,19)),C6,)</f>
        <v>0</v>
      </c>
      <c r="R6" s="30" t="n">
        <f aca="false">IF(AND('Stammdaten - Schwimmer'!$D5&lt;DATE(2011,7,20),'Stammdaten - Schwimmer'!$D5&gt;DATE(2007,7,19)),D6,)</f>
        <v>0</v>
      </c>
      <c r="S6" s="46" t="n">
        <f aca="false">IF(AND('Stammdaten - Schwimmer'!$D5&lt;DATE(2011,7,20),'Stammdaten - Schwimmer'!$D5&gt;DATE(2007,7,19)),'Stammdaten - Schwimmer'!F5,)</f>
        <v>0</v>
      </c>
      <c r="T6" s="0" t="e">
        <f aca="false">_xlfn.RANK.EQ(S6,S$4:S$103,0)</f>
        <v>#REF!</v>
      </c>
      <c r="V6" s="29" t="n">
        <f aca="false">IF('Stammdaten - Schwimmer'!$D5&lt;DATE(2007,7,20),A6,)</f>
        <v>0</v>
      </c>
      <c r="W6" s="29" t="n">
        <f aca="false">IF('Stammdaten - Schwimmer'!$D5&lt;DATE(2007,7,20),B6,)</f>
        <v>0</v>
      </c>
      <c r="X6" s="29" t="n">
        <f aca="false">IF('Stammdaten - Schwimmer'!$D5&lt;DATE(2007,7,20),C6,)</f>
        <v>0</v>
      </c>
      <c r="Y6" s="30" t="n">
        <f aca="false">IF('Stammdaten - Schwimmer'!$D5&lt;DATE(2007,7,20),D6,)</f>
        <v>0</v>
      </c>
      <c r="Z6" s="46" t="n">
        <f aca="false">IF('Stammdaten - Schwimmer'!$D5&lt;DATE(2007,7,20),'Stammdaten - Schwimmer'!F5,)</f>
        <v>0</v>
      </c>
      <c r="AA6" s="0" t="e">
        <f aca="false">_xlfn.RANK.EQ(Z6,Z$4:Z$103,0)</f>
        <v>#REF!</v>
      </c>
    </row>
    <row r="7" customFormat="false" ht="15" hidden="false" customHeight="false" outlineLevel="0" collapsed="false">
      <c r="A7" s="44" t="n">
        <f aca="false">'Stammdaten - Schwimmer'!A6</f>
        <v>4</v>
      </c>
      <c r="B7" s="45" t="str">
        <f aca="false">'Stammdaten - Schwimmer'!B6</f>
        <v>Schwenk-Fischer</v>
      </c>
      <c r="C7" s="45" t="str">
        <f aca="false">'Stammdaten - Schwimmer'!C6</f>
        <v>Eva</v>
      </c>
      <c r="D7" s="30" t="n">
        <f aca="false">'Stammdaten - Schwimmer'!J6+'Stammdaten - Schwimmer'!N6+'Stammdaten - Schwimmer'!R6+'Stammdaten - Schwimmer'!V6+'Stammdaten - Schwimmer'!Z7</f>
        <v>52.5</v>
      </c>
      <c r="E7" s="46" t="n">
        <f aca="false">'Stammdaten - Schwimmer'!F6</f>
        <v>35</v>
      </c>
      <c r="H7" s="29" t="n">
        <f aca="false">IF('Stammdaten - Schwimmer'!D6&gt;DATE(2011,7,20),A7,)</f>
        <v>0</v>
      </c>
      <c r="I7" s="29" t="n">
        <f aca="false">IF('Stammdaten - Schwimmer'!$D6&gt;DATE(2011,7,20),B7,)</f>
        <v>0</v>
      </c>
      <c r="J7" s="29" t="n">
        <f aca="false">IF('Stammdaten - Schwimmer'!$D6&gt;DATE(2011,7,20),C7,)</f>
        <v>0</v>
      </c>
      <c r="K7" s="30" t="n">
        <f aca="false">IF('Stammdaten - Schwimmer'!$D6&gt;DATE(2011,7,20),D7,)</f>
        <v>0</v>
      </c>
      <c r="L7" s="29" t="n">
        <f aca="false">IF('Stammdaten - Schwimmer'!$D6&gt;DATE(2011,7,20),'Stammdaten - Schwimmer'!F6,)</f>
        <v>0</v>
      </c>
      <c r="M7" s="0" t="e">
        <f aca="false">_xlfn.RANK.EQ(L7,L$4:L$103,0)</f>
        <v>#REF!</v>
      </c>
      <c r="O7" s="29" t="n">
        <f aca="false">IF(AND('Stammdaten - Schwimmer'!$D6&lt;DATE(2011,7,20),'Stammdaten - Schwimmer'!$D6&gt;DATE(2007,7,19)),A7,)</f>
        <v>0</v>
      </c>
      <c r="P7" s="29" t="n">
        <f aca="false">IF(AND('Stammdaten - Schwimmer'!$D6&lt;DATE(2011,7,20),'Stammdaten - Schwimmer'!$D6&gt;DATE(2007,7,19)),B7,)</f>
        <v>0</v>
      </c>
      <c r="Q7" s="29" t="n">
        <f aca="false">IF(AND('Stammdaten - Schwimmer'!$D6&lt;DATE(2011,7,20),'Stammdaten - Schwimmer'!$D6&gt;DATE(2007,7,19)),C7,)</f>
        <v>0</v>
      </c>
      <c r="R7" s="30" t="n">
        <f aca="false">IF(AND('Stammdaten - Schwimmer'!$D6&lt;DATE(2011,7,20),'Stammdaten - Schwimmer'!$D6&gt;DATE(2007,7,19)),D7,)</f>
        <v>0</v>
      </c>
      <c r="S7" s="46" t="n">
        <f aca="false">IF(AND('Stammdaten - Schwimmer'!$D6&lt;DATE(2011,7,20),'Stammdaten - Schwimmer'!$D6&gt;DATE(2007,7,19)),'Stammdaten - Schwimmer'!F6,)</f>
        <v>0</v>
      </c>
      <c r="T7" s="0" t="e">
        <f aca="false">_xlfn.RANK.EQ(S7,S$4:S$103,0)</f>
        <v>#REF!</v>
      </c>
      <c r="V7" s="29" t="n">
        <f aca="false">IF('Stammdaten - Schwimmer'!$D6&lt;DATE(2007,7,20),A7,)</f>
        <v>4</v>
      </c>
      <c r="W7" s="29" t="str">
        <f aca="false">IF('Stammdaten - Schwimmer'!$D6&lt;DATE(2007,7,20),B7,)</f>
        <v>Schwenk-Fischer</v>
      </c>
      <c r="X7" s="29" t="str">
        <f aca="false">IF('Stammdaten - Schwimmer'!$D6&lt;DATE(2007,7,20),C7,)</f>
        <v>Eva</v>
      </c>
      <c r="Y7" s="30" t="n">
        <f aca="false">IF('Stammdaten - Schwimmer'!$D6&lt;DATE(2007,7,20),D7,)</f>
        <v>52.5</v>
      </c>
      <c r="Z7" s="46" t="n">
        <f aca="false">IF('Stammdaten - Schwimmer'!$D6&lt;DATE(2007,7,20),'Stammdaten - Schwimmer'!F6,)</f>
        <v>35</v>
      </c>
      <c r="AA7" s="0" t="e">
        <f aca="false">_xlfn.RANK.EQ(Z7,Z$4:Z$103,0)</f>
        <v>#REF!</v>
      </c>
    </row>
    <row r="8" customFormat="false" ht="15" hidden="false" customHeight="false" outlineLevel="0" collapsed="false">
      <c r="A8" s="44" t="n">
        <f aca="false">'Stammdaten - Schwimmer'!A7</f>
        <v>5</v>
      </c>
      <c r="B8" s="45" t="str">
        <f aca="false">'Stammdaten - Schwimmer'!B7</f>
        <v>Rink</v>
      </c>
      <c r="C8" s="45" t="str">
        <f aca="false">'Stammdaten - Schwimmer'!C7</f>
        <v>Wiebke</v>
      </c>
      <c r="D8" s="30" t="n">
        <f aca="false">'Stammdaten - Schwimmer'!J7+'Stammdaten - Schwimmer'!N7+'Stammdaten - Schwimmer'!R7+'Stammdaten - Schwimmer'!V7+'Stammdaten - Schwimmer'!Z8</f>
        <v>92.5</v>
      </c>
      <c r="E8" s="46" t="n">
        <f aca="false">'Stammdaten - Schwimmer'!F7</f>
        <v>74</v>
      </c>
      <c r="H8" s="29" t="n">
        <f aca="false">IF('Stammdaten - Schwimmer'!D7&gt;DATE(2011,7,20),A8,)</f>
        <v>5</v>
      </c>
      <c r="I8" s="29" t="str">
        <f aca="false">IF('Stammdaten - Schwimmer'!$D7&gt;DATE(2011,7,20),B8,)</f>
        <v>Rink</v>
      </c>
      <c r="J8" s="29" t="str">
        <f aca="false">IF('Stammdaten - Schwimmer'!$D7&gt;DATE(2011,7,20),C8,)</f>
        <v>Wiebke</v>
      </c>
      <c r="K8" s="30" t="n">
        <f aca="false">IF('Stammdaten - Schwimmer'!$D7&gt;DATE(2011,7,20),D8,)</f>
        <v>92.5</v>
      </c>
      <c r="L8" s="29" t="n">
        <f aca="false">IF('Stammdaten - Schwimmer'!$D7&gt;DATE(2011,7,20),'Stammdaten - Schwimmer'!F7,)</f>
        <v>74</v>
      </c>
      <c r="M8" s="0" t="e">
        <f aca="false">_xlfn.RANK.EQ(L8,L$4:L$103,0)</f>
        <v>#REF!</v>
      </c>
      <c r="O8" s="29" t="n">
        <f aca="false">IF(AND('Stammdaten - Schwimmer'!$D7&lt;DATE(2011,7,20),'Stammdaten - Schwimmer'!$D7&gt;DATE(2007,7,19)),A8,)</f>
        <v>0</v>
      </c>
      <c r="P8" s="29" t="n">
        <f aca="false">IF(AND('Stammdaten - Schwimmer'!$D7&lt;DATE(2011,7,20),'Stammdaten - Schwimmer'!$D7&gt;DATE(2007,7,19)),B8,)</f>
        <v>0</v>
      </c>
      <c r="Q8" s="29" t="n">
        <f aca="false">IF(AND('Stammdaten - Schwimmer'!$D7&lt;DATE(2011,7,20),'Stammdaten - Schwimmer'!$D7&gt;DATE(2007,7,19)),C8,)</f>
        <v>0</v>
      </c>
      <c r="R8" s="30" t="n">
        <f aca="false">IF(AND('Stammdaten - Schwimmer'!$D7&lt;DATE(2011,7,20),'Stammdaten - Schwimmer'!$D7&gt;DATE(2007,7,19)),D8,)</f>
        <v>0</v>
      </c>
      <c r="S8" s="46" t="n">
        <f aca="false">IF(AND('Stammdaten - Schwimmer'!$D7&lt;DATE(2011,7,20),'Stammdaten - Schwimmer'!$D7&gt;DATE(2007,7,19)),'Stammdaten - Schwimmer'!F7,)</f>
        <v>0</v>
      </c>
      <c r="T8" s="0" t="e">
        <f aca="false">_xlfn.RANK.EQ(S8,S$4:S$103,0)</f>
        <v>#REF!</v>
      </c>
      <c r="V8" s="29" t="n">
        <f aca="false">IF('Stammdaten - Schwimmer'!$D7&lt;DATE(2007,7,20),A8,)</f>
        <v>0</v>
      </c>
      <c r="W8" s="29" t="n">
        <f aca="false">IF('Stammdaten - Schwimmer'!$D7&lt;DATE(2007,7,20),B8,)</f>
        <v>0</v>
      </c>
      <c r="X8" s="29" t="n">
        <f aca="false">IF('Stammdaten - Schwimmer'!$D7&lt;DATE(2007,7,20),C8,)</f>
        <v>0</v>
      </c>
      <c r="Y8" s="30" t="n">
        <f aca="false">IF('Stammdaten - Schwimmer'!$D7&lt;DATE(2007,7,20),D8,)</f>
        <v>0</v>
      </c>
      <c r="Z8" s="46" t="n">
        <f aca="false">IF('Stammdaten - Schwimmer'!$D7&lt;DATE(2007,7,20),'Stammdaten - Schwimmer'!F7,)</f>
        <v>0</v>
      </c>
      <c r="AA8" s="0" t="e">
        <f aca="false">_xlfn.RANK.EQ(Z8,Z$4:Z$103,0)</f>
        <v>#REF!</v>
      </c>
    </row>
    <row r="9" customFormat="false" ht="15" hidden="false" customHeight="false" outlineLevel="0" collapsed="false">
      <c r="A9" s="44" t="n">
        <f aca="false">'Stammdaten - Schwimmer'!A8</f>
        <v>6</v>
      </c>
      <c r="B9" s="45" t="str">
        <f aca="false">'Stammdaten - Schwimmer'!B8</f>
        <v>Künsemüller</v>
      </c>
      <c r="C9" s="45" t="str">
        <f aca="false">'Stammdaten - Schwimmer'!C8</f>
        <v>Viktoria</v>
      </c>
      <c r="D9" s="30" t="n">
        <f aca="false">'Stammdaten - Schwimmer'!J8+'Stammdaten - Schwimmer'!N8+'Stammdaten - Schwimmer'!R8+'Stammdaten - Schwimmer'!V8+'Stammdaten - Schwimmer'!Z9</f>
        <v>35</v>
      </c>
      <c r="E9" s="46" t="n">
        <f aca="false">'Stammdaten - Schwimmer'!F8</f>
        <v>70</v>
      </c>
      <c r="H9" s="29" t="n">
        <f aca="false">IF('Stammdaten - Schwimmer'!D8&gt;DATE(2011,7,20),A9,)</f>
        <v>0</v>
      </c>
      <c r="I9" s="29" t="n">
        <f aca="false">IF('Stammdaten - Schwimmer'!$D8&gt;DATE(2011,7,20),B9,)</f>
        <v>0</v>
      </c>
      <c r="J9" s="29" t="n">
        <f aca="false">IF('Stammdaten - Schwimmer'!$D8&gt;DATE(2011,7,20),C9,)</f>
        <v>0</v>
      </c>
      <c r="K9" s="30" t="n">
        <f aca="false">IF('Stammdaten - Schwimmer'!$D8&gt;DATE(2011,7,20),D9,)</f>
        <v>0</v>
      </c>
      <c r="L9" s="29" t="n">
        <f aca="false">IF('Stammdaten - Schwimmer'!$D8&gt;DATE(2011,7,20),'Stammdaten - Schwimmer'!F8,)</f>
        <v>0</v>
      </c>
      <c r="M9" s="0" t="e">
        <f aca="false">_xlfn.RANK.EQ(L9,L$4:L$103,0)</f>
        <v>#REF!</v>
      </c>
      <c r="O9" s="29" t="n">
        <f aca="false">IF(AND('Stammdaten - Schwimmer'!$D8&lt;DATE(2011,7,20),'Stammdaten - Schwimmer'!$D8&gt;DATE(2007,7,19)),A9,)</f>
        <v>6</v>
      </c>
      <c r="P9" s="29" t="str">
        <f aca="false">IF(AND('Stammdaten - Schwimmer'!$D8&lt;DATE(2011,7,20),'Stammdaten - Schwimmer'!$D8&gt;DATE(2007,7,19)),B9,)</f>
        <v>Künsemüller</v>
      </c>
      <c r="Q9" s="29" t="str">
        <f aca="false">IF(AND('Stammdaten - Schwimmer'!$D8&lt;DATE(2011,7,20),'Stammdaten - Schwimmer'!$D8&gt;DATE(2007,7,19)),C9,)</f>
        <v>Viktoria</v>
      </c>
      <c r="R9" s="30" t="n">
        <f aca="false">IF(AND('Stammdaten - Schwimmer'!$D8&lt;DATE(2011,7,20),'Stammdaten - Schwimmer'!$D8&gt;DATE(2007,7,19)),D9,)</f>
        <v>35</v>
      </c>
      <c r="S9" s="46" t="n">
        <f aca="false">IF(AND('Stammdaten - Schwimmer'!$D8&lt;DATE(2011,7,20),'Stammdaten - Schwimmer'!$D8&gt;DATE(2007,7,19)),'Stammdaten - Schwimmer'!F8,)</f>
        <v>70</v>
      </c>
      <c r="T9" s="0" t="e">
        <f aca="false">_xlfn.RANK.EQ(S9,S$4:S$103,0)</f>
        <v>#REF!</v>
      </c>
      <c r="V9" s="29" t="n">
        <f aca="false">IF('Stammdaten - Schwimmer'!$D8&lt;DATE(2007,7,20),A9,)</f>
        <v>0</v>
      </c>
      <c r="W9" s="29" t="n">
        <f aca="false">IF('Stammdaten - Schwimmer'!$D8&lt;DATE(2007,7,20),B9,)</f>
        <v>0</v>
      </c>
      <c r="X9" s="29" t="n">
        <f aca="false">IF('Stammdaten - Schwimmer'!$D8&lt;DATE(2007,7,20),C9,)</f>
        <v>0</v>
      </c>
      <c r="Y9" s="30" t="n">
        <f aca="false">IF('Stammdaten - Schwimmer'!$D8&lt;DATE(2007,7,20),D9,)</f>
        <v>0</v>
      </c>
      <c r="Z9" s="46" t="n">
        <f aca="false">IF('Stammdaten - Schwimmer'!$D8&lt;DATE(2007,7,20),'Stammdaten - Schwimmer'!F8,)</f>
        <v>0</v>
      </c>
      <c r="AA9" s="0" t="e">
        <f aca="false">_xlfn.RANK.EQ(Z9,Z$4:Z$103,0)</f>
        <v>#REF!</v>
      </c>
    </row>
    <row r="10" customFormat="false" ht="15" hidden="false" customHeight="false" outlineLevel="0" collapsed="false">
      <c r="A10" s="44" t="n">
        <f aca="false">'Stammdaten - Schwimmer'!A9</f>
        <v>7</v>
      </c>
      <c r="B10" s="45" t="str">
        <f aca="false">'Stammdaten - Schwimmer'!B9</f>
        <v>Gessler </v>
      </c>
      <c r="C10" s="45" t="str">
        <f aca="false">'Stammdaten - Schwimmer'!C9</f>
        <v>Anna</v>
      </c>
      <c r="D10" s="30" t="n">
        <f aca="false">'Stammdaten - Schwimmer'!J9+'Stammdaten - Schwimmer'!N9+'Stammdaten - Schwimmer'!R9+'Stammdaten - Schwimmer'!V9+'Stammdaten - Schwimmer'!Z10</f>
        <v>7</v>
      </c>
      <c r="E10" s="46" t="n">
        <f aca="false">'Stammdaten - Schwimmer'!F9</f>
        <v>7</v>
      </c>
      <c r="H10" s="29" t="n">
        <f aca="false">IF('Stammdaten - Schwimmer'!D9&gt;DATE(2011,7,20),A10,)</f>
        <v>7</v>
      </c>
      <c r="I10" s="29" t="str">
        <f aca="false">IF('Stammdaten - Schwimmer'!$D9&gt;DATE(2011,7,20),B10,)</f>
        <v>Gessler </v>
      </c>
      <c r="J10" s="29" t="str">
        <f aca="false">IF('Stammdaten - Schwimmer'!$D9&gt;DATE(2011,7,20),C10,)</f>
        <v>Anna</v>
      </c>
      <c r="K10" s="30" t="n">
        <f aca="false">IF('Stammdaten - Schwimmer'!$D9&gt;DATE(2011,7,20),D10,)</f>
        <v>7</v>
      </c>
      <c r="L10" s="29" t="n">
        <f aca="false">IF('Stammdaten - Schwimmer'!$D9&gt;DATE(2011,7,20),'Stammdaten - Schwimmer'!F9,)</f>
        <v>7</v>
      </c>
      <c r="M10" s="0" t="e">
        <f aca="false">_xlfn.RANK.EQ(L10,L$4:L$103,0)</f>
        <v>#REF!</v>
      </c>
      <c r="O10" s="29" t="n">
        <f aca="false">IF(AND('Stammdaten - Schwimmer'!$D9&lt;DATE(2011,7,20),'Stammdaten - Schwimmer'!$D9&gt;DATE(2007,7,19)),A10,)</f>
        <v>0</v>
      </c>
      <c r="P10" s="29" t="n">
        <f aca="false">IF(AND('Stammdaten - Schwimmer'!$D9&lt;DATE(2011,7,20),'Stammdaten - Schwimmer'!$D9&gt;DATE(2007,7,19)),B10,)</f>
        <v>0</v>
      </c>
      <c r="Q10" s="29" t="n">
        <f aca="false">IF(AND('Stammdaten - Schwimmer'!$D9&lt;DATE(2011,7,20),'Stammdaten - Schwimmer'!$D9&gt;DATE(2007,7,19)),C10,)</f>
        <v>0</v>
      </c>
      <c r="R10" s="30" t="n">
        <f aca="false">IF(AND('Stammdaten - Schwimmer'!$D9&lt;DATE(2011,7,20),'Stammdaten - Schwimmer'!$D9&gt;DATE(2007,7,19)),D10,)</f>
        <v>0</v>
      </c>
      <c r="S10" s="46" t="n">
        <f aca="false">IF(AND('Stammdaten - Schwimmer'!$D9&lt;DATE(2011,7,20),'Stammdaten - Schwimmer'!$D9&gt;DATE(2007,7,19)),'Stammdaten - Schwimmer'!F9,)</f>
        <v>0</v>
      </c>
      <c r="T10" s="0" t="e">
        <f aca="false">_xlfn.RANK.EQ(S10,S$4:S$103,0)</f>
        <v>#REF!</v>
      </c>
      <c r="V10" s="29" t="n">
        <f aca="false">IF('Stammdaten - Schwimmer'!$D9&lt;DATE(2007,7,20),A10,)</f>
        <v>0</v>
      </c>
      <c r="W10" s="29" t="n">
        <f aca="false">IF('Stammdaten - Schwimmer'!$D9&lt;DATE(2007,7,20),B10,)</f>
        <v>0</v>
      </c>
      <c r="X10" s="29" t="n">
        <f aca="false">IF('Stammdaten - Schwimmer'!$D9&lt;DATE(2007,7,20),C10,)</f>
        <v>0</v>
      </c>
      <c r="Y10" s="30" t="n">
        <f aca="false">IF('Stammdaten - Schwimmer'!$D9&lt;DATE(2007,7,20),D10,)</f>
        <v>0</v>
      </c>
      <c r="Z10" s="46" t="n">
        <f aca="false">IF('Stammdaten - Schwimmer'!$D9&lt;DATE(2007,7,20),'Stammdaten - Schwimmer'!F9,)</f>
        <v>0</v>
      </c>
      <c r="AA10" s="0" t="e">
        <f aca="false">_xlfn.RANK.EQ(Z10,Z$4:Z$103,0)</f>
        <v>#REF!</v>
      </c>
    </row>
    <row r="11" customFormat="false" ht="15" hidden="false" customHeight="false" outlineLevel="0" collapsed="false">
      <c r="A11" s="44" t="n">
        <f aca="false">'Stammdaten - Schwimmer'!A10</f>
        <v>8</v>
      </c>
      <c r="B11" s="45" t="str">
        <f aca="false">'Stammdaten - Schwimmer'!B10</f>
        <v>Gessler </v>
      </c>
      <c r="C11" s="45" t="str">
        <f aca="false">'Stammdaten - Schwimmer'!C10</f>
        <v>Birgit</v>
      </c>
      <c r="D11" s="30" t="n">
        <f aca="false">'Stammdaten - Schwimmer'!J10+'Stammdaten - Schwimmer'!N10+'Stammdaten - Schwimmer'!R10+'Stammdaten - Schwimmer'!V10+'Stammdaten - Schwimmer'!Z11</f>
        <v>42</v>
      </c>
      <c r="E11" s="46" t="n">
        <f aca="false">'Stammdaten - Schwimmer'!F10</f>
        <v>42</v>
      </c>
      <c r="H11" s="29" t="n">
        <f aca="false">IF('Stammdaten - Schwimmer'!D10&gt;DATE(2011,7,20),A11,)</f>
        <v>0</v>
      </c>
      <c r="I11" s="29" t="n">
        <f aca="false">IF('Stammdaten - Schwimmer'!$D10&gt;DATE(2011,7,20),B11,)</f>
        <v>0</v>
      </c>
      <c r="J11" s="29" t="n">
        <f aca="false">IF('Stammdaten - Schwimmer'!$D10&gt;DATE(2011,7,20),C11,)</f>
        <v>0</v>
      </c>
      <c r="K11" s="30" t="n">
        <f aca="false">IF('Stammdaten - Schwimmer'!$D10&gt;DATE(2011,7,20),D11,)</f>
        <v>0</v>
      </c>
      <c r="L11" s="29" t="n">
        <f aca="false">IF('Stammdaten - Schwimmer'!$D10&gt;DATE(2011,7,20),'Stammdaten - Schwimmer'!F10,)</f>
        <v>0</v>
      </c>
      <c r="M11" s="0" t="e">
        <f aca="false">_xlfn.RANK.EQ(L11,L$4:L$103,0)</f>
        <v>#REF!</v>
      </c>
      <c r="O11" s="29" t="n">
        <f aca="false">IF(AND('Stammdaten - Schwimmer'!$D10&lt;DATE(2011,7,20),'Stammdaten - Schwimmer'!$D10&gt;DATE(2007,7,19)),A11,)</f>
        <v>0</v>
      </c>
      <c r="P11" s="29" t="n">
        <f aca="false">IF(AND('Stammdaten - Schwimmer'!$D10&lt;DATE(2011,7,20),'Stammdaten - Schwimmer'!$D10&gt;DATE(2007,7,19)),B11,)</f>
        <v>0</v>
      </c>
      <c r="Q11" s="29" t="n">
        <f aca="false">IF(AND('Stammdaten - Schwimmer'!$D10&lt;DATE(2011,7,20),'Stammdaten - Schwimmer'!$D10&gt;DATE(2007,7,19)),C11,)</f>
        <v>0</v>
      </c>
      <c r="R11" s="30" t="n">
        <f aca="false">IF(AND('Stammdaten - Schwimmer'!$D10&lt;DATE(2011,7,20),'Stammdaten - Schwimmer'!$D10&gt;DATE(2007,7,19)),D11,)</f>
        <v>0</v>
      </c>
      <c r="S11" s="46" t="n">
        <f aca="false">IF(AND('Stammdaten - Schwimmer'!$D10&lt;DATE(2011,7,20),'Stammdaten - Schwimmer'!$D10&gt;DATE(2007,7,19)),'Stammdaten - Schwimmer'!F10,)</f>
        <v>0</v>
      </c>
      <c r="T11" s="0" t="e">
        <f aca="false">_xlfn.RANK.EQ(S11,S$4:S$103,0)</f>
        <v>#REF!</v>
      </c>
      <c r="V11" s="29" t="n">
        <f aca="false">IF('Stammdaten - Schwimmer'!$D10&lt;DATE(2007,7,20),A11,)</f>
        <v>8</v>
      </c>
      <c r="W11" s="29" t="str">
        <f aca="false">IF('Stammdaten - Schwimmer'!$D10&lt;DATE(2007,7,20),B11,)</f>
        <v>Gessler </v>
      </c>
      <c r="X11" s="29" t="str">
        <f aca="false">IF('Stammdaten - Schwimmer'!$D10&lt;DATE(2007,7,20),C11,)</f>
        <v>Birgit</v>
      </c>
      <c r="Y11" s="30" t="n">
        <f aca="false">IF('Stammdaten - Schwimmer'!$D10&lt;DATE(2007,7,20),D11,)</f>
        <v>42</v>
      </c>
      <c r="Z11" s="46" t="n">
        <f aca="false">IF('Stammdaten - Schwimmer'!$D10&lt;DATE(2007,7,20),'Stammdaten - Schwimmer'!F10,)</f>
        <v>42</v>
      </c>
      <c r="AA11" s="0" t="e">
        <f aca="false">_xlfn.RANK.EQ(Z11,Z$4:Z$103,0)</f>
        <v>#REF!</v>
      </c>
    </row>
    <row r="12" customFormat="false" ht="15" hidden="false" customHeight="false" outlineLevel="0" collapsed="false">
      <c r="A12" s="44" t="n">
        <f aca="false">'Stammdaten - Schwimmer'!A11</f>
        <v>9</v>
      </c>
      <c r="B12" s="45" t="str">
        <f aca="false">'Stammdaten - Schwimmer'!B4</f>
        <v>Grambow</v>
      </c>
      <c r="C12" s="45" t="str">
        <f aca="false">'Stammdaten - Schwimmer'!C4</f>
        <v>Kerstin</v>
      </c>
      <c r="D12" s="30" t="n">
        <f aca="false">'Stammdaten - Schwimmer'!J4+'Stammdaten - Schwimmer'!N4+'Stammdaten - Schwimmer'!R11+'Stammdaten - Schwimmer'!V11+'Stammdaten - Schwimmer'!Z12</f>
        <v>58</v>
      </c>
      <c r="E12" s="46" t="n">
        <f aca="false">'Stammdaten - Schwimmer'!F4</f>
        <v>58</v>
      </c>
      <c r="H12" s="29" t="n">
        <f aca="false">IF('Stammdaten - Schwimmer'!D4&gt;DATE(2011,7,20),A12,)</f>
        <v>0</v>
      </c>
      <c r="I12" s="29" t="n">
        <f aca="false">IF('Stammdaten - Schwimmer'!$D4&gt;DATE(2011,7,20),B12,)</f>
        <v>0</v>
      </c>
      <c r="J12" s="29" t="n">
        <f aca="false">IF('Stammdaten - Schwimmer'!$D4&gt;DATE(2011,7,20),C12,)</f>
        <v>0</v>
      </c>
      <c r="K12" s="30" t="n">
        <f aca="false">IF('Stammdaten - Schwimmer'!$D4&gt;DATE(2011,7,20),D12,)</f>
        <v>0</v>
      </c>
      <c r="L12" s="29" t="n">
        <f aca="false">IF('Stammdaten - Schwimmer'!$D4&gt;DATE(2011,7,20),'Stammdaten - Schwimmer'!F4,)</f>
        <v>0</v>
      </c>
      <c r="M12" s="0" t="e">
        <f aca="false">_xlfn.RANK.EQ(L12,L$4:L$103,0)</f>
        <v>#REF!</v>
      </c>
      <c r="O12" s="29" t="n">
        <f aca="false">IF(AND('Stammdaten - Schwimmer'!$D4&lt;DATE(2011,7,20),'Stammdaten - Schwimmer'!$D4&gt;DATE(2007,7,19)),A12,)</f>
        <v>0</v>
      </c>
      <c r="P12" s="29" t="n">
        <f aca="false">IF(AND('Stammdaten - Schwimmer'!$D4&lt;DATE(2011,7,20),'Stammdaten - Schwimmer'!$D4&gt;DATE(2007,7,19)),B12,)</f>
        <v>0</v>
      </c>
      <c r="Q12" s="29" t="n">
        <f aca="false">IF(AND('Stammdaten - Schwimmer'!$D4&lt;DATE(2011,7,20),'Stammdaten - Schwimmer'!$D4&gt;DATE(2007,7,19)),C12,)</f>
        <v>0</v>
      </c>
      <c r="R12" s="30" t="n">
        <f aca="false">IF(AND('Stammdaten - Schwimmer'!$D4&lt;DATE(2011,7,20),'Stammdaten - Schwimmer'!$D4&gt;DATE(2007,7,19)),D12,)</f>
        <v>0</v>
      </c>
      <c r="S12" s="46" t="n">
        <f aca="false">IF(AND('Stammdaten - Schwimmer'!$D4&lt;DATE(2011,7,20),'Stammdaten - Schwimmer'!$D4&gt;DATE(2007,7,19)),'Stammdaten - Schwimmer'!F4,)</f>
        <v>0</v>
      </c>
      <c r="T12" s="0" t="e">
        <f aca="false">_xlfn.RANK.EQ(S12,S$4:S$103,0)</f>
        <v>#REF!</v>
      </c>
      <c r="V12" s="29" t="n">
        <f aca="false">IF('Stammdaten - Schwimmer'!$D4&lt;DATE(2007,7,20),A12,)</f>
        <v>9</v>
      </c>
      <c r="W12" s="29" t="str">
        <f aca="false">IF('Stammdaten - Schwimmer'!$D4&lt;DATE(2007,7,20),B12,)</f>
        <v>Grambow</v>
      </c>
      <c r="X12" s="29" t="str">
        <f aca="false">IF('Stammdaten - Schwimmer'!$D4&lt;DATE(2007,7,20),C12,)</f>
        <v>Kerstin</v>
      </c>
      <c r="Y12" s="30" t="n">
        <f aca="false">IF('Stammdaten - Schwimmer'!$D4&lt;DATE(2007,7,20),D12,)</f>
        <v>58</v>
      </c>
      <c r="Z12" s="46" t="n">
        <f aca="false">IF('Stammdaten - Schwimmer'!$D4&lt;DATE(2007,7,20),'Stammdaten - Schwimmer'!F4,)</f>
        <v>58</v>
      </c>
      <c r="AA12" s="0" t="e">
        <f aca="false">_xlfn.RANK.EQ(Z12,Z$4:Z$103,0)</f>
        <v>#REF!</v>
      </c>
    </row>
    <row r="13" customFormat="false" ht="15" hidden="false" customHeight="false" outlineLevel="0" collapsed="false">
      <c r="A13" s="44" t="n">
        <f aca="false">'Stammdaten - Schwimmer'!A12</f>
        <v>10</v>
      </c>
      <c r="B13" s="45" t="str">
        <f aca="false">'Stammdaten - Schwimmer'!B12</f>
        <v>Michels</v>
      </c>
      <c r="C13" s="45" t="str">
        <f aca="false">'Stammdaten - Schwimmer'!C12</f>
        <v>Laurens</v>
      </c>
      <c r="D13" s="30" t="n">
        <f aca="false">'Stammdaten - Schwimmer'!J12+'Stammdaten - Schwimmer'!N12+'Stammdaten - Schwimmer'!R12+'Stammdaten - Schwimmer'!V12+'Stammdaten - Schwimmer'!Z13</f>
        <v>70</v>
      </c>
      <c r="E13" s="46" t="n">
        <f aca="false">'Stammdaten - Schwimmer'!F12</f>
        <v>70</v>
      </c>
      <c r="H13" s="29" t="n">
        <f aca="false">IF('Stammdaten - Schwimmer'!D12&gt;DATE(2011,7,20),A13,)</f>
        <v>0</v>
      </c>
      <c r="I13" s="29" t="n">
        <f aca="false">IF('Stammdaten - Schwimmer'!$D12&gt;DATE(2011,7,20),B13,)</f>
        <v>0</v>
      </c>
      <c r="J13" s="29" t="n">
        <f aca="false">IF('Stammdaten - Schwimmer'!$D12&gt;DATE(2011,7,20),C13,)</f>
        <v>0</v>
      </c>
      <c r="K13" s="30" t="n">
        <f aca="false">IF('Stammdaten - Schwimmer'!$D12&gt;DATE(2011,7,20),D13,)</f>
        <v>0</v>
      </c>
      <c r="L13" s="29" t="n">
        <f aca="false">IF('Stammdaten - Schwimmer'!$D12&gt;DATE(2011,7,20),'Stammdaten - Schwimmer'!F12,)</f>
        <v>0</v>
      </c>
      <c r="M13" s="0" t="e">
        <f aca="false">_xlfn.RANK.EQ(L13,L$4:L$103,0)</f>
        <v>#REF!</v>
      </c>
      <c r="O13" s="29" t="n">
        <f aca="false">IF(AND('Stammdaten - Schwimmer'!$D12&lt;DATE(2011,7,20),'Stammdaten - Schwimmer'!$D12&gt;DATE(2007,7,19)),A13,)</f>
        <v>0</v>
      </c>
      <c r="P13" s="29" t="n">
        <f aca="false">IF(AND('Stammdaten - Schwimmer'!$D12&lt;DATE(2011,7,20),'Stammdaten - Schwimmer'!$D12&gt;DATE(2007,7,19)),B13,)</f>
        <v>0</v>
      </c>
      <c r="Q13" s="29" t="n">
        <f aca="false">IF(AND('Stammdaten - Schwimmer'!$D12&lt;DATE(2011,7,20),'Stammdaten - Schwimmer'!$D12&gt;DATE(2007,7,19)),C13,)</f>
        <v>0</v>
      </c>
      <c r="R13" s="30" t="n">
        <f aca="false">IF(AND('Stammdaten - Schwimmer'!$D12&lt;DATE(2011,7,20),'Stammdaten - Schwimmer'!$D12&gt;DATE(2007,7,19)),D13,)</f>
        <v>0</v>
      </c>
      <c r="S13" s="46" t="n">
        <f aca="false">IF(AND('Stammdaten - Schwimmer'!$D12&lt;DATE(2011,7,20),'Stammdaten - Schwimmer'!$D12&gt;DATE(2007,7,19)),'Stammdaten - Schwimmer'!F12,)</f>
        <v>0</v>
      </c>
      <c r="T13" s="0" t="e">
        <f aca="false">_xlfn.RANK.EQ(S13,S$4:S$103,0)</f>
        <v>#REF!</v>
      </c>
      <c r="V13" s="29" t="n">
        <f aca="false">IF('Stammdaten - Schwimmer'!$D12&lt;DATE(2007,7,20),A13,)</f>
        <v>10</v>
      </c>
      <c r="W13" s="29" t="str">
        <f aca="false">IF('Stammdaten - Schwimmer'!$D12&lt;DATE(2007,7,20),B13,)</f>
        <v>Michels</v>
      </c>
      <c r="X13" s="29" t="str">
        <f aca="false">IF('Stammdaten - Schwimmer'!$D12&lt;DATE(2007,7,20),C13,)</f>
        <v>Laurens</v>
      </c>
      <c r="Y13" s="30" t="n">
        <f aca="false">IF('Stammdaten - Schwimmer'!$D12&lt;DATE(2007,7,20),D13,)</f>
        <v>70</v>
      </c>
      <c r="Z13" s="46" t="n">
        <f aca="false">IF('Stammdaten - Schwimmer'!$D12&lt;DATE(2007,7,20),'Stammdaten - Schwimmer'!F12,)</f>
        <v>70</v>
      </c>
      <c r="AA13" s="0" t="e">
        <f aca="false">_xlfn.RANK.EQ(Z13,Z$4:Z$103,0)</f>
        <v>#REF!</v>
      </c>
    </row>
    <row r="14" customFormat="false" ht="15" hidden="false" customHeight="false" outlineLevel="0" collapsed="false">
      <c r="A14" s="44" t="n">
        <f aca="false">'Stammdaten - Schwimmer'!A13</f>
        <v>11</v>
      </c>
      <c r="B14" s="45" t="str">
        <f aca="false">'Stammdaten - Schwimmer'!B13</f>
        <v>Aucher</v>
      </c>
      <c r="C14" s="45" t="str">
        <f aca="false">'Stammdaten - Schwimmer'!C13</f>
        <v>Neie</v>
      </c>
      <c r="D14" s="30" t="e">
        <f aca="false">'Stammdaten - Schwimmer'!J13+'Stammdaten - Schwimmer'!N13+'Stammdaten - Schwimmer'!R13+'Stammdaten - Schwimmer'!V13+'stammdaten - schwimmer'!#ref!</f>
        <v>#VALUE!</v>
      </c>
      <c r="E14" s="46" t="n">
        <f aca="false">'Stammdaten - Schwimmer'!F13</f>
        <v>46</v>
      </c>
      <c r="H14" s="29" t="n">
        <f aca="false">IF('Stammdaten - Schwimmer'!D13&gt;DATE(2011,7,20),A14,)</f>
        <v>0</v>
      </c>
      <c r="I14" s="29" t="n">
        <f aca="false">IF('Stammdaten - Schwimmer'!$D13&gt;DATE(2011,7,20),B14,)</f>
        <v>0</v>
      </c>
      <c r="J14" s="29" t="n">
        <f aca="false">IF('Stammdaten - Schwimmer'!$D13&gt;DATE(2011,7,20),C14,)</f>
        <v>0</v>
      </c>
      <c r="K14" s="30" t="n">
        <f aca="false">IF('Stammdaten - Schwimmer'!$D13&gt;DATE(2011,7,20),D14,)</f>
        <v>0</v>
      </c>
      <c r="L14" s="29" t="n">
        <f aca="false">IF('Stammdaten - Schwimmer'!$D13&gt;DATE(2011,7,20),'Stammdaten - Schwimmer'!F13,)</f>
        <v>0</v>
      </c>
      <c r="M14" s="0" t="e">
        <f aca="false">_xlfn.RANK.EQ(L14,L$4:L$103,0)</f>
        <v>#REF!</v>
      </c>
      <c r="O14" s="29" t="n">
        <f aca="false">IF(AND('Stammdaten - Schwimmer'!$D13&lt;DATE(2011,7,20),'Stammdaten - Schwimmer'!$D13&gt;DATE(2007,7,19)),A14,)</f>
        <v>11</v>
      </c>
      <c r="P14" s="29" t="str">
        <f aca="false">IF(AND('Stammdaten - Schwimmer'!$D13&lt;DATE(2011,7,20),'Stammdaten - Schwimmer'!$D13&gt;DATE(2007,7,19)),B14,)</f>
        <v>Aucher</v>
      </c>
      <c r="Q14" s="29" t="str">
        <f aca="false">IF(AND('Stammdaten - Schwimmer'!$D13&lt;DATE(2011,7,20),'Stammdaten - Schwimmer'!$D13&gt;DATE(2007,7,19)),C14,)</f>
        <v>Neie</v>
      </c>
      <c r="R14" s="30" t="e">
        <f aca="false">IF(AND('Stammdaten - Schwimmer'!$D13&lt;DATE(2011,7,20),'Stammdaten - Schwimmer'!$D13&gt;DATE(2007,7,19)),D14,)</f>
        <v>#VALUE!</v>
      </c>
      <c r="S14" s="46" t="n">
        <f aca="false">IF(AND('Stammdaten - Schwimmer'!$D13&lt;DATE(2011,7,20),'Stammdaten - Schwimmer'!$D13&gt;DATE(2007,7,19)),'Stammdaten - Schwimmer'!F13,)</f>
        <v>46</v>
      </c>
      <c r="T14" s="0" t="e">
        <f aca="false">_xlfn.RANK.EQ(S14,S$4:S$103,0)</f>
        <v>#REF!</v>
      </c>
      <c r="V14" s="29" t="n">
        <f aca="false">IF('Stammdaten - Schwimmer'!$D13&lt;DATE(2007,7,20),A14,)</f>
        <v>0</v>
      </c>
      <c r="W14" s="29" t="n">
        <f aca="false">IF('Stammdaten - Schwimmer'!$D13&lt;DATE(2007,7,20),B14,)</f>
        <v>0</v>
      </c>
      <c r="X14" s="29" t="n">
        <f aca="false">IF('Stammdaten - Schwimmer'!$D13&lt;DATE(2007,7,20),C14,)</f>
        <v>0</v>
      </c>
      <c r="Y14" s="30" t="n">
        <f aca="false">IF('Stammdaten - Schwimmer'!$D13&lt;DATE(2007,7,20),D14,)</f>
        <v>0</v>
      </c>
      <c r="Z14" s="46" t="n">
        <f aca="false">IF('Stammdaten - Schwimmer'!$D13&lt;DATE(2007,7,20),'Stammdaten - Schwimmer'!F13,)</f>
        <v>0</v>
      </c>
      <c r="AA14" s="0" t="e">
        <f aca="false">_xlfn.RANK.EQ(Z14,Z$4:Z$103,0)</f>
        <v>#REF!</v>
      </c>
    </row>
    <row r="15" customFormat="false" ht="15" hidden="false" customHeight="false" outlineLevel="0" collapsed="false">
      <c r="A15" s="44" t="e">
        <f aca="false">'stammdaten - schwimmer'!#ref!</f>
        <v>#VALUE!</v>
      </c>
      <c r="B15" s="45" t="e">
        <f aca="false">'stammdaten - schwimmer'!#ref!</f>
        <v>#VALUE!</v>
      </c>
      <c r="C15" s="45" t="e">
        <f aca="false">'stammdaten - schwimmer'!#ref!</f>
        <v>#VALUE!</v>
      </c>
      <c r="D15" s="30" t="e">
        <f aca="false">'stammdaten - schwimmer'!#ref!+'stammdaten - schwimmer'!#ref!+'stammdaten - schwimmer'!#ref!+'stammdaten - schwimmer'!#ref!+'stammdaten - schwimmer'!#ref!</f>
        <v>#VALUE!</v>
      </c>
      <c r="E15" s="46" t="e">
        <f aca="false">'stammdaten - schwimmer'!#ref!</f>
        <v>#VALUE!</v>
      </c>
      <c r="H15" s="29" t="e">
        <f aca="false">IF('stammdaten - schwimmer'!#ref!&gt;DATE(2011,7,20),A15,)</f>
        <v>#VALUE!</v>
      </c>
      <c r="I15" s="29" t="e">
        <f aca="false">IF('stammdaten - schwimmer'!#ref!&gt;DATE(2011,7,20),B15,)</f>
        <v>#VALUE!</v>
      </c>
      <c r="J15" s="29" t="e">
        <f aca="false">IF('stammdaten - schwimmer'!#ref!&gt;DATE(2011,7,20),C15,)</f>
        <v>#VALUE!</v>
      </c>
      <c r="K15" s="30" t="e">
        <f aca="false">IF('stammdaten - schwimmer'!#ref!&gt;DATE(2011,7,20),D15,)</f>
        <v>#VALUE!</v>
      </c>
      <c r="L15" s="29" t="e">
        <f aca="false">IF('stammdaten - schwimmer'!#ref!&gt;DATE(2011,7,20),'stammdaten - schwimmer'!#ref!,)</f>
        <v>#VALUE!</v>
      </c>
      <c r="M15" s="0" t="e">
        <f aca="false">_xlfn.RANK.EQ(L15,L$4:L$103,0)</f>
        <v>#REF!</v>
      </c>
      <c r="O15" s="29" t="e">
        <f aca="false">IF(AND('stammdaten - schwimmer'!#ref!&lt;DATE(2011,7,20),'stammdaten - schwimmer'!#ref!&gt;DATE(2007,7,19)),A15,)</f>
        <v>#VALUE!</v>
      </c>
      <c r="P15" s="29" t="e">
        <f aca="false">IF(AND('stammdaten - schwimmer'!#ref!&lt;DATE(2011,7,20),'stammdaten - schwimmer'!#ref!&gt;DATE(2007,7,19)),B15,)</f>
        <v>#VALUE!</v>
      </c>
      <c r="Q15" s="29" t="e">
        <f aca="false">IF(AND('stammdaten - schwimmer'!#ref!&lt;DATE(2011,7,20),'stammdaten - schwimmer'!#ref!&gt;DATE(2007,7,19)),C15,)</f>
        <v>#VALUE!</v>
      </c>
      <c r="R15" s="30" t="e">
        <f aca="false">IF(AND('stammdaten - schwimmer'!#ref!&lt;DATE(2011,7,20),'stammdaten - schwimmer'!#ref!&gt;DATE(2007,7,19)),D15,)</f>
        <v>#VALUE!</v>
      </c>
      <c r="S15" s="46" t="e">
        <f aca="false">IF(AND('stammdaten - schwimmer'!#ref!&lt;DATE(2011,7,20),'stammdaten - schwimmer'!#ref!&gt;DATE(2007,7,19)),'stammdaten - schwimmer'!#ref!,)</f>
        <v>#VALUE!</v>
      </c>
      <c r="T15" s="0" t="e">
        <f aca="false">_xlfn.RANK.EQ(S15,S$4:S$103,0)</f>
        <v>#REF!</v>
      </c>
      <c r="V15" s="29" t="e">
        <f aca="false">IF('stammdaten - schwimmer'!#ref!&lt;DATE(2007,7,20),A15,)</f>
        <v>#VALUE!</v>
      </c>
      <c r="W15" s="29" t="e">
        <f aca="false">IF('stammdaten - schwimmer'!#ref!&lt;DATE(2007,7,20),B15,)</f>
        <v>#VALUE!</v>
      </c>
      <c r="X15" s="29" t="e">
        <f aca="false">IF('stammdaten - schwimmer'!#ref!&lt;DATE(2007,7,20),C15,)</f>
        <v>#VALUE!</v>
      </c>
      <c r="Y15" s="30" t="e">
        <f aca="false">IF('stammdaten - schwimmer'!#ref!&lt;DATE(2007,7,20),D15,)</f>
        <v>#VALUE!</v>
      </c>
      <c r="Z15" s="46" t="e">
        <f aca="false">IF('stammdaten - schwimmer'!#ref!&lt;DATE(2007,7,20),'stammdaten - schwimmer'!#ref!,)</f>
        <v>#VALUE!</v>
      </c>
      <c r="AA15" s="0" t="e">
        <f aca="false">_xlfn.RANK.EQ(Z15,Z$4:Z$103,0)</f>
        <v>#REF!</v>
      </c>
    </row>
    <row r="16" customFormat="false" ht="15" hidden="false" customHeight="false" outlineLevel="0" collapsed="false">
      <c r="A16" s="44" t="e">
        <f aca="false">'stammdaten - schwimmer'!#ref!</f>
        <v>#VALUE!</v>
      </c>
      <c r="B16" s="45" t="e">
        <f aca="false">'stammdaten - schwimmer'!#ref!</f>
        <v>#VALUE!</v>
      </c>
      <c r="C16" s="45" t="e">
        <f aca="false">'stammdaten - schwimmer'!#ref!</f>
        <v>#VALUE!</v>
      </c>
      <c r="D16" s="30" t="e">
        <f aca="false">'stammdaten - schwimmer'!#ref!+'stammdaten - schwimmer'!#ref!+'stammdaten - schwimmer'!#ref!+'stammdaten - schwimmer'!#ref!+'stammdaten - schwimmer'!#ref!</f>
        <v>#VALUE!</v>
      </c>
      <c r="E16" s="46" t="e">
        <f aca="false">'stammdaten - schwimmer'!#ref!</f>
        <v>#VALUE!</v>
      </c>
      <c r="H16" s="29" t="e">
        <f aca="false">IF('stammdaten - schwimmer'!#ref!&gt;DATE(2011,7,20),A16,)</f>
        <v>#VALUE!</v>
      </c>
      <c r="I16" s="29" t="e">
        <f aca="false">IF('stammdaten - schwimmer'!#ref!&gt;DATE(2011,7,20),B16,)</f>
        <v>#VALUE!</v>
      </c>
      <c r="J16" s="29" t="e">
        <f aca="false">IF('stammdaten - schwimmer'!#ref!&gt;DATE(2011,7,20),C16,)</f>
        <v>#VALUE!</v>
      </c>
      <c r="K16" s="30" t="e">
        <f aca="false">IF('stammdaten - schwimmer'!#ref!&gt;DATE(2011,7,20),D16,)</f>
        <v>#VALUE!</v>
      </c>
      <c r="L16" s="29" t="e">
        <f aca="false">IF('stammdaten - schwimmer'!#ref!&gt;DATE(2011,7,20),'stammdaten - schwimmer'!#ref!,)</f>
        <v>#VALUE!</v>
      </c>
      <c r="M16" s="0" t="e">
        <f aca="false">_xlfn.RANK.EQ(L16,L$4:L$103,0)</f>
        <v>#REF!</v>
      </c>
      <c r="O16" s="29" t="e">
        <f aca="false">IF(AND('stammdaten - schwimmer'!#ref!&lt;DATE(2011,7,20),'stammdaten - schwimmer'!#ref!&gt;DATE(2007,7,19)),A16,)</f>
        <v>#VALUE!</v>
      </c>
      <c r="P16" s="29" t="e">
        <f aca="false">IF(AND('stammdaten - schwimmer'!#ref!&lt;DATE(2011,7,20),'stammdaten - schwimmer'!#ref!&gt;DATE(2007,7,19)),B16,)</f>
        <v>#VALUE!</v>
      </c>
      <c r="Q16" s="29" t="e">
        <f aca="false">IF(AND('stammdaten - schwimmer'!#ref!&lt;DATE(2011,7,20),'stammdaten - schwimmer'!#ref!&gt;DATE(2007,7,19)),C16,)</f>
        <v>#VALUE!</v>
      </c>
      <c r="R16" s="30" t="e">
        <f aca="false">IF(AND('stammdaten - schwimmer'!#ref!&lt;DATE(2011,7,20),'stammdaten - schwimmer'!#ref!&gt;DATE(2007,7,19)),D16,)</f>
        <v>#VALUE!</v>
      </c>
      <c r="S16" s="46" t="e">
        <f aca="false">IF(AND('stammdaten - schwimmer'!#ref!&lt;DATE(2011,7,20),'stammdaten - schwimmer'!#ref!&gt;DATE(2007,7,19)),'stammdaten - schwimmer'!#ref!,)</f>
        <v>#VALUE!</v>
      </c>
      <c r="T16" s="0" t="e">
        <f aca="false">_xlfn.RANK.EQ(S16,S$4:S$103,0)</f>
        <v>#REF!</v>
      </c>
      <c r="V16" s="29" t="e">
        <f aca="false">IF('stammdaten - schwimmer'!#ref!&lt;DATE(2007,7,20),A16,)</f>
        <v>#VALUE!</v>
      </c>
      <c r="W16" s="29" t="e">
        <f aca="false">IF('stammdaten - schwimmer'!#ref!&lt;DATE(2007,7,20),B16,)</f>
        <v>#VALUE!</v>
      </c>
      <c r="X16" s="29" t="e">
        <f aca="false">IF('stammdaten - schwimmer'!#ref!&lt;DATE(2007,7,20),C16,)</f>
        <v>#VALUE!</v>
      </c>
      <c r="Y16" s="30" t="e">
        <f aca="false">IF('stammdaten - schwimmer'!#ref!&lt;DATE(2007,7,20),D16,)</f>
        <v>#VALUE!</v>
      </c>
      <c r="Z16" s="46" t="e">
        <f aca="false">IF('stammdaten - schwimmer'!#ref!&lt;DATE(2007,7,20),'stammdaten - schwimmer'!#ref!,)</f>
        <v>#VALUE!</v>
      </c>
      <c r="AA16" s="0" t="e">
        <f aca="false">_xlfn.RANK.EQ(Z16,Z$4:Z$103,0)</f>
        <v>#REF!</v>
      </c>
    </row>
    <row r="17" customFormat="false" ht="15" hidden="false" customHeight="false" outlineLevel="0" collapsed="false">
      <c r="A17" s="44" t="e">
        <f aca="false">'stammdaten - schwimmer'!#ref!</f>
        <v>#VALUE!</v>
      </c>
      <c r="B17" s="45" t="e">
        <f aca="false">'stammdaten - schwimmer'!#ref!</f>
        <v>#VALUE!</v>
      </c>
      <c r="C17" s="45" t="e">
        <f aca="false">'stammdaten - schwimmer'!#ref!</f>
        <v>#VALUE!</v>
      </c>
      <c r="D17" s="30" t="e">
        <f aca="false">'stammdaten - schwimmer'!#ref!+'stammdaten - schwimmer'!#ref!+'stammdaten - schwimmer'!#ref!+'stammdaten - schwimmer'!#ref!+'Stammdaten - Schwimmer'!Z14</f>
        <v>#VALUE!</v>
      </c>
      <c r="E17" s="46" t="e">
        <f aca="false">'stammdaten - schwimmer'!#ref!</f>
        <v>#VALUE!</v>
      </c>
      <c r="H17" s="29" t="e">
        <f aca="false">IF('stammdaten - schwimmer'!#ref!&gt;DATE(2011,7,20),A17,)</f>
        <v>#VALUE!</v>
      </c>
      <c r="I17" s="29" t="e">
        <f aca="false">IF('stammdaten - schwimmer'!#ref!&gt;DATE(2011,7,20),B17,)</f>
        <v>#VALUE!</v>
      </c>
      <c r="J17" s="29" t="e">
        <f aca="false">IF('stammdaten - schwimmer'!#ref!&gt;DATE(2011,7,20),C17,)</f>
        <v>#VALUE!</v>
      </c>
      <c r="K17" s="30" t="e">
        <f aca="false">IF('stammdaten - schwimmer'!#ref!&gt;DATE(2011,7,20),D17,)</f>
        <v>#VALUE!</v>
      </c>
      <c r="L17" s="29" t="e">
        <f aca="false">IF('stammdaten - schwimmer'!#ref!&gt;DATE(2011,7,20),'stammdaten - schwimmer'!#ref!,)</f>
        <v>#VALUE!</v>
      </c>
      <c r="M17" s="0" t="e">
        <f aca="false">_xlfn.RANK.EQ(L17,L$4:L$103,0)</f>
        <v>#REF!</v>
      </c>
      <c r="O17" s="29" t="e">
        <f aca="false">IF(AND('stammdaten - schwimmer'!#ref!&lt;DATE(2011,7,20),'stammdaten - schwimmer'!#ref!&gt;DATE(2007,7,19)),A17,)</f>
        <v>#VALUE!</v>
      </c>
      <c r="P17" s="29" t="e">
        <f aca="false">IF(AND('stammdaten - schwimmer'!#ref!&lt;DATE(2011,7,20),'stammdaten - schwimmer'!#ref!&gt;DATE(2007,7,19)),B17,)</f>
        <v>#VALUE!</v>
      </c>
      <c r="Q17" s="29" t="e">
        <f aca="false">IF(AND('stammdaten - schwimmer'!#ref!&lt;DATE(2011,7,20),'stammdaten - schwimmer'!#ref!&gt;DATE(2007,7,19)),C17,)</f>
        <v>#VALUE!</v>
      </c>
      <c r="R17" s="30" t="e">
        <f aca="false">IF(AND('stammdaten - schwimmer'!#ref!&lt;DATE(2011,7,20),'stammdaten - schwimmer'!#ref!&gt;DATE(2007,7,19)),D17,)</f>
        <v>#VALUE!</v>
      </c>
      <c r="S17" s="46" t="e">
        <f aca="false">IF(AND('stammdaten - schwimmer'!#ref!&lt;DATE(2011,7,20),'stammdaten - schwimmer'!#ref!&gt;DATE(2007,7,19)),'stammdaten - schwimmer'!#ref!,)</f>
        <v>#VALUE!</v>
      </c>
      <c r="T17" s="0" t="e">
        <f aca="false">_xlfn.RANK.EQ(S17,S$4:S$103,0)</f>
        <v>#REF!</v>
      </c>
      <c r="V17" s="29" t="e">
        <f aca="false">IF('stammdaten - schwimmer'!#ref!&lt;DATE(2007,7,20),A17,)</f>
        <v>#VALUE!</v>
      </c>
      <c r="W17" s="29" t="e">
        <f aca="false">IF('stammdaten - schwimmer'!#ref!&lt;DATE(2007,7,20),B17,)</f>
        <v>#VALUE!</v>
      </c>
      <c r="X17" s="29" t="e">
        <f aca="false">IF('stammdaten - schwimmer'!#ref!&lt;DATE(2007,7,20),C17,)</f>
        <v>#VALUE!</v>
      </c>
      <c r="Y17" s="30" t="e">
        <f aca="false">IF('stammdaten - schwimmer'!#ref!&lt;DATE(2007,7,20),D17,)</f>
        <v>#VALUE!</v>
      </c>
      <c r="Z17" s="46" t="e">
        <f aca="false">IF('stammdaten - schwimmer'!#ref!&lt;DATE(2007,7,20),'stammdaten - schwimmer'!#ref!,)</f>
        <v>#VALUE!</v>
      </c>
      <c r="AA17" s="0" t="e">
        <f aca="false">_xlfn.RANK.EQ(Z17,Z$4:Z$103,0)</f>
        <v>#REF!</v>
      </c>
    </row>
    <row r="18" customFormat="false" ht="15" hidden="false" customHeight="false" outlineLevel="0" collapsed="false">
      <c r="A18" s="44" t="n">
        <f aca="false">'Stammdaten - Schwimmer'!A14</f>
        <v>12</v>
      </c>
      <c r="B18" s="45" t="str">
        <f aca="false">'Stammdaten - Schwimmer'!B14</f>
        <v>Glass</v>
      </c>
      <c r="C18" s="45" t="str">
        <f aca="false">'Stammdaten - Schwimmer'!C14</f>
        <v>Helmut</v>
      </c>
      <c r="D18" s="30" t="n">
        <f aca="false">'Stammdaten - Schwimmer'!J14+'Stammdaten - Schwimmer'!N14+'Stammdaten - Schwimmer'!R14+'Stammdaten - Schwimmer'!V14+'Stammdaten - Schwimmer'!Z15</f>
        <v>25</v>
      </c>
      <c r="E18" s="46" t="n">
        <f aca="false">'Stammdaten - Schwimmer'!F14</f>
        <v>50</v>
      </c>
      <c r="H18" s="29" t="n">
        <f aca="false">IF('Stammdaten - Schwimmer'!D14&gt;DATE(2011,7,20),A18,)</f>
        <v>0</v>
      </c>
      <c r="I18" s="29" t="n">
        <f aca="false">IF('Stammdaten - Schwimmer'!$D14&gt;DATE(2011,7,20),B18,)</f>
        <v>0</v>
      </c>
      <c r="J18" s="29" t="n">
        <f aca="false">IF('Stammdaten - Schwimmer'!$D14&gt;DATE(2011,7,20),C18,)</f>
        <v>0</v>
      </c>
      <c r="K18" s="30" t="n">
        <f aca="false">IF('Stammdaten - Schwimmer'!$D14&gt;DATE(2011,7,20),D18,)</f>
        <v>0</v>
      </c>
      <c r="L18" s="29" t="n">
        <f aca="false">IF('Stammdaten - Schwimmer'!$D14&gt;DATE(2011,7,20),'Stammdaten - Schwimmer'!F14,)</f>
        <v>0</v>
      </c>
      <c r="M18" s="0" t="e">
        <f aca="false">_xlfn.RANK.EQ(L18,L$4:L$103,0)</f>
        <v>#REF!</v>
      </c>
      <c r="O18" s="29" t="n">
        <f aca="false">IF(AND('Stammdaten - Schwimmer'!$D14&lt;DATE(2011,7,20),'Stammdaten - Schwimmer'!$D14&gt;DATE(2007,7,19)),A18,)</f>
        <v>0</v>
      </c>
      <c r="P18" s="29" t="n">
        <f aca="false">IF(AND('Stammdaten - Schwimmer'!$D14&lt;DATE(2011,7,20),'Stammdaten - Schwimmer'!$D14&gt;DATE(2007,7,19)),B18,)</f>
        <v>0</v>
      </c>
      <c r="Q18" s="29" t="n">
        <f aca="false">IF(AND('Stammdaten - Schwimmer'!$D14&lt;DATE(2011,7,20),'Stammdaten - Schwimmer'!$D14&gt;DATE(2007,7,19)),C18,)</f>
        <v>0</v>
      </c>
      <c r="R18" s="30" t="n">
        <f aca="false">IF(AND('Stammdaten - Schwimmer'!$D14&lt;DATE(2011,7,20),'Stammdaten - Schwimmer'!$D14&gt;DATE(2007,7,19)),D18,)</f>
        <v>0</v>
      </c>
      <c r="S18" s="46" t="n">
        <f aca="false">IF(AND('Stammdaten - Schwimmer'!$D14&lt;DATE(2011,7,20),'Stammdaten - Schwimmer'!$D14&gt;DATE(2007,7,19)),'Stammdaten - Schwimmer'!F14,)</f>
        <v>0</v>
      </c>
      <c r="T18" s="0" t="e">
        <f aca="false">_xlfn.RANK.EQ(S18,S$4:S$103,0)</f>
        <v>#REF!</v>
      </c>
      <c r="V18" s="29" t="n">
        <f aca="false">IF('Stammdaten - Schwimmer'!$D14&lt;DATE(2007,7,20),A18,)</f>
        <v>12</v>
      </c>
      <c r="W18" s="29" t="str">
        <f aca="false">IF('Stammdaten - Schwimmer'!$D14&lt;DATE(2007,7,20),B18,)</f>
        <v>Glass</v>
      </c>
      <c r="X18" s="29" t="str">
        <f aca="false">IF('Stammdaten - Schwimmer'!$D14&lt;DATE(2007,7,20),C18,)</f>
        <v>Helmut</v>
      </c>
      <c r="Y18" s="30" t="n">
        <f aca="false">IF('Stammdaten - Schwimmer'!$D14&lt;DATE(2007,7,20),D18,)</f>
        <v>25</v>
      </c>
      <c r="Z18" s="46" t="n">
        <f aca="false">IF('Stammdaten - Schwimmer'!$D14&lt;DATE(2007,7,20),'Stammdaten - Schwimmer'!F14,)</f>
        <v>50</v>
      </c>
      <c r="AA18" s="0" t="e">
        <f aca="false">_xlfn.RANK.EQ(Z18,Z$4:Z$103,0)</f>
        <v>#REF!</v>
      </c>
    </row>
    <row r="19" customFormat="false" ht="15" hidden="false" customHeight="false" outlineLevel="0" collapsed="false">
      <c r="A19" s="44" t="n">
        <f aca="false">'Stammdaten - Schwimmer'!A15</f>
        <v>13</v>
      </c>
      <c r="B19" s="45" t="str">
        <f aca="false">'Stammdaten - Schwimmer'!B15</f>
        <v>Bachmann</v>
      </c>
      <c r="C19" s="45" t="str">
        <f aca="false">'Stammdaten - Schwimmer'!C15</f>
        <v>Anna</v>
      </c>
      <c r="D19" s="30" t="n">
        <f aca="false">'Stammdaten - Schwimmer'!J15+'Stammdaten - Schwimmer'!N15+'Stammdaten - Schwimmer'!R15+'Stammdaten - Schwimmer'!V15+'Stammdaten - Schwimmer'!Z16</f>
        <v>32</v>
      </c>
      <c r="E19" s="46" t="n">
        <f aca="false">'Stammdaten - Schwimmer'!F15</f>
        <v>64</v>
      </c>
      <c r="H19" s="29" t="n">
        <f aca="false">IF('Stammdaten - Schwimmer'!D15&gt;DATE(2011,7,20),A19,)</f>
        <v>0</v>
      </c>
      <c r="I19" s="29" t="n">
        <f aca="false">IF('Stammdaten - Schwimmer'!$D15&gt;DATE(2011,7,20),B19,)</f>
        <v>0</v>
      </c>
      <c r="J19" s="29" t="n">
        <f aca="false">IF('Stammdaten - Schwimmer'!$D15&gt;DATE(2011,7,20),C19,)</f>
        <v>0</v>
      </c>
      <c r="K19" s="30" t="n">
        <f aca="false">IF('Stammdaten - Schwimmer'!$D15&gt;DATE(2011,7,20),D19,)</f>
        <v>0</v>
      </c>
      <c r="L19" s="29" t="n">
        <f aca="false">IF('Stammdaten - Schwimmer'!$D15&gt;DATE(2011,7,20),'Stammdaten - Schwimmer'!F15,)</f>
        <v>0</v>
      </c>
      <c r="M19" s="0" t="e">
        <f aca="false">_xlfn.RANK.EQ(L19,L$4:L$103,0)</f>
        <v>#REF!</v>
      </c>
      <c r="O19" s="29" t="n">
        <f aca="false">IF(AND('Stammdaten - Schwimmer'!$D15&lt;DATE(2011,7,20),'Stammdaten - Schwimmer'!$D15&gt;DATE(2007,7,19)),A19,)</f>
        <v>0</v>
      </c>
      <c r="P19" s="29" t="n">
        <f aca="false">IF(AND('Stammdaten - Schwimmer'!$D15&lt;DATE(2011,7,20),'Stammdaten - Schwimmer'!$D15&gt;DATE(2007,7,19)),B19,)</f>
        <v>0</v>
      </c>
      <c r="Q19" s="29" t="n">
        <f aca="false">IF(AND('Stammdaten - Schwimmer'!$D15&lt;DATE(2011,7,20),'Stammdaten - Schwimmer'!$D15&gt;DATE(2007,7,19)),C19,)</f>
        <v>0</v>
      </c>
      <c r="R19" s="30" t="n">
        <f aca="false">IF(AND('Stammdaten - Schwimmer'!$D15&lt;DATE(2011,7,20),'Stammdaten - Schwimmer'!$D15&gt;DATE(2007,7,19)),D19,)</f>
        <v>0</v>
      </c>
      <c r="S19" s="46" t="n">
        <f aca="false">IF(AND('Stammdaten - Schwimmer'!$D15&lt;DATE(2011,7,20),'Stammdaten - Schwimmer'!$D15&gt;DATE(2007,7,19)),'Stammdaten - Schwimmer'!F15,)</f>
        <v>0</v>
      </c>
      <c r="T19" s="0" t="e">
        <f aca="false">_xlfn.RANK.EQ(S19,S$4:S$103,0)</f>
        <v>#REF!</v>
      </c>
      <c r="V19" s="29" t="n">
        <f aca="false">IF('Stammdaten - Schwimmer'!$D15&lt;DATE(2007,7,20),A19,)</f>
        <v>13</v>
      </c>
      <c r="W19" s="29" t="str">
        <f aca="false">IF('Stammdaten - Schwimmer'!$D15&lt;DATE(2007,7,20),B19,)</f>
        <v>Bachmann</v>
      </c>
      <c r="X19" s="29" t="str">
        <f aca="false">IF('Stammdaten - Schwimmer'!$D15&lt;DATE(2007,7,20),C19,)</f>
        <v>Anna</v>
      </c>
      <c r="Y19" s="30" t="n">
        <f aca="false">IF('Stammdaten - Schwimmer'!$D15&lt;DATE(2007,7,20),D19,)</f>
        <v>32</v>
      </c>
      <c r="Z19" s="46" t="n">
        <f aca="false">IF('Stammdaten - Schwimmer'!$D15&lt;DATE(2007,7,20),'Stammdaten - Schwimmer'!F15,)</f>
        <v>64</v>
      </c>
      <c r="AA19" s="0" t="e">
        <f aca="false">_xlfn.RANK.EQ(Z19,Z$4:Z$103,0)</f>
        <v>#REF!</v>
      </c>
    </row>
    <row r="20" customFormat="false" ht="15" hidden="false" customHeight="false" outlineLevel="0" collapsed="false">
      <c r="A20" s="44" t="n">
        <f aca="false">'Stammdaten - Schwimmer'!A16</f>
        <v>14</v>
      </c>
      <c r="B20" s="45" t="str">
        <f aca="false">'Stammdaten - Schwimmer'!B16</f>
        <v>König</v>
      </c>
      <c r="C20" s="45" t="str">
        <f aca="false">'Stammdaten - Schwimmer'!C16</f>
        <v>Viola</v>
      </c>
      <c r="D20" s="30" t="n">
        <f aca="false">'Stammdaten - Schwimmer'!J16+'Stammdaten - Schwimmer'!N16+'Stammdaten - Schwimmer'!R16+'Stammdaten - Schwimmer'!V16+'Stammdaten - Schwimmer'!Z17</f>
        <v>33</v>
      </c>
      <c r="E20" s="46" t="n">
        <f aca="false">'Stammdaten - Schwimmer'!F16</f>
        <v>66</v>
      </c>
      <c r="H20" s="29" t="n">
        <f aca="false">IF('Stammdaten - Schwimmer'!D16&gt;DATE(2011,7,20),A20,)</f>
        <v>0</v>
      </c>
      <c r="I20" s="29" t="n">
        <f aca="false">IF('Stammdaten - Schwimmer'!$D16&gt;DATE(2011,7,20),B20,)</f>
        <v>0</v>
      </c>
      <c r="J20" s="29" t="n">
        <f aca="false">IF('Stammdaten - Schwimmer'!$D16&gt;DATE(2011,7,20),C20,)</f>
        <v>0</v>
      </c>
      <c r="K20" s="30" t="n">
        <f aca="false">IF('Stammdaten - Schwimmer'!$D16&gt;DATE(2011,7,20),D20,)</f>
        <v>0</v>
      </c>
      <c r="L20" s="29" t="n">
        <f aca="false">IF('Stammdaten - Schwimmer'!$D16&gt;DATE(2011,7,20),'Stammdaten - Schwimmer'!F16,)</f>
        <v>0</v>
      </c>
      <c r="M20" s="0" t="e">
        <f aca="false">_xlfn.RANK.EQ(L20,L$4:L$103,0)</f>
        <v>#REF!</v>
      </c>
      <c r="O20" s="29" t="n">
        <f aca="false">IF(AND('Stammdaten - Schwimmer'!$D16&lt;DATE(2011,7,20),'Stammdaten - Schwimmer'!$D16&gt;DATE(2007,7,19)),A20,)</f>
        <v>0</v>
      </c>
      <c r="P20" s="29" t="n">
        <f aca="false">IF(AND('Stammdaten - Schwimmer'!$D16&lt;DATE(2011,7,20),'Stammdaten - Schwimmer'!$D16&gt;DATE(2007,7,19)),B20,)</f>
        <v>0</v>
      </c>
      <c r="Q20" s="29" t="n">
        <f aca="false">IF(AND('Stammdaten - Schwimmer'!$D16&lt;DATE(2011,7,20),'Stammdaten - Schwimmer'!$D16&gt;DATE(2007,7,19)),C20,)</f>
        <v>0</v>
      </c>
      <c r="R20" s="30" t="n">
        <f aca="false">IF(AND('Stammdaten - Schwimmer'!$D16&lt;DATE(2011,7,20),'Stammdaten - Schwimmer'!$D16&gt;DATE(2007,7,19)),D20,)</f>
        <v>0</v>
      </c>
      <c r="S20" s="46" t="n">
        <f aca="false">IF(AND('Stammdaten - Schwimmer'!$D16&lt;DATE(2011,7,20),'Stammdaten - Schwimmer'!$D16&gt;DATE(2007,7,19)),'Stammdaten - Schwimmer'!F16,)</f>
        <v>0</v>
      </c>
      <c r="T20" s="0" t="e">
        <f aca="false">_xlfn.RANK.EQ(S20,S$4:S$103,0)</f>
        <v>#REF!</v>
      </c>
      <c r="V20" s="29" t="n">
        <f aca="false">IF('Stammdaten - Schwimmer'!$D16&lt;DATE(2007,7,20),A20,)</f>
        <v>14</v>
      </c>
      <c r="W20" s="29" t="str">
        <f aca="false">IF('Stammdaten - Schwimmer'!$D16&lt;DATE(2007,7,20),B20,)</f>
        <v>König</v>
      </c>
      <c r="X20" s="29" t="str">
        <f aca="false">IF('Stammdaten - Schwimmer'!$D16&lt;DATE(2007,7,20),C20,)</f>
        <v>Viola</v>
      </c>
      <c r="Y20" s="30" t="n">
        <f aca="false">IF('Stammdaten - Schwimmer'!$D16&lt;DATE(2007,7,20),D20,)</f>
        <v>33</v>
      </c>
      <c r="Z20" s="46" t="n">
        <f aca="false">IF('Stammdaten - Schwimmer'!$D16&lt;DATE(2007,7,20),'Stammdaten - Schwimmer'!F16,)</f>
        <v>66</v>
      </c>
      <c r="AA20" s="0" t="e">
        <f aca="false">_xlfn.RANK.EQ(Z20,Z$4:Z$103,0)</f>
        <v>#REF!</v>
      </c>
    </row>
    <row r="21" customFormat="false" ht="15" hidden="false" customHeight="false" outlineLevel="0" collapsed="false">
      <c r="A21" s="44" t="n">
        <f aca="false">'Stammdaten - Schwimmer'!A17</f>
        <v>15</v>
      </c>
      <c r="B21" s="45" t="str">
        <f aca="false">'Stammdaten - Schwimmer'!B17</f>
        <v>Kesten</v>
      </c>
      <c r="C21" s="45" t="str">
        <f aca="false">'Stammdaten - Schwimmer'!C17</f>
        <v>Annabelle</v>
      </c>
      <c r="D21" s="30" t="n">
        <f aca="false">'Stammdaten - Schwimmer'!J17+'Stammdaten - Schwimmer'!N17+'Stammdaten - Schwimmer'!R17+'Stammdaten - Schwimmer'!V17+'Stammdaten - Schwimmer'!Z18</f>
        <v>205</v>
      </c>
      <c r="E21" s="46" t="n">
        <f aca="false">'Stammdaten - Schwimmer'!F17</f>
        <v>82</v>
      </c>
      <c r="H21" s="29" t="n">
        <f aca="false">IF('Stammdaten - Schwimmer'!D17&gt;DATE(2011,7,20),A21,)</f>
        <v>15</v>
      </c>
      <c r="I21" s="29" t="str">
        <f aca="false">IF('Stammdaten - Schwimmer'!$D17&gt;DATE(2011,7,20),B21,)</f>
        <v>Kesten</v>
      </c>
      <c r="J21" s="29" t="str">
        <f aca="false">IF('Stammdaten - Schwimmer'!$D17&gt;DATE(2011,7,20),C21,)</f>
        <v>Annabelle</v>
      </c>
      <c r="K21" s="30" t="n">
        <f aca="false">IF('Stammdaten - Schwimmer'!$D17&gt;DATE(2011,7,20),D21,)</f>
        <v>205</v>
      </c>
      <c r="L21" s="29" t="n">
        <f aca="false">IF('Stammdaten - Schwimmer'!$D17&gt;DATE(2011,7,20),'Stammdaten - Schwimmer'!F17,)</f>
        <v>82</v>
      </c>
      <c r="M21" s="0" t="e">
        <f aca="false">_xlfn.RANK.EQ(L21,L$4:L$103,0)</f>
        <v>#REF!</v>
      </c>
      <c r="O21" s="29" t="n">
        <f aca="false">IF(AND('Stammdaten - Schwimmer'!$D17&lt;DATE(2011,7,20),'Stammdaten - Schwimmer'!$D17&gt;DATE(2007,7,19)),A21,)</f>
        <v>0</v>
      </c>
      <c r="P21" s="29" t="n">
        <f aca="false">IF(AND('Stammdaten - Schwimmer'!$D17&lt;DATE(2011,7,20),'Stammdaten - Schwimmer'!$D17&gt;DATE(2007,7,19)),B21,)</f>
        <v>0</v>
      </c>
      <c r="Q21" s="29" t="n">
        <f aca="false">IF(AND('Stammdaten - Schwimmer'!$D17&lt;DATE(2011,7,20),'Stammdaten - Schwimmer'!$D17&gt;DATE(2007,7,19)),C21,)</f>
        <v>0</v>
      </c>
      <c r="R21" s="30" t="n">
        <f aca="false">IF(AND('Stammdaten - Schwimmer'!$D17&lt;DATE(2011,7,20),'Stammdaten - Schwimmer'!$D17&gt;DATE(2007,7,19)),D21,)</f>
        <v>0</v>
      </c>
      <c r="S21" s="46" t="n">
        <f aca="false">IF(AND('Stammdaten - Schwimmer'!$D17&lt;DATE(2011,7,20),'Stammdaten - Schwimmer'!$D17&gt;DATE(2007,7,19)),'Stammdaten - Schwimmer'!F17,)</f>
        <v>0</v>
      </c>
      <c r="T21" s="0" t="e">
        <f aca="false">_xlfn.RANK.EQ(S21,S$4:S$103,0)</f>
        <v>#REF!</v>
      </c>
      <c r="V21" s="29" t="n">
        <f aca="false">IF('Stammdaten - Schwimmer'!$D17&lt;DATE(2007,7,20),A21,)</f>
        <v>0</v>
      </c>
      <c r="W21" s="29" t="n">
        <f aca="false">IF('Stammdaten - Schwimmer'!$D17&lt;DATE(2007,7,20),B21,)</f>
        <v>0</v>
      </c>
      <c r="X21" s="29" t="n">
        <f aca="false">IF('Stammdaten - Schwimmer'!$D17&lt;DATE(2007,7,20),C21,)</f>
        <v>0</v>
      </c>
      <c r="Y21" s="30" t="n">
        <f aca="false">IF('Stammdaten - Schwimmer'!$D17&lt;DATE(2007,7,20),D21,)</f>
        <v>0</v>
      </c>
      <c r="Z21" s="46" t="n">
        <f aca="false">IF('Stammdaten - Schwimmer'!$D17&lt;DATE(2007,7,20),'Stammdaten - Schwimmer'!F17,)</f>
        <v>0</v>
      </c>
      <c r="AA21" s="0" t="e">
        <f aca="false">_xlfn.RANK.EQ(Z21,Z$4:Z$103,0)</f>
        <v>#REF!</v>
      </c>
    </row>
    <row r="22" customFormat="false" ht="15" hidden="false" customHeight="false" outlineLevel="0" collapsed="false">
      <c r="A22" s="44" t="n">
        <f aca="false">'Stammdaten - Schwimmer'!A18</f>
        <v>16</v>
      </c>
      <c r="B22" s="45" t="str">
        <f aca="false">'Stammdaten - Schwimmer'!B18</f>
        <v>Strobel</v>
      </c>
      <c r="C22" s="45" t="str">
        <f aca="false">'Stammdaten - Schwimmer'!C18</f>
        <v>Liana</v>
      </c>
      <c r="D22" s="30" t="n">
        <f aca="false">'Stammdaten - Schwimmer'!J18+'Stammdaten - Schwimmer'!N18+'Stammdaten - Schwimmer'!R18+'Stammdaten - Schwimmer'!V18+'Stammdaten - Schwimmer'!Z19</f>
        <v>34</v>
      </c>
      <c r="E22" s="46" t="n">
        <f aca="false">'Stammdaten - Schwimmer'!F18</f>
        <v>68</v>
      </c>
      <c r="H22" s="29" t="n">
        <f aca="false">IF('Stammdaten - Schwimmer'!D18&gt;DATE(2011,7,20),A22,)</f>
        <v>16</v>
      </c>
      <c r="I22" s="29" t="str">
        <f aca="false">IF('Stammdaten - Schwimmer'!$D18&gt;DATE(2011,7,20),B22,)</f>
        <v>Strobel</v>
      </c>
      <c r="J22" s="29" t="str">
        <f aca="false">IF('Stammdaten - Schwimmer'!$D18&gt;DATE(2011,7,20),C22,)</f>
        <v>Liana</v>
      </c>
      <c r="K22" s="30" t="n">
        <f aca="false">IF('Stammdaten - Schwimmer'!$D18&gt;DATE(2011,7,20),D22,)</f>
        <v>34</v>
      </c>
      <c r="L22" s="29" t="n">
        <f aca="false">IF('Stammdaten - Schwimmer'!$D18&gt;DATE(2011,7,20),'Stammdaten - Schwimmer'!F18,)</f>
        <v>68</v>
      </c>
      <c r="M22" s="0" t="e">
        <f aca="false">_xlfn.RANK.EQ(L22,L$4:L$103,0)</f>
        <v>#REF!</v>
      </c>
      <c r="O22" s="29" t="n">
        <f aca="false">IF(AND('Stammdaten - Schwimmer'!$D18&lt;DATE(2011,7,20),'Stammdaten - Schwimmer'!$D18&gt;DATE(2007,7,19)),A22,)</f>
        <v>0</v>
      </c>
      <c r="P22" s="29" t="n">
        <f aca="false">IF(AND('Stammdaten - Schwimmer'!$D18&lt;DATE(2011,7,20),'Stammdaten - Schwimmer'!$D18&gt;DATE(2007,7,19)),B22,)</f>
        <v>0</v>
      </c>
      <c r="Q22" s="29" t="n">
        <f aca="false">IF(AND('Stammdaten - Schwimmer'!$D18&lt;DATE(2011,7,20),'Stammdaten - Schwimmer'!$D18&gt;DATE(2007,7,19)),C22,)</f>
        <v>0</v>
      </c>
      <c r="R22" s="30" t="n">
        <f aca="false">IF(AND('Stammdaten - Schwimmer'!$D18&lt;DATE(2011,7,20),'Stammdaten - Schwimmer'!$D18&gt;DATE(2007,7,19)),D22,)</f>
        <v>0</v>
      </c>
      <c r="S22" s="46" t="n">
        <f aca="false">IF(AND('Stammdaten - Schwimmer'!$D18&lt;DATE(2011,7,20),'Stammdaten - Schwimmer'!$D18&gt;DATE(2007,7,19)),'Stammdaten - Schwimmer'!F18,)</f>
        <v>0</v>
      </c>
      <c r="T22" s="0" t="e">
        <f aca="false">_xlfn.RANK.EQ(S22,S$4:S$103,0)</f>
        <v>#REF!</v>
      </c>
      <c r="V22" s="29" t="n">
        <f aca="false">IF('Stammdaten - Schwimmer'!$D18&lt;DATE(2007,7,20),A22,)</f>
        <v>0</v>
      </c>
      <c r="W22" s="29" t="n">
        <f aca="false">IF('Stammdaten - Schwimmer'!$D18&lt;DATE(2007,7,20),B22,)</f>
        <v>0</v>
      </c>
      <c r="X22" s="29" t="n">
        <f aca="false">IF('Stammdaten - Schwimmer'!$D18&lt;DATE(2007,7,20),C22,)</f>
        <v>0</v>
      </c>
      <c r="Y22" s="30" t="n">
        <f aca="false">IF('Stammdaten - Schwimmer'!$D18&lt;DATE(2007,7,20),D22,)</f>
        <v>0</v>
      </c>
      <c r="Z22" s="46" t="n">
        <f aca="false">IF('Stammdaten - Schwimmer'!$D18&lt;DATE(2007,7,20),'Stammdaten - Schwimmer'!F18,)</f>
        <v>0</v>
      </c>
      <c r="AA22" s="0" t="e">
        <f aca="false">_xlfn.RANK.EQ(Z22,Z$4:Z$103,0)</f>
        <v>#REF!</v>
      </c>
    </row>
    <row r="23" customFormat="false" ht="15" hidden="false" customHeight="false" outlineLevel="0" collapsed="false">
      <c r="A23" s="44" t="n">
        <f aca="false">'Stammdaten - Schwimmer'!A19</f>
        <v>17</v>
      </c>
      <c r="B23" s="45" t="str">
        <f aca="false">'Stammdaten - Schwimmer'!B19</f>
        <v>Baur</v>
      </c>
      <c r="C23" s="45" t="str">
        <f aca="false">'Stammdaten - Schwimmer'!C19</f>
        <v>Seweryn</v>
      </c>
      <c r="D23" s="30" t="n">
        <f aca="false">'Stammdaten - Schwimmer'!J19+'Stammdaten - Schwimmer'!N19+'Stammdaten - Schwimmer'!R19+'Stammdaten - Schwimmer'!V19+'Stammdaten - Schwimmer'!Z20</f>
        <v>22</v>
      </c>
      <c r="E23" s="46" t="n">
        <f aca="false">'Stammdaten - Schwimmer'!F19</f>
        <v>22</v>
      </c>
      <c r="H23" s="29" t="n">
        <f aca="false">IF('Stammdaten - Schwimmer'!D19&gt;DATE(2011,7,20),A23,)</f>
        <v>0</v>
      </c>
      <c r="I23" s="29" t="n">
        <f aca="false">IF('Stammdaten - Schwimmer'!$D19&gt;DATE(2011,7,20),B23,)</f>
        <v>0</v>
      </c>
      <c r="J23" s="29" t="n">
        <f aca="false">IF('Stammdaten - Schwimmer'!$D19&gt;DATE(2011,7,20),C23,)</f>
        <v>0</v>
      </c>
      <c r="K23" s="30" t="n">
        <f aca="false">IF('Stammdaten - Schwimmer'!$D19&gt;DATE(2011,7,20),D23,)</f>
        <v>0</v>
      </c>
      <c r="L23" s="29" t="n">
        <f aca="false">IF('Stammdaten - Schwimmer'!$D19&gt;DATE(2011,7,20),'Stammdaten - Schwimmer'!F19,)</f>
        <v>0</v>
      </c>
      <c r="M23" s="0" t="e">
        <f aca="false">_xlfn.RANK.EQ(L23,L$4:L$103,0)</f>
        <v>#REF!</v>
      </c>
      <c r="O23" s="29" t="n">
        <f aca="false">IF(AND('Stammdaten - Schwimmer'!$D19&lt;DATE(2011,7,20),'Stammdaten - Schwimmer'!$D19&gt;DATE(2007,7,19)),A23,)</f>
        <v>0</v>
      </c>
      <c r="P23" s="29" t="n">
        <f aca="false">IF(AND('Stammdaten - Schwimmer'!$D19&lt;DATE(2011,7,20),'Stammdaten - Schwimmer'!$D19&gt;DATE(2007,7,19)),B23,)</f>
        <v>0</v>
      </c>
      <c r="Q23" s="29" t="n">
        <f aca="false">IF(AND('Stammdaten - Schwimmer'!$D19&lt;DATE(2011,7,20),'Stammdaten - Schwimmer'!$D19&gt;DATE(2007,7,19)),C23,)</f>
        <v>0</v>
      </c>
      <c r="R23" s="30" t="n">
        <f aca="false">IF(AND('Stammdaten - Schwimmer'!$D19&lt;DATE(2011,7,20),'Stammdaten - Schwimmer'!$D19&gt;DATE(2007,7,19)),D23,)</f>
        <v>0</v>
      </c>
      <c r="S23" s="46" t="n">
        <f aca="false">IF(AND('Stammdaten - Schwimmer'!$D19&lt;DATE(2011,7,20),'Stammdaten - Schwimmer'!$D19&gt;DATE(2007,7,19)),'Stammdaten - Schwimmer'!F19,)</f>
        <v>0</v>
      </c>
      <c r="T23" s="0" t="e">
        <f aca="false">_xlfn.RANK.EQ(S23,S$4:S$103,0)</f>
        <v>#REF!</v>
      </c>
      <c r="V23" s="29" t="n">
        <f aca="false">IF('Stammdaten - Schwimmer'!$D19&lt;DATE(2007,7,20),A23,)</f>
        <v>17</v>
      </c>
      <c r="W23" s="29" t="str">
        <f aca="false">IF('Stammdaten - Schwimmer'!$D19&lt;DATE(2007,7,20),B23,)</f>
        <v>Baur</v>
      </c>
      <c r="X23" s="29" t="str">
        <f aca="false">IF('Stammdaten - Schwimmer'!$D19&lt;DATE(2007,7,20),C23,)</f>
        <v>Seweryn</v>
      </c>
      <c r="Y23" s="30" t="n">
        <f aca="false">IF('Stammdaten - Schwimmer'!$D19&lt;DATE(2007,7,20),D23,)</f>
        <v>22</v>
      </c>
      <c r="Z23" s="46" t="n">
        <f aca="false">IF('Stammdaten - Schwimmer'!$D19&lt;DATE(2007,7,20),'Stammdaten - Schwimmer'!F19,)</f>
        <v>22</v>
      </c>
      <c r="AA23" s="0" t="e">
        <f aca="false">_xlfn.RANK.EQ(Z23,Z$4:Z$103,0)</f>
        <v>#REF!</v>
      </c>
    </row>
    <row r="24" customFormat="false" ht="15" hidden="false" customHeight="false" outlineLevel="0" collapsed="false">
      <c r="A24" s="44" t="n">
        <f aca="false">'Stammdaten - Schwimmer'!A20</f>
        <v>18</v>
      </c>
      <c r="B24" s="45" t="str">
        <f aca="false">'Stammdaten - Schwimmer'!B20</f>
        <v>Baur</v>
      </c>
      <c r="C24" s="45" t="str">
        <f aca="false">'Stammdaten - Schwimmer'!C20</f>
        <v>Amelie</v>
      </c>
      <c r="D24" s="30" t="n">
        <f aca="false">'Stammdaten - Schwimmer'!J20+'Stammdaten - Schwimmer'!N20+'Stammdaten - Schwimmer'!R20+'Stammdaten - Schwimmer'!V20+'Stammdaten - Schwimmer'!Z21</f>
        <v>30</v>
      </c>
      <c r="E24" s="46" t="n">
        <f aca="false">'Stammdaten - Schwimmer'!F20</f>
        <v>30</v>
      </c>
      <c r="H24" s="29" t="n">
        <f aca="false">IF('Stammdaten - Schwimmer'!D20&gt;DATE(2011,7,20),A24,)</f>
        <v>0</v>
      </c>
      <c r="I24" s="29" t="n">
        <f aca="false">IF('Stammdaten - Schwimmer'!$D20&gt;DATE(2011,7,20),B24,)</f>
        <v>0</v>
      </c>
      <c r="J24" s="29" t="n">
        <f aca="false">IF('Stammdaten - Schwimmer'!$D20&gt;DATE(2011,7,20),C24,)</f>
        <v>0</v>
      </c>
      <c r="K24" s="30" t="n">
        <f aca="false">IF('Stammdaten - Schwimmer'!$D20&gt;DATE(2011,7,20),D24,)</f>
        <v>0</v>
      </c>
      <c r="L24" s="29" t="n">
        <f aca="false">IF('Stammdaten - Schwimmer'!$D20&gt;DATE(2011,7,20),'Stammdaten - Schwimmer'!F20,)</f>
        <v>0</v>
      </c>
      <c r="M24" s="0" t="e">
        <f aca="false">_xlfn.RANK.EQ(L24,L$4:L$103,0)</f>
        <v>#REF!</v>
      </c>
      <c r="O24" s="29" t="n">
        <f aca="false">IF(AND('Stammdaten - Schwimmer'!$D20&lt;DATE(2011,7,20),'Stammdaten - Schwimmer'!$D20&gt;DATE(2007,7,19)),A24,)</f>
        <v>0</v>
      </c>
      <c r="P24" s="29" t="n">
        <f aca="false">IF(AND('Stammdaten - Schwimmer'!$D20&lt;DATE(2011,7,20),'Stammdaten - Schwimmer'!$D20&gt;DATE(2007,7,19)),B24,)</f>
        <v>0</v>
      </c>
      <c r="Q24" s="29" t="n">
        <f aca="false">IF(AND('Stammdaten - Schwimmer'!$D20&lt;DATE(2011,7,20),'Stammdaten - Schwimmer'!$D20&gt;DATE(2007,7,19)),C24,)</f>
        <v>0</v>
      </c>
      <c r="R24" s="30" t="n">
        <f aca="false">IF(AND('Stammdaten - Schwimmer'!$D20&lt;DATE(2011,7,20),'Stammdaten - Schwimmer'!$D20&gt;DATE(2007,7,19)),D24,)</f>
        <v>0</v>
      </c>
      <c r="S24" s="46" t="n">
        <f aca="false">IF(AND('Stammdaten - Schwimmer'!$D20&lt;DATE(2011,7,20),'Stammdaten - Schwimmer'!$D20&gt;DATE(2007,7,19)),'Stammdaten - Schwimmer'!F20,)</f>
        <v>0</v>
      </c>
      <c r="T24" s="0" t="e">
        <f aca="false">_xlfn.RANK.EQ(S24,S$4:S$103,0)</f>
        <v>#REF!</v>
      </c>
      <c r="V24" s="29" t="n">
        <f aca="false">IF('Stammdaten - Schwimmer'!$D20&lt;DATE(2007,7,20),A24,)</f>
        <v>18</v>
      </c>
      <c r="W24" s="29" t="str">
        <f aca="false">IF('Stammdaten - Schwimmer'!$D20&lt;DATE(2007,7,20),B24,)</f>
        <v>Baur</v>
      </c>
      <c r="X24" s="29" t="str">
        <f aca="false">IF('Stammdaten - Schwimmer'!$D20&lt;DATE(2007,7,20),C24,)</f>
        <v>Amelie</v>
      </c>
      <c r="Y24" s="30" t="n">
        <f aca="false">IF('Stammdaten - Schwimmer'!$D20&lt;DATE(2007,7,20),D24,)</f>
        <v>30</v>
      </c>
      <c r="Z24" s="46" t="n">
        <f aca="false">IF('Stammdaten - Schwimmer'!$D20&lt;DATE(2007,7,20),'Stammdaten - Schwimmer'!F20,)</f>
        <v>30</v>
      </c>
      <c r="AA24" s="0" t="e">
        <f aca="false">_xlfn.RANK.EQ(Z24,Z$4:Z$103,0)</f>
        <v>#REF!</v>
      </c>
    </row>
    <row r="25" customFormat="false" ht="15" hidden="false" customHeight="false" outlineLevel="0" collapsed="false">
      <c r="A25" s="44" t="n">
        <f aca="false">'Stammdaten - Schwimmer'!A21</f>
        <v>19</v>
      </c>
      <c r="B25" s="45" t="str">
        <f aca="false">'Stammdaten - Schwimmer'!B21</f>
        <v>Maier</v>
      </c>
      <c r="C25" s="45" t="str">
        <f aca="false">'Stammdaten - Schwimmer'!C21</f>
        <v>Johannes</v>
      </c>
      <c r="D25" s="30" t="n">
        <f aca="false">'Stammdaten - Schwimmer'!J21+'Stammdaten - Schwimmer'!N21+'Stammdaten - Schwimmer'!R21+'Stammdaten - Schwimmer'!V21+'Stammdaten - Schwimmer'!Z22</f>
        <v>90</v>
      </c>
      <c r="E25" s="46" t="n">
        <f aca="false">'Stammdaten - Schwimmer'!F21</f>
        <v>90</v>
      </c>
      <c r="H25" s="29" t="n">
        <f aca="false">IF('Stammdaten - Schwimmer'!D21&gt;DATE(2011,7,20),A25,)</f>
        <v>19</v>
      </c>
      <c r="I25" s="29" t="str">
        <f aca="false">IF('Stammdaten - Schwimmer'!$D21&gt;DATE(2011,7,20),B25,)</f>
        <v>Maier</v>
      </c>
      <c r="J25" s="29" t="str">
        <f aca="false">IF('Stammdaten - Schwimmer'!$D21&gt;DATE(2011,7,20),C25,)</f>
        <v>Johannes</v>
      </c>
      <c r="K25" s="30" t="n">
        <f aca="false">IF('Stammdaten - Schwimmer'!$D21&gt;DATE(2011,7,20),D25,)</f>
        <v>90</v>
      </c>
      <c r="L25" s="29" t="n">
        <f aca="false">IF('Stammdaten - Schwimmer'!$D21&gt;DATE(2011,7,20),'Stammdaten - Schwimmer'!F21,)</f>
        <v>90</v>
      </c>
      <c r="M25" s="0" t="e">
        <f aca="false">_xlfn.RANK.EQ(L25,L$4:L$103,0)</f>
        <v>#REF!</v>
      </c>
      <c r="O25" s="29" t="n">
        <f aca="false">IF(AND('Stammdaten - Schwimmer'!$D21&lt;DATE(2011,7,20),'Stammdaten - Schwimmer'!$D21&gt;DATE(2007,7,19)),A25,)</f>
        <v>0</v>
      </c>
      <c r="P25" s="29" t="n">
        <f aca="false">IF(AND('Stammdaten - Schwimmer'!$D21&lt;DATE(2011,7,20),'Stammdaten - Schwimmer'!$D21&gt;DATE(2007,7,19)),B25,)</f>
        <v>0</v>
      </c>
      <c r="Q25" s="29" t="n">
        <f aca="false">IF(AND('Stammdaten - Schwimmer'!$D21&lt;DATE(2011,7,20),'Stammdaten - Schwimmer'!$D21&gt;DATE(2007,7,19)),C25,)</f>
        <v>0</v>
      </c>
      <c r="R25" s="30" t="n">
        <f aca="false">IF(AND('Stammdaten - Schwimmer'!$D21&lt;DATE(2011,7,20),'Stammdaten - Schwimmer'!$D21&gt;DATE(2007,7,19)),D25,)</f>
        <v>0</v>
      </c>
      <c r="S25" s="46" t="n">
        <f aca="false">IF(AND('Stammdaten - Schwimmer'!$D21&lt;DATE(2011,7,20),'Stammdaten - Schwimmer'!$D21&gt;DATE(2007,7,19)),'Stammdaten - Schwimmer'!F21,)</f>
        <v>0</v>
      </c>
      <c r="T25" s="0" t="e">
        <f aca="false">_xlfn.RANK.EQ(S25,S$4:S$103,0)</f>
        <v>#REF!</v>
      </c>
      <c r="V25" s="29" t="n">
        <f aca="false">IF('Stammdaten - Schwimmer'!$D21&lt;DATE(2007,7,20),A25,)</f>
        <v>0</v>
      </c>
      <c r="W25" s="29" t="n">
        <f aca="false">IF('Stammdaten - Schwimmer'!$D21&lt;DATE(2007,7,20),B25,)</f>
        <v>0</v>
      </c>
      <c r="X25" s="29" t="n">
        <f aca="false">IF('Stammdaten - Schwimmer'!$D21&lt;DATE(2007,7,20),C25,)</f>
        <v>0</v>
      </c>
      <c r="Y25" s="30" t="n">
        <f aca="false">IF('Stammdaten - Schwimmer'!$D21&lt;DATE(2007,7,20),D25,)</f>
        <v>0</v>
      </c>
      <c r="Z25" s="46" t="n">
        <f aca="false">IF('Stammdaten - Schwimmer'!$D21&lt;DATE(2007,7,20),'Stammdaten - Schwimmer'!F21,)</f>
        <v>0</v>
      </c>
      <c r="AA25" s="0" t="e">
        <f aca="false">_xlfn.RANK.EQ(Z25,Z$4:Z$103,0)</f>
        <v>#REF!</v>
      </c>
    </row>
    <row r="26" customFormat="false" ht="15" hidden="false" customHeight="false" outlineLevel="0" collapsed="false">
      <c r="A26" s="44" t="n">
        <f aca="false">'Stammdaten - Schwimmer'!A22</f>
        <v>20</v>
      </c>
      <c r="B26" s="45" t="str">
        <f aca="false">'Stammdaten - Schwimmer'!B22</f>
        <v>Winkler</v>
      </c>
      <c r="C26" s="45" t="str">
        <f aca="false">'Stammdaten - Schwimmer'!C22</f>
        <v>Anette</v>
      </c>
      <c r="D26" s="30" t="n">
        <f aca="false">'Stammdaten - Schwimmer'!J22+'Stammdaten - Schwimmer'!N22+'Stammdaten - Schwimmer'!R22+'Stammdaten - Schwimmer'!V22+'Stammdaten - Schwimmer'!Z23</f>
        <v>15</v>
      </c>
      <c r="E26" s="46" t="n">
        <f aca="false">'Stammdaten - Schwimmer'!F22</f>
        <v>30</v>
      </c>
      <c r="H26" s="29" t="n">
        <f aca="false">IF('Stammdaten - Schwimmer'!D22&gt;DATE(2011,7,20),A26,)</f>
        <v>0</v>
      </c>
      <c r="I26" s="29" t="n">
        <f aca="false">IF('Stammdaten - Schwimmer'!$D22&gt;DATE(2011,7,20),B26,)</f>
        <v>0</v>
      </c>
      <c r="J26" s="29" t="n">
        <f aca="false">IF('Stammdaten - Schwimmer'!$D22&gt;DATE(2011,7,20),C26,)</f>
        <v>0</v>
      </c>
      <c r="K26" s="30" t="n">
        <f aca="false">IF('Stammdaten - Schwimmer'!$D22&gt;DATE(2011,7,20),D26,)</f>
        <v>0</v>
      </c>
      <c r="L26" s="29" t="n">
        <f aca="false">IF('Stammdaten - Schwimmer'!$D22&gt;DATE(2011,7,20),'Stammdaten - Schwimmer'!F22,)</f>
        <v>0</v>
      </c>
      <c r="M26" s="0" t="e">
        <f aca="false">_xlfn.RANK.EQ(L26,L$4:L$103,0)</f>
        <v>#REF!</v>
      </c>
      <c r="O26" s="29" t="n">
        <f aca="false">IF(AND('Stammdaten - Schwimmer'!$D22&lt;DATE(2011,7,20),'Stammdaten - Schwimmer'!$D22&gt;DATE(2007,7,19)),A26,)</f>
        <v>0</v>
      </c>
      <c r="P26" s="29" t="n">
        <f aca="false">IF(AND('Stammdaten - Schwimmer'!$D22&lt;DATE(2011,7,20),'Stammdaten - Schwimmer'!$D22&gt;DATE(2007,7,19)),B26,)</f>
        <v>0</v>
      </c>
      <c r="Q26" s="29" t="n">
        <f aca="false">IF(AND('Stammdaten - Schwimmer'!$D22&lt;DATE(2011,7,20),'Stammdaten - Schwimmer'!$D22&gt;DATE(2007,7,19)),C26,)</f>
        <v>0</v>
      </c>
      <c r="R26" s="30" t="n">
        <f aca="false">IF(AND('Stammdaten - Schwimmer'!$D22&lt;DATE(2011,7,20),'Stammdaten - Schwimmer'!$D22&gt;DATE(2007,7,19)),D26,)</f>
        <v>0</v>
      </c>
      <c r="S26" s="46" t="n">
        <f aca="false">IF(AND('Stammdaten - Schwimmer'!$D22&lt;DATE(2011,7,20),'Stammdaten - Schwimmer'!$D22&gt;DATE(2007,7,19)),'Stammdaten - Schwimmer'!F22,)</f>
        <v>0</v>
      </c>
      <c r="T26" s="0" t="e">
        <f aca="false">_xlfn.RANK.EQ(S26,S$4:S$103,0)</f>
        <v>#REF!</v>
      </c>
      <c r="V26" s="29" t="n">
        <f aca="false">IF('Stammdaten - Schwimmer'!$D22&lt;DATE(2007,7,20),A26,)</f>
        <v>20</v>
      </c>
      <c r="W26" s="29" t="str">
        <f aca="false">IF('Stammdaten - Schwimmer'!$D22&lt;DATE(2007,7,20),B26,)</f>
        <v>Winkler</v>
      </c>
      <c r="X26" s="29" t="str">
        <f aca="false">IF('Stammdaten - Schwimmer'!$D22&lt;DATE(2007,7,20),C26,)</f>
        <v>Anette</v>
      </c>
      <c r="Y26" s="30" t="n">
        <f aca="false">IF('Stammdaten - Schwimmer'!$D22&lt;DATE(2007,7,20),D26,)</f>
        <v>15</v>
      </c>
      <c r="Z26" s="46" t="n">
        <f aca="false">IF('Stammdaten - Schwimmer'!$D22&lt;DATE(2007,7,20),'Stammdaten - Schwimmer'!F22,)</f>
        <v>30</v>
      </c>
      <c r="AA26" s="0" t="e">
        <f aca="false">_xlfn.RANK.EQ(Z26,Z$4:Z$103,0)</f>
        <v>#REF!</v>
      </c>
    </row>
    <row r="27" customFormat="false" ht="15" hidden="false" customHeight="false" outlineLevel="0" collapsed="false">
      <c r="A27" s="44" t="n">
        <f aca="false">'Stammdaten - Schwimmer'!A23</f>
        <v>21</v>
      </c>
      <c r="B27" s="45" t="str">
        <f aca="false">'Stammdaten - Schwimmer'!B23</f>
        <v>Laub</v>
      </c>
      <c r="C27" s="45" t="str">
        <f aca="false">'Stammdaten - Schwimmer'!C23</f>
        <v>Emma</v>
      </c>
      <c r="D27" s="30" t="n">
        <f aca="false">'Stammdaten - Schwimmer'!J23+'Stammdaten - Schwimmer'!N23+'Stammdaten - Schwimmer'!R23+'Stammdaten - Schwimmer'!V23+'Stammdaten - Schwimmer'!Z24</f>
        <v>11</v>
      </c>
      <c r="E27" s="46" t="n">
        <f aca="false">'Stammdaten - Schwimmer'!F23</f>
        <v>22</v>
      </c>
      <c r="H27" s="29" t="n">
        <f aca="false">IF('Stammdaten - Schwimmer'!D23&gt;DATE(2011,7,20),A27,)</f>
        <v>21</v>
      </c>
      <c r="I27" s="29" t="str">
        <f aca="false">IF('Stammdaten - Schwimmer'!$D23&gt;DATE(2011,7,20),B27,)</f>
        <v>Laub</v>
      </c>
      <c r="J27" s="29" t="str">
        <f aca="false">IF('Stammdaten - Schwimmer'!$D23&gt;DATE(2011,7,20),C27,)</f>
        <v>Emma</v>
      </c>
      <c r="K27" s="30" t="n">
        <f aca="false">IF('Stammdaten - Schwimmer'!$D23&gt;DATE(2011,7,20),D27,)</f>
        <v>11</v>
      </c>
      <c r="L27" s="29" t="n">
        <f aca="false">IF('Stammdaten - Schwimmer'!$D23&gt;DATE(2011,7,20),'Stammdaten - Schwimmer'!F23,)</f>
        <v>22</v>
      </c>
      <c r="M27" s="0" t="e">
        <f aca="false">_xlfn.RANK.EQ(L27,L$4:L$103,0)</f>
        <v>#REF!</v>
      </c>
      <c r="O27" s="29" t="n">
        <f aca="false">IF(AND('Stammdaten - Schwimmer'!$D23&lt;DATE(2011,7,20),'Stammdaten - Schwimmer'!$D23&gt;DATE(2007,7,19)),A27,)</f>
        <v>0</v>
      </c>
      <c r="P27" s="29" t="n">
        <f aca="false">IF(AND('Stammdaten - Schwimmer'!$D23&lt;DATE(2011,7,20),'Stammdaten - Schwimmer'!$D23&gt;DATE(2007,7,19)),B27,)</f>
        <v>0</v>
      </c>
      <c r="Q27" s="29" t="n">
        <f aca="false">IF(AND('Stammdaten - Schwimmer'!$D23&lt;DATE(2011,7,20),'Stammdaten - Schwimmer'!$D23&gt;DATE(2007,7,19)),C27,)</f>
        <v>0</v>
      </c>
      <c r="R27" s="30" t="n">
        <f aca="false">IF(AND('Stammdaten - Schwimmer'!$D23&lt;DATE(2011,7,20),'Stammdaten - Schwimmer'!$D23&gt;DATE(2007,7,19)),D27,)</f>
        <v>0</v>
      </c>
      <c r="S27" s="46" t="n">
        <f aca="false">IF(AND('Stammdaten - Schwimmer'!$D23&lt;DATE(2011,7,20),'Stammdaten - Schwimmer'!$D23&gt;DATE(2007,7,19)),'Stammdaten - Schwimmer'!F23,)</f>
        <v>0</v>
      </c>
      <c r="T27" s="0" t="e">
        <f aca="false">_xlfn.RANK.EQ(S27,S$4:S$103,0)</f>
        <v>#REF!</v>
      </c>
      <c r="V27" s="29" t="n">
        <f aca="false">IF('Stammdaten - Schwimmer'!$D23&lt;DATE(2007,7,20),A27,)</f>
        <v>0</v>
      </c>
      <c r="W27" s="29" t="n">
        <f aca="false">IF('Stammdaten - Schwimmer'!$D23&lt;DATE(2007,7,20),B27,)</f>
        <v>0</v>
      </c>
      <c r="X27" s="29" t="n">
        <f aca="false">IF('Stammdaten - Schwimmer'!$D23&lt;DATE(2007,7,20),C27,)</f>
        <v>0</v>
      </c>
      <c r="Y27" s="30" t="n">
        <f aca="false">IF('Stammdaten - Schwimmer'!$D23&lt;DATE(2007,7,20),D27,)</f>
        <v>0</v>
      </c>
      <c r="Z27" s="46" t="n">
        <f aca="false">IF('Stammdaten - Schwimmer'!$D23&lt;DATE(2007,7,20),'Stammdaten - Schwimmer'!F23,)</f>
        <v>0</v>
      </c>
      <c r="AA27" s="0" t="e">
        <f aca="false">_xlfn.RANK.EQ(Z27,Z$4:Z$103,0)</f>
        <v>#REF!</v>
      </c>
    </row>
    <row r="28" customFormat="false" ht="15" hidden="false" customHeight="false" outlineLevel="0" collapsed="false">
      <c r="A28" s="44" t="n">
        <f aca="false">'Stammdaten - Schwimmer'!A24</f>
        <v>22</v>
      </c>
      <c r="B28" s="45" t="str">
        <f aca="false">'Stammdaten - Schwimmer'!B24</f>
        <v>Laub</v>
      </c>
      <c r="C28" s="45" t="str">
        <f aca="false">'Stammdaten - Schwimmer'!C24</f>
        <v>Jasper</v>
      </c>
      <c r="D28" s="30" t="n">
        <f aca="false">'Stammdaten - Schwimmer'!J24+'Stammdaten - Schwimmer'!N24+'Stammdaten - Schwimmer'!R24+'Stammdaten - Schwimmer'!V24+'Stammdaten - Schwimmer'!Z25</f>
        <v>12</v>
      </c>
      <c r="E28" s="46" t="n">
        <f aca="false">'Stammdaten - Schwimmer'!F24</f>
        <v>24</v>
      </c>
      <c r="H28" s="29" t="n">
        <f aca="false">IF('Stammdaten - Schwimmer'!D24&gt;DATE(2011,7,20),A28,)</f>
        <v>22</v>
      </c>
      <c r="I28" s="29" t="str">
        <f aca="false">IF('Stammdaten - Schwimmer'!$D24&gt;DATE(2011,7,20),B28,)</f>
        <v>Laub</v>
      </c>
      <c r="J28" s="29" t="str">
        <f aca="false">IF('Stammdaten - Schwimmer'!$D24&gt;DATE(2011,7,20),C28,)</f>
        <v>Jasper</v>
      </c>
      <c r="K28" s="30" t="n">
        <f aca="false">IF('Stammdaten - Schwimmer'!$D24&gt;DATE(2011,7,20),D28,)</f>
        <v>12</v>
      </c>
      <c r="L28" s="29" t="n">
        <f aca="false">IF('Stammdaten - Schwimmer'!$D24&gt;DATE(2011,7,20),'Stammdaten - Schwimmer'!F24,)</f>
        <v>24</v>
      </c>
      <c r="M28" s="0" t="e">
        <f aca="false">_xlfn.RANK.EQ(L28,L$4:L$103,0)</f>
        <v>#REF!</v>
      </c>
      <c r="O28" s="29" t="n">
        <f aca="false">IF(AND('Stammdaten - Schwimmer'!$D24&lt;DATE(2011,7,20),'Stammdaten - Schwimmer'!$D24&gt;DATE(2007,7,19)),A28,)</f>
        <v>0</v>
      </c>
      <c r="P28" s="29" t="n">
        <f aca="false">IF(AND('Stammdaten - Schwimmer'!$D24&lt;DATE(2011,7,20),'Stammdaten - Schwimmer'!$D24&gt;DATE(2007,7,19)),B28,)</f>
        <v>0</v>
      </c>
      <c r="Q28" s="29" t="n">
        <f aca="false">IF(AND('Stammdaten - Schwimmer'!$D24&lt;DATE(2011,7,20),'Stammdaten - Schwimmer'!$D24&gt;DATE(2007,7,19)),C28,)</f>
        <v>0</v>
      </c>
      <c r="R28" s="30" t="n">
        <f aca="false">IF(AND('Stammdaten - Schwimmer'!$D24&lt;DATE(2011,7,20),'Stammdaten - Schwimmer'!$D24&gt;DATE(2007,7,19)),D28,)</f>
        <v>0</v>
      </c>
      <c r="S28" s="46" t="n">
        <f aca="false">IF(AND('Stammdaten - Schwimmer'!$D24&lt;DATE(2011,7,20),'Stammdaten - Schwimmer'!$D24&gt;DATE(2007,7,19)),'Stammdaten - Schwimmer'!F24,)</f>
        <v>0</v>
      </c>
      <c r="T28" s="0" t="e">
        <f aca="false">_xlfn.RANK.EQ(S28,S$4:S$103,0)</f>
        <v>#REF!</v>
      </c>
      <c r="V28" s="29" t="n">
        <f aca="false">IF('Stammdaten - Schwimmer'!$D24&lt;DATE(2007,7,20),A28,)</f>
        <v>0</v>
      </c>
      <c r="W28" s="29" t="n">
        <f aca="false">IF('Stammdaten - Schwimmer'!$D24&lt;DATE(2007,7,20),B28,)</f>
        <v>0</v>
      </c>
      <c r="X28" s="29" t="n">
        <f aca="false">IF('Stammdaten - Schwimmer'!$D24&lt;DATE(2007,7,20),C28,)</f>
        <v>0</v>
      </c>
      <c r="Y28" s="30" t="n">
        <f aca="false">IF('Stammdaten - Schwimmer'!$D24&lt;DATE(2007,7,20),D28,)</f>
        <v>0</v>
      </c>
      <c r="Z28" s="46" t="n">
        <f aca="false">IF('Stammdaten - Schwimmer'!$D24&lt;DATE(2007,7,20),'Stammdaten - Schwimmer'!F24,)</f>
        <v>0</v>
      </c>
      <c r="AA28" s="0" t="e">
        <f aca="false">_xlfn.RANK.EQ(Z28,Z$4:Z$103,0)</f>
        <v>#REF!</v>
      </c>
    </row>
    <row r="29" customFormat="false" ht="15" hidden="false" customHeight="false" outlineLevel="0" collapsed="false">
      <c r="A29" s="44" t="n">
        <f aca="false">'Stammdaten - Schwimmer'!A25</f>
        <v>23</v>
      </c>
      <c r="B29" s="45" t="str">
        <f aca="false">'Stammdaten - Schwimmer'!B25</f>
        <v>Engel</v>
      </c>
      <c r="C29" s="45" t="str">
        <f aca="false">'Stammdaten - Schwimmer'!C25</f>
        <v>Katrin</v>
      </c>
      <c r="D29" s="30" t="n">
        <f aca="false">'Stammdaten - Schwimmer'!J25+'Stammdaten - Schwimmer'!N25+'Stammdaten - Schwimmer'!R25+'Stammdaten - Schwimmer'!V25+'Stammdaten - Schwimmer'!Z26</f>
        <v>108</v>
      </c>
      <c r="E29" s="46" t="n">
        <f aca="false">'Stammdaten - Schwimmer'!F25</f>
        <v>58</v>
      </c>
      <c r="H29" s="29" t="n">
        <f aca="false">IF('Stammdaten - Schwimmer'!D25&gt;DATE(2011,7,20),A29,)</f>
        <v>0</v>
      </c>
      <c r="I29" s="29" t="n">
        <f aca="false">IF('Stammdaten - Schwimmer'!$D25&gt;DATE(2011,7,20),B29,)</f>
        <v>0</v>
      </c>
      <c r="J29" s="29" t="n">
        <f aca="false">IF('Stammdaten - Schwimmer'!$D25&gt;DATE(2011,7,20),C29,)</f>
        <v>0</v>
      </c>
      <c r="K29" s="30" t="n">
        <f aca="false">IF('Stammdaten - Schwimmer'!$D25&gt;DATE(2011,7,20),D29,)</f>
        <v>0</v>
      </c>
      <c r="L29" s="29" t="n">
        <f aca="false">IF('Stammdaten - Schwimmer'!$D25&gt;DATE(2011,7,20),'Stammdaten - Schwimmer'!F25,)</f>
        <v>0</v>
      </c>
      <c r="M29" s="0" t="e">
        <f aca="false">_xlfn.RANK.EQ(L29,L$4:L$103,0)</f>
        <v>#REF!</v>
      </c>
      <c r="O29" s="29" t="n">
        <f aca="false">IF(AND('Stammdaten - Schwimmer'!$D25&lt;DATE(2011,7,20),'Stammdaten - Schwimmer'!$D25&gt;DATE(2007,7,19)),A29,)</f>
        <v>0</v>
      </c>
      <c r="P29" s="29" t="n">
        <f aca="false">IF(AND('Stammdaten - Schwimmer'!$D25&lt;DATE(2011,7,20),'Stammdaten - Schwimmer'!$D25&gt;DATE(2007,7,19)),B29,)</f>
        <v>0</v>
      </c>
      <c r="Q29" s="29" t="n">
        <f aca="false">IF(AND('Stammdaten - Schwimmer'!$D25&lt;DATE(2011,7,20),'Stammdaten - Schwimmer'!$D25&gt;DATE(2007,7,19)),C29,)</f>
        <v>0</v>
      </c>
      <c r="R29" s="30" t="n">
        <f aca="false">IF(AND('Stammdaten - Schwimmer'!$D25&lt;DATE(2011,7,20),'Stammdaten - Schwimmer'!$D25&gt;DATE(2007,7,19)),D29,)</f>
        <v>0</v>
      </c>
      <c r="S29" s="46" t="n">
        <f aca="false">IF(AND('Stammdaten - Schwimmer'!$D25&lt;DATE(2011,7,20),'Stammdaten - Schwimmer'!$D25&gt;DATE(2007,7,19)),'Stammdaten - Schwimmer'!F25,)</f>
        <v>0</v>
      </c>
      <c r="T29" s="0" t="e">
        <f aca="false">_xlfn.RANK.EQ(S29,S$4:S$103,0)</f>
        <v>#REF!</v>
      </c>
      <c r="V29" s="29" t="n">
        <f aca="false">IF('Stammdaten - Schwimmer'!$D25&lt;DATE(2007,7,20),A29,)</f>
        <v>23</v>
      </c>
      <c r="W29" s="29" t="str">
        <f aca="false">IF('Stammdaten - Schwimmer'!$D25&lt;DATE(2007,7,20),B29,)</f>
        <v>Engel</v>
      </c>
      <c r="X29" s="29" t="str">
        <f aca="false">IF('Stammdaten - Schwimmer'!$D25&lt;DATE(2007,7,20),C29,)</f>
        <v>Katrin</v>
      </c>
      <c r="Y29" s="30" t="n">
        <f aca="false">IF('Stammdaten - Schwimmer'!$D25&lt;DATE(2007,7,20),D29,)</f>
        <v>108</v>
      </c>
      <c r="Z29" s="46" t="n">
        <f aca="false">IF('Stammdaten - Schwimmer'!$D25&lt;DATE(2007,7,20),'Stammdaten - Schwimmer'!F25,)</f>
        <v>58</v>
      </c>
      <c r="AA29" s="0" t="e">
        <f aca="false">_xlfn.RANK.EQ(Z29,Z$4:Z$103,0)</f>
        <v>#REF!</v>
      </c>
    </row>
    <row r="30" customFormat="false" ht="15" hidden="false" customHeight="false" outlineLevel="0" collapsed="false">
      <c r="A30" s="44" t="n">
        <f aca="false">'Stammdaten - Schwimmer'!A26</f>
        <v>24</v>
      </c>
      <c r="B30" s="45" t="str">
        <f aca="false">'Stammdaten - Schwimmer'!B26</f>
        <v>Engel</v>
      </c>
      <c r="C30" s="45" t="str">
        <f aca="false">'Stammdaten - Schwimmer'!C26</f>
        <v>Ulrike</v>
      </c>
      <c r="D30" s="30" t="n">
        <f aca="false">'Stammdaten - Schwimmer'!J26+'Stammdaten - Schwimmer'!N26+'Stammdaten - Schwimmer'!R26+'Stammdaten - Schwimmer'!V26+'Stammdaten - Schwimmer'!Z27</f>
        <v>60</v>
      </c>
      <c r="E30" s="46" t="n">
        <f aca="false">'Stammdaten - Schwimmer'!F26</f>
        <v>60</v>
      </c>
      <c r="H30" s="29" t="n">
        <f aca="false">IF('Stammdaten - Schwimmer'!D26&gt;DATE(2011,7,20),A30,)</f>
        <v>0</v>
      </c>
      <c r="I30" s="29" t="n">
        <f aca="false">IF('Stammdaten - Schwimmer'!$D26&gt;DATE(2011,7,20),B30,)</f>
        <v>0</v>
      </c>
      <c r="J30" s="29" t="n">
        <f aca="false">IF('Stammdaten - Schwimmer'!$D26&gt;DATE(2011,7,20),C30,)</f>
        <v>0</v>
      </c>
      <c r="K30" s="30" t="n">
        <f aca="false">IF('Stammdaten - Schwimmer'!$D26&gt;DATE(2011,7,20),D30,)</f>
        <v>0</v>
      </c>
      <c r="L30" s="29" t="n">
        <f aca="false">IF('Stammdaten - Schwimmer'!$D26&gt;DATE(2011,7,20),'Stammdaten - Schwimmer'!F26,)</f>
        <v>0</v>
      </c>
      <c r="M30" s="0" t="e">
        <f aca="false">_xlfn.RANK.EQ(L30,L$4:L$103,0)</f>
        <v>#REF!</v>
      </c>
      <c r="O30" s="29" t="n">
        <f aca="false">IF(AND('Stammdaten - Schwimmer'!$D26&lt;DATE(2011,7,20),'Stammdaten - Schwimmer'!$D26&gt;DATE(2007,7,19)),A30,)</f>
        <v>0</v>
      </c>
      <c r="P30" s="29" t="n">
        <f aca="false">IF(AND('Stammdaten - Schwimmer'!$D26&lt;DATE(2011,7,20),'Stammdaten - Schwimmer'!$D26&gt;DATE(2007,7,19)),B30,)</f>
        <v>0</v>
      </c>
      <c r="Q30" s="29" t="n">
        <f aca="false">IF(AND('Stammdaten - Schwimmer'!$D26&lt;DATE(2011,7,20),'Stammdaten - Schwimmer'!$D26&gt;DATE(2007,7,19)),C30,)</f>
        <v>0</v>
      </c>
      <c r="R30" s="30" t="n">
        <f aca="false">IF(AND('Stammdaten - Schwimmer'!$D26&lt;DATE(2011,7,20),'Stammdaten - Schwimmer'!$D26&gt;DATE(2007,7,19)),D30,)</f>
        <v>0</v>
      </c>
      <c r="S30" s="46" t="n">
        <f aca="false">IF(AND('Stammdaten - Schwimmer'!$D26&lt;DATE(2011,7,20),'Stammdaten - Schwimmer'!$D26&gt;DATE(2007,7,19)),'Stammdaten - Schwimmer'!F26,)</f>
        <v>0</v>
      </c>
      <c r="T30" s="0" t="e">
        <f aca="false">_xlfn.RANK.EQ(S30,S$4:S$103,0)</f>
        <v>#REF!</v>
      </c>
      <c r="V30" s="29" t="n">
        <f aca="false">IF('Stammdaten - Schwimmer'!$D26&lt;DATE(2007,7,20),A30,)</f>
        <v>24</v>
      </c>
      <c r="W30" s="29" t="str">
        <f aca="false">IF('Stammdaten - Schwimmer'!$D26&lt;DATE(2007,7,20),B30,)</f>
        <v>Engel</v>
      </c>
      <c r="X30" s="29" t="str">
        <f aca="false">IF('Stammdaten - Schwimmer'!$D26&lt;DATE(2007,7,20),C30,)</f>
        <v>Ulrike</v>
      </c>
      <c r="Y30" s="30" t="n">
        <f aca="false">IF('Stammdaten - Schwimmer'!$D26&lt;DATE(2007,7,20),D30,)</f>
        <v>60</v>
      </c>
      <c r="Z30" s="46" t="n">
        <f aca="false">IF('Stammdaten - Schwimmer'!$D26&lt;DATE(2007,7,20),'Stammdaten - Schwimmer'!F26,)</f>
        <v>60</v>
      </c>
      <c r="AA30" s="0" t="e">
        <f aca="false">_xlfn.RANK.EQ(Z30,Z$4:Z$103,0)</f>
        <v>#REF!</v>
      </c>
    </row>
    <row r="31" customFormat="false" ht="15" hidden="false" customHeight="false" outlineLevel="0" collapsed="false">
      <c r="A31" s="44" t="n">
        <f aca="false">'Stammdaten - Schwimmer'!A27</f>
        <v>25</v>
      </c>
      <c r="B31" s="45" t="str">
        <f aca="false">'Stammdaten - Schwimmer'!B27</f>
        <v>Sure</v>
      </c>
      <c r="C31" s="45" t="str">
        <f aca="false">'Stammdaten - Schwimmer'!C27</f>
        <v>Doris</v>
      </c>
      <c r="D31" s="30" t="n">
        <f aca="false">'Stammdaten - Schwimmer'!J27+'Stammdaten - Schwimmer'!N27+'Stammdaten - Schwimmer'!R27+'Stammdaten - Schwimmer'!V27+'Stammdaten - Schwimmer'!Z28</f>
        <v>11</v>
      </c>
      <c r="E31" s="46" t="n">
        <f aca="false">'Stammdaten - Schwimmer'!F27</f>
        <v>22</v>
      </c>
      <c r="H31" s="29" t="n">
        <f aca="false">IF('Stammdaten - Schwimmer'!D27&gt;DATE(2011,7,20),A31,)</f>
        <v>0</v>
      </c>
      <c r="I31" s="29" t="n">
        <f aca="false">IF('Stammdaten - Schwimmer'!$D27&gt;DATE(2011,7,20),B31,)</f>
        <v>0</v>
      </c>
      <c r="J31" s="29" t="n">
        <f aca="false">IF('Stammdaten - Schwimmer'!$D27&gt;DATE(2011,7,20),C31,)</f>
        <v>0</v>
      </c>
      <c r="K31" s="30" t="n">
        <f aca="false">IF('Stammdaten - Schwimmer'!$D27&gt;DATE(2011,7,20),D31,)</f>
        <v>0</v>
      </c>
      <c r="L31" s="29" t="n">
        <f aca="false">IF('Stammdaten - Schwimmer'!$D27&gt;DATE(2011,7,20),'Stammdaten - Schwimmer'!F27,)</f>
        <v>0</v>
      </c>
      <c r="M31" s="0" t="e">
        <f aca="false">_xlfn.RANK.EQ(L31,L$4:L$103,0)</f>
        <v>#REF!</v>
      </c>
      <c r="O31" s="29" t="n">
        <f aca="false">IF(AND('Stammdaten - Schwimmer'!$D27&lt;DATE(2011,7,20),'Stammdaten - Schwimmer'!$D27&gt;DATE(2007,7,19)),A31,)</f>
        <v>0</v>
      </c>
      <c r="P31" s="29" t="n">
        <f aca="false">IF(AND('Stammdaten - Schwimmer'!$D27&lt;DATE(2011,7,20),'Stammdaten - Schwimmer'!$D27&gt;DATE(2007,7,19)),B31,)</f>
        <v>0</v>
      </c>
      <c r="Q31" s="29" t="n">
        <f aca="false">IF(AND('Stammdaten - Schwimmer'!$D27&lt;DATE(2011,7,20),'Stammdaten - Schwimmer'!$D27&gt;DATE(2007,7,19)),C31,)</f>
        <v>0</v>
      </c>
      <c r="R31" s="30" t="n">
        <f aca="false">IF(AND('Stammdaten - Schwimmer'!$D27&lt;DATE(2011,7,20),'Stammdaten - Schwimmer'!$D27&gt;DATE(2007,7,19)),D31,)</f>
        <v>0</v>
      </c>
      <c r="S31" s="46" t="n">
        <f aca="false">IF(AND('Stammdaten - Schwimmer'!$D27&lt;DATE(2011,7,20),'Stammdaten - Schwimmer'!$D27&gt;DATE(2007,7,19)),'Stammdaten - Schwimmer'!F27,)</f>
        <v>0</v>
      </c>
      <c r="T31" s="0" t="e">
        <f aca="false">_xlfn.RANK.EQ(S31,S$4:S$103,0)</f>
        <v>#REF!</v>
      </c>
      <c r="V31" s="29" t="n">
        <f aca="false">IF('Stammdaten - Schwimmer'!$D27&lt;DATE(2007,7,20),A31,)</f>
        <v>25</v>
      </c>
      <c r="W31" s="29" t="str">
        <f aca="false">IF('Stammdaten - Schwimmer'!$D27&lt;DATE(2007,7,20),B31,)</f>
        <v>Sure</v>
      </c>
      <c r="X31" s="29" t="str">
        <f aca="false">IF('Stammdaten - Schwimmer'!$D27&lt;DATE(2007,7,20),C31,)</f>
        <v>Doris</v>
      </c>
      <c r="Y31" s="30" t="n">
        <f aca="false">IF('Stammdaten - Schwimmer'!$D27&lt;DATE(2007,7,20),D31,)</f>
        <v>11</v>
      </c>
      <c r="Z31" s="46" t="n">
        <f aca="false">IF('Stammdaten - Schwimmer'!$D27&lt;DATE(2007,7,20),'Stammdaten - Schwimmer'!F27,)</f>
        <v>22</v>
      </c>
      <c r="AA31" s="0" t="e">
        <f aca="false">_xlfn.RANK.EQ(Z31,Z$4:Z$103,0)</f>
        <v>#REF!</v>
      </c>
    </row>
    <row r="32" customFormat="false" ht="15" hidden="false" customHeight="false" outlineLevel="0" collapsed="false">
      <c r="A32" s="44" t="n">
        <f aca="false">'Stammdaten - Schwimmer'!A28</f>
        <v>26</v>
      </c>
      <c r="B32" s="45" t="str">
        <f aca="false">'Stammdaten - Schwimmer'!B28</f>
        <v>Bauer</v>
      </c>
      <c r="C32" s="45" t="str">
        <f aca="false">'Stammdaten - Schwimmer'!C28</f>
        <v>Tim</v>
      </c>
      <c r="D32" s="30" t="n">
        <f aca="false">'Stammdaten - Schwimmer'!J28+'Stammdaten - Schwimmer'!N28+'Stammdaten - Schwimmer'!R28+'Stammdaten - Schwimmer'!V28+'Stammdaten - Schwimmer'!Z29</f>
        <v>25</v>
      </c>
      <c r="E32" s="46" t="n">
        <f aca="false">'Stammdaten - Schwimmer'!F28</f>
        <v>50</v>
      </c>
      <c r="H32" s="29" t="n">
        <f aca="false">IF('Stammdaten - Schwimmer'!D28&gt;DATE(2011,7,20),A32,)</f>
        <v>0</v>
      </c>
      <c r="I32" s="29" t="n">
        <f aca="false">IF('Stammdaten - Schwimmer'!$D28&gt;DATE(2011,7,20),B32,)</f>
        <v>0</v>
      </c>
      <c r="J32" s="29" t="n">
        <f aca="false">IF('Stammdaten - Schwimmer'!$D28&gt;DATE(2011,7,20),C32,)</f>
        <v>0</v>
      </c>
      <c r="K32" s="30" t="n">
        <f aca="false">IF('Stammdaten - Schwimmer'!$D28&gt;DATE(2011,7,20),D32,)</f>
        <v>0</v>
      </c>
      <c r="L32" s="29" t="n">
        <f aca="false">IF('Stammdaten - Schwimmer'!$D28&gt;DATE(2011,7,20),'Stammdaten - Schwimmer'!F28,)</f>
        <v>0</v>
      </c>
      <c r="M32" s="0" t="e">
        <f aca="false">_xlfn.RANK.EQ(L32,L$4:L$103,0)</f>
        <v>#REF!</v>
      </c>
      <c r="O32" s="29" t="n">
        <f aca="false">IF(AND('Stammdaten - Schwimmer'!$D28&lt;DATE(2011,7,20),'Stammdaten - Schwimmer'!$D28&gt;DATE(2007,7,19)),A32,)</f>
        <v>0</v>
      </c>
      <c r="P32" s="29" t="n">
        <f aca="false">IF(AND('Stammdaten - Schwimmer'!$D28&lt;DATE(2011,7,20),'Stammdaten - Schwimmer'!$D28&gt;DATE(2007,7,19)),B32,)</f>
        <v>0</v>
      </c>
      <c r="Q32" s="29" t="n">
        <f aca="false">IF(AND('Stammdaten - Schwimmer'!$D28&lt;DATE(2011,7,20),'Stammdaten - Schwimmer'!$D28&gt;DATE(2007,7,19)),C32,)</f>
        <v>0</v>
      </c>
      <c r="R32" s="30" t="n">
        <f aca="false">IF(AND('Stammdaten - Schwimmer'!$D28&lt;DATE(2011,7,20),'Stammdaten - Schwimmer'!$D28&gt;DATE(2007,7,19)),D32,)</f>
        <v>0</v>
      </c>
      <c r="S32" s="46" t="n">
        <f aca="false">IF(AND('Stammdaten - Schwimmer'!$D28&lt;DATE(2011,7,20),'Stammdaten - Schwimmer'!$D28&gt;DATE(2007,7,19)),'Stammdaten - Schwimmer'!F28,)</f>
        <v>0</v>
      </c>
      <c r="T32" s="0" t="e">
        <f aca="false">_xlfn.RANK.EQ(S32,S$4:S$103,0)</f>
        <v>#REF!</v>
      </c>
      <c r="V32" s="29" t="n">
        <f aca="false">IF('Stammdaten - Schwimmer'!$D28&lt;DATE(2007,7,20),A32,)</f>
        <v>26</v>
      </c>
      <c r="W32" s="29" t="str">
        <f aca="false">IF('Stammdaten - Schwimmer'!$D28&lt;DATE(2007,7,20),B32,)</f>
        <v>Bauer</v>
      </c>
      <c r="X32" s="29" t="str">
        <f aca="false">IF('Stammdaten - Schwimmer'!$D28&lt;DATE(2007,7,20),C32,)</f>
        <v>Tim</v>
      </c>
      <c r="Y32" s="30" t="n">
        <f aca="false">IF('Stammdaten - Schwimmer'!$D28&lt;DATE(2007,7,20),D32,)</f>
        <v>25</v>
      </c>
      <c r="Z32" s="46" t="n">
        <f aca="false">IF('Stammdaten - Schwimmer'!$D28&lt;DATE(2007,7,20),'Stammdaten - Schwimmer'!F28,)</f>
        <v>50</v>
      </c>
      <c r="AA32" s="0" t="e">
        <f aca="false">_xlfn.RANK.EQ(Z32,Z$4:Z$103,0)</f>
        <v>#REF!</v>
      </c>
    </row>
    <row r="33" customFormat="false" ht="15" hidden="false" customHeight="false" outlineLevel="0" collapsed="false">
      <c r="A33" s="44" t="n">
        <f aca="false">'Stammdaten - Schwimmer'!A29</f>
        <v>27</v>
      </c>
      <c r="B33" s="45" t="str">
        <f aca="false">'Stammdaten - Schwimmer'!B29</f>
        <v>Engel</v>
      </c>
      <c r="C33" s="45" t="str">
        <f aca="false">'Stammdaten - Schwimmer'!C29</f>
        <v>Brigitte</v>
      </c>
      <c r="D33" s="30" t="n">
        <f aca="false">'Stammdaten - Schwimmer'!J29+'Stammdaten - Schwimmer'!N29+'Stammdaten - Schwimmer'!R29+'Stammdaten - Schwimmer'!V29+'Stammdaten - Schwimmer'!Z30</f>
        <v>80</v>
      </c>
      <c r="E33" s="46" t="n">
        <f aca="false">'Stammdaten - Schwimmer'!F29</f>
        <v>40</v>
      </c>
      <c r="H33" s="29" t="n">
        <f aca="false">IF('Stammdaten - Schwimmer'!D29&gt;DATE(2011,7,20),A33,)</f>
        <v>0</v>
      </c>
      <c r="I33" s="29" t="n">
        <f aca="false">IF('Stammdaten - Schwimmer'!$D29&gt;DATE(2011,7,20),B33,)</f>
        <v>0</v>
      </c>
      <c r="J33" s="29" t="n">
        <f aca="false">IF('Stammdaten - Schwimmer'!$D29&gt;DATE(2011,7,20),C33,)</f>
        <v>0</v>
      </c>
      <c r="K33" s="30" t="n">
        <f aca="false">IF('Stammdaten - Schwimmer'!$D29&gt;DATE(2011,7,20),D33,)</f>
        <v>0</v>
      </c>
      <c r="L33" s="29" t="n">
        <f aca="false">IF('Stammdaten - Schwimmer'!$D29&gt;DATE(2011,7,20),'Stammdaten - Schwimmer'!F29,)</f>
        <v>0</v>
      </c>
      <c r="M33" s="0" t="e">
        <f aca="false">_xlfn.RANK.EQ(L33,L$4:L$103,0)</f>
        <v>#REF!</v>
      </c>
      <c r="O33" s="29" t="n">
        <f aca="false">IF(AND('Stammdaten - Schwimmer'!$D29&lt;DATE(2011,7,20),'Stammdaten - Schwimmer'!$D29&gt;DATE(2007,7,19)),A33,)</f>
        <v>0</v>
      </c>
      <c r="P33" s="29" t="n">
        <f aca="false">IF(AND('Stammdaten - Schwimmer'!$D29&lt;DATE(2011,7,20),'Stammdaten - Schwimmer'!$D29&gt;DATE(2007,7,19)),B33,)</f>
        <v>0</v>
      </c>
      <c r="Q33" s="29" t="n">
        <f aca="false">IF(AND('Stammdaten - Schwimmer'!$D29&lt;DATE(2011,7,20),'Stammdaten - Schwimmer'!$D29&gt;DATE(2007,7,19)),C33,)</f>
        <v>0</v>
      </c>
      <c r="R33" s="30" t="n">
        <f aca="false">IF(AND('Stammdaten - Schwimmer'!$D29&lt;DATE(2011,7,20),'Stammdaten - Schwimmer'!$D29&gt;DATE(2007,7,19)),D33,)</f>
        <v>0</v>
      </c>
      <c r="S33" s="46" t="n">
        <f aca="false">IF(AND('Stammdaten - Schwimmer'!$D29&lt;DATE(2011,7,20),'Stammdaten - Schwimmer'!$D29&gt;DATE(2007,7,19)),'Stammdaten - Schwimmer'!F29,)</f>
        <v>0</v>
      </c>
      <c r="T33" s="0" t="e">
        <f aca="false">_xlfn.RANK.EQ(S33,S$4:S$103,0)</f>
        <v>#REF!</v>
      </c>
      <c r="V33" s="29" t="n">
        <f aca="false">IF('Stammdaten - Schwimmer'!$D29&lt;DATE(2007,7,20),A33,)</f>
        <v>27</v>
      </c>
      <c r="W33" s="29" t="str">
        <f aca="false">IF('Stammdaten - Schwimmer'!$D29&lt;DATE(2007,7,20),B33,)</f>
        <v>Engel</v>
      </c>
      <c r="X33" s="29" t="str">
        <f aca="false">IF('Stammdaten - Schwimmer'!$D29&lt;DATE(2007,7,20),C33,)</f>
        <v>Brigitte</v>
      </c>
      <c r="Y33" s="30" t="n">
        <f aca="false">IF('Stammdaten - Schwimmer'!$D29&lt;DATE(2007,7,20),D33,)</f>
        <v>80</v>
      </c>
      <c r="Z33" s="46" t="n">
        <f aca="false">IF('Stammdaten - Schwimmer'!$D29&lt;DATE(2007,7,20),'Stammdaten - Schwimmer'!F29,)</f>
        <v>40</v>
      </c>
      <c r="AA33" s="0" t="e">
        <f aca="false">_xlfn.RANK.EQ(Z33,Z$4:Z$103,0)</f>
        <v>#REF!</v>
      </c>
    </row>
    <row r="34" customFormat="false" ht="15" hidden="false" customHeight="false" outlineLevel="0" collapsed="false">
      <c r="A34" s="44" t="n">
        <f aca="false">'Stammdaten - Schwimmer'!A30</f>
        <v>28</v>
      </c>
      <c r="B34" s="45" t="str">
        <f aca="false">'Stammdaten - Schwimmer'!B30</f>
        <v>Zimmermann</v>
      </c>
      <c r="C34" s="45" t="str">
        <f aca="false">'Stammdaten - Schwimmer'!C30</f>
        <v>Alina</v>
      </c>
      <c r="D34" s="30" t="n">
        <f aca="false">'Stammdaten - Schwimmer'!J30+'Stammdaten - Schwimmer'!N30+'Stammdaten - Schwimmer'!R30+'Stammdaten - Schwimmer'!V30+'Stammdaten - Schwimmer'!Z31</f>
        <v>50</v>
      </c>
      <c r="E34" s="46" t="n">
        <f aca="false">'Stammdaten - Schwimmer'!F30</f>
        <v>76</v>
      </c>
      <c r="H34" s="29" t="n">
        <f aca="false">IF('Stammdaten - Schwimmer'!D30&gt;DATE(2011,7,20),A34,)</f>
        <v>28</v>
      </c>
      <c r="I34" s="29" t="str">
        <f aca="false">IF('Stammdaten - Schwimmer'!$D30&gt;DATE(2011,7,20),B34,)</f>
        <v>Zimmermann</v>
      </c>
      <c r="J34" s="29" t="str">
        <f aca="false">IF('Stammdaten - Schwimmer'!$D30&gt;DATE(2011,7,20),C34,)</f>
        <v>Alina</v>
      </c>
      <c r="K34" s="30" t="n">
        <f aca="false">IF('Stammdaten - Schwimmer'!$D30&gt;DATE(2011,7,20),D34,)</f>
        <v>50</v>
      </c>
      <c r="L34" s="29" t="n">
        <f aca="false">IF('Stammdaten - Schwimmer'!$D30&gt;DATE(2011,7,20),'Stammdaten - Schwimmer'!F30,)</f>
        <v>76</v>
      </c>
      <c r="M34" s="0" t="e">
        <f aca="false">_xlfn.RANK.EQ(L34,L$4:L$103,0)</f>
        <v>#REF!</v>
      </c>
      <c r="O34" s="29" t="n">
        <f aca="false">IF(AND('Stammdaten - Schwimmer'!$D30&lt;DATE(2011,7,20),'Stammdaten - Schwimmer'!$D30&gt;DATE(2007,7,19)),A34,)</f>
        <v>0</v>
      </c>
      <c r="P34" s="29" t="n">
        <f aca="false">IF(AND('Stammdaten - Schwimmer'!$D30&lt;DATE(2011,7,20),'Stammdaten - Schwimmer'!$D30&gt;DATE(2007,7,19)),B34,)</f>
        <v>0</v>
      </c>
      <c r="Q34" s="29" t="n">
        <f aca="false">IF(AND('Stammdaten - Schwimmer'!$D30&lt;DATE(2011,7,20),'Stammdaten - Schwimmer'!$D30&gt;DATE(2007,7,19)),C34,)</f>
        <v>0</v>
      </c>
      <c r="R34" s="30" t="n">
        <f aca="false">IF(AND('Stammdaten - Schwimmer'!$D30&lt;DATE(2011,7,20),'Stammdaten - Schwimmer'!$D30&gt;DATE(2007,7,19)),D34,)</f>
        <v>0</v>
      </c>
      <c r="S34" s="46" t="n">
        <f aca="false">IF(AND('Stammdaten - Schwimmer'!$D30&lt;DATE(2011,7,20),'Stammdaten - Schwimmer'!$D30&gt;DATE(2007,7,19)),'Stammdaten - Schwimmer'!F30,)</f>
        <v>0</v>
      </c>
      <c r="T34" s="0" t="e">
        <f aca="false">_xlfn.RANK.EQ(S34,S$4:S$103,0)</f>
        <v>#REF!</v>
      </c>
      <c r="V34" s="29" t="n">
        <f aca="false">IF('Stammdaten - Schwimmer'!$D30&lt;DATE(2007,7,20),A34,)</f>
        <v>0</v>
      </c>
      <c r="W34" s="29" t="n">
        <f aca="false">IF('Stammdaten - Schwimmer'!$D30&lt;DATE(2007,7,20),B34,)</f>
        <v>0</v>
      </c>
      <c r="X34" s="29" t="n">
        <f aca="false">IF('Stammdaten - Schwimmer'!$D30&lt;DATE(2007,7,20),C34,)</f>
        <v>0</v>
      </c>
      <c r="Y34" s="30" t="n">
        <f aca="false">IF('Stammdaten - Schwimmer'!$D30&lt;DATE(2007,7,20),D34,)</f>
        <v>0</v>
      </c>
      <c r="Z34" s="46" t="n">
        <f aca="false">IF('Stammdaten - Schwimmer'!$D30&lt;DATE(2007,7,20),'Stammdaten - Schwimmer'!F30,)</f>
        <v>0</v>
      </c>
      <c r="AA34" s="0" t="e">
        <f aca="false">_xlfn.RANK.EQ(Z34,Z$4:Z$103,0)</f>
        <v>#REF!</v>
      </c>
    </row>
    <row r="35" customFormat="false" ht="15" hidden="false" customHeight="false" outlineLevel="0" collapsed="false">
      <c r="A35" s="44" t="n">
        <f aca="false">'Stammdaten - Schwimmer'!A31</f>
        <v>29</v>
      </c>
      <c r="B35" s="45" t="str">
        <f aca="false">'Stammdaten - Schwimmer'!B31</f>
        <v>Zimmermann</v>
      </c>
      <c r="C35" s="45" t="str">
        <f aca="false">'Stammdaten - Schwimmer'!C31</f>
        <v>Markus</v>
      </c>
      <c r="D35" s="30" t="n">
        <f aca="false">'Stammdaten - Schwimmer'!J31+'Stammdaten - Schwimmer'!N31+'Stammdaten - Schwimmer'!R31+'Stammdaten - Schwimmer'!V31+'Stammdaten - Schwimmer'!Z32</f>
        <v>0</v>
      </c>
      <c r="E35" s="46" t="n">
        <f aca="false">'Stammdaten - Schwimmer'!F31</f>
        <v>42</v>
      </c>
      <c r="H35" s="29" t="n">
        <f aca="false">IF('Stammdaten - Schwimmer'!D31&gt;DATE(2011,7,20),A35,)</f>
        <v>0</v>
      </c>
      <c r="I35" s="29" t="n">
        <f aca="false">IF('Stammdaten - Schwimmer'!$D31&gt;DATE(2011,7,20),B35,)</f>
        <v>0</v>
      </c>
      <c r="J35" s="29" t="n">
        <f aca="false">IF('Stammdaten - Schwimmer'!$D31&gt;DATE(2011,7,20),C35,)</f>
        <v>0</v>
      </c>
      <c r="K35" s="30" t="n">
        <f aca="false">IF('Stammdaten - Schwimmer'!$D31&gt;DATE(2011,7,20),D35,)</f>
        <v>0</v>
      </c>
      <c r="L35" s="29" t="n">
        <f aca="false">IF('Stammdaten - Schwimmer'!$D31&gt;DATE(2011,7,20),'Stammdaten - Schwimmer'!F31,)</f>
        <v>0</v>
      </c>
      <c r="M35" s="0" t="e">
        <f aca="false">_xlfn.RANK.EQ(L35,L$4:L$103,0)</f>
        <v>#REF!</v>
      </c>
      <c r="O35" s="29" t="n">
        <f aca="false">IF(AND('Stammdaten - Schwimmer'!$D31&lt;DATE(2011,7,20),'Stammdaten - Schwimmer'!$D31&gt;DATE(2007,7,19)),A35,)</f>
        <v>0</v>
      </c>
      <c r="P35" s="29" t="n">
        <f aca="false">IF(AND('Stammdaten - Schwimmer'!$D31&lt;DATE(2011,7,20),'Stammdaten - Schwimmer'!$D31&gt;DATE(2007,7,19)),B35,)</f>
        <v>0</v>
      </c>
      <c r="Q35" s="29" t="n">
        <f aca="false">IF(AND('Stammdaten - Schwimmer'!$D31&lt;DATE(2011,7,20),'Stammdaten - Schwimmer'!$D31&gt;DATE(2007,7,19)),C35,)</f>
        <v>0</v>
      </c>
      <c r="R35" s="30" t="n">
        <f aca="false">IF(AND('Stammdaten - Schwimmer'!$D31&lt;DATE(2011,7,20),'Stammdaten - Schwimmer'!$D31&gt;DATE(2007,7,19)),D35,)</f>
        <v>0</v>
      </c>
      <c r="S35" s="46" t="n">
        <f aca="false">IF(AND('Stammdaten - Schwimmer'!$D31&lt;DATE(2011,7,20),'Stammdaten - Schwimmer'!$D31&gt;DATE(2007,7,19)),'Stammdaten - Schwimmer'!F31,)</f>
        <v>0</v>
      </c>
      <c r="T35" s="0" t="e">
        <f aca="false">_xlfn.RANK.EQ(S35,S$4:S$103,0)</f>
        <v>#REF!</v>
      </c>
      <c r="V35" s="29" t="n">
        <f aca="false">IF('Stammdaten - Schwimmer'!$D31&lt;DATE(2007,7,20),A35,)</f>
        <v>29</v>
      </c>
      <c r="W35" s="29" t="str">
        <f aca="false">IF('Stammdaten - Schwimmer'!$D31&lt;DATE(2007,7,20),B35,)</f>
        <v>Zimmermann</v>
      </c>
      <c r="X35" s="29" t="str">
        <f aca="false">IF('Stammdaten - Schwimmer'!$D31&lt;DATE(2007,7,20),C35,)</f>
        <v>Markus</v>
      </c>
      <c r="Y35" s="30" t="n">
        <f aca="false">IF('Stammdaten - Schwimmer'!$D31&lt;DATE(2007,7,20),D35,)</f>
        <v>0</v>
      </c>
      <c r="Z35" s="46" t="n">
        <f aca="false">IF('Stammdaten - Schwimmer'!$D31&lt;DATE(2007,7,20),'Stammdaten - Schwimmer'!F31,)</f>
        <v>42</v>
      </c>
      <c r="AA35" s="0" t="e">
        <f aca="false">_xlfn.RANK.EQ(Z35,Z$4:Z$103,0)</f>
        <v>#REF!</v>
      </c>
    </row>
    <row r="36" customFormat="false" ht="15" hidden="false" customHeight="false" outlineLevel="0" collapsed="false">
      <c r="A36" s="44" t="n">
        <f aca="false">'Stammdaten - Schwimmer'!A32</f>
        <v>30</v>
      </c>
      <c r="B36" s="45" t="str">
        <f aca="false">'Stammdaten - Schwimmer'!B32</f>
        <v>Kombacher</v>
      </c>
      <c r="C36" s="45" t="str">
        <f aca="false">'Stammdaten - Schwimmer'!C32</f>
        <v>Mia</v>
      </c>
      <c r="D36" s="30" t="n">
        <f aca="false">'Stammdaten - Schwimmer'!J32+'Stammdaten - Schwimmer'!N32+'Stammdaten - Schwimmer'!R32+'Stammdaten - Schwimmer'!V32+'Stammdaten - Schwimmer'!Z33</f>
        <v>0</v>
      </c>
      <c r="E36" s="46" t="n">
        <f aca="false">'Stammdaten - Schwimmer'!F32</f>
        <v>0</v>
      </c>
      <c r="H36" s="29" t="n">
        <f aca="false">IF('Stammdaten - Schwimmer'!D32&gt;DATE(2011,7,20),A36,)</f>
        <v>30</v>
      </c>
      <c r="I36" s="29" t="str">
        <f aca="false">IF('Stammdaten - Schwimmer'!$D32&gt;DATE(2011,7,20),B36,)</f>
        <v>Kombacher</v>
      </c>
      <c r="J36" s="29" t="str">
        <f aca="false">IF('Stammdaten - Schwimmer'!$D32&gt;DATE(2011,7,20),C36,)</f>
        <v>Mia</v>
      </c>
      <c r="K36" s="30" t="n">
        <f aca="false">IF('Stammdaten - Schwimmer'!$D32&gt;DATE(2011,7,20),D36,)</f>
        <v>0</v>
      </c>
      <c r="L36" s="29" t="n">
        <f aca="false">IF('Stammdaten - Schwimmer'!$D32&gt;DATE(2011,7,20),'Stammdaten - Schwimmer'!F32,)</f>
        <v>0</v>
      </c>
      <c r="M36" s="0" t="e">
        <f aca="false">_xlfn.RANK.EQ(L36,L$4:L$103,0)</f>
        <v>#REF!</v>
      </c>
      <c r="O36" s="29" t="n">
        <f aca="false">IF(AND('Stammdaten - Schwimmer'!$D32&lt;DATE(2011,7,20),'Stammdaten - Schwimmer'!$D32&gt;DATE(2007,7,19)),A36,)</f>
        <v>0</v>
      </c>
      <c r="P36" s="29" t="n">
        <f aca="false">IF(AND('Stammdaten - Schwimmer'!$D32&lt;DATE(2011,7,20),'Stammdaten - Schwimmer'!$D32&gt;DATE(2007,7,19)),B36,)</f>
        <v>0</v>
      </c>
      <c r="Q36" s="29" t="n">
        <f aca="false">IF(AND('Stammdaten - Schwimmer'!$D32&lt;DATE(2011,7,20),'Stammdaten - Schwimmer'!$D32&gt;DATE(2007,7,19)),C36,)</f>
        <v>0</v>
      </c>
      <c r="R36" s="30" t="n">
        <f aca="false">IF(AND('Stammdaten - Schwimmer'!$D32&lt;DATE(2011,7,20),'Stammdaten - Schwimmer'!$D32&gt;DATE(2007,7,19)),D36,)</f>
        <v>0</v>
      </c>
      <c r="S36" s="46" t="n">
        <f aca="false">IF(AND('Stammdaten - Schwimmer'!$D32&lt;DATE(2011,7,20),'Stammdaten - Schwimmer'!$D32&gt;DATE(2007,7,19)),'Stammdaten - Schwimmer'!F32,)</f>
        <v>0</v>
      </c>
      <c r="T36" s="0" t="e">
        <f aca="false">_xlfn.RANK.EQ(S36,S$4:S$103,0)</f>
        <v>#REF!</v>
      </c>
      <c r="V36" s="29" t="n">
        <f aca="false">IF('Stammdaten - Schwimmer'!$D32&lt;DATE(2007,7,20),A36,)</f>
        <v>0</v>
      </c>
      <c r="W36" s="29" t="n">
        <f aca="false">IF('Stammdaten - Schwimmer'!$D32&lt;DATE(2007,7,20),B36,)</f>
        <v>0</v>
      </c>
      <c r="X36" s="29" t="n">
        <f aca="false">IF('Stammdaten - Schwimmer'!$D32&lt;DATE(2007,7,20),C36,)</f>
        <v>0</v>
      </c>
      <c r="Y36" s="30" t="n">
        <f aca="false">IF('Stammdaten - Schwimmer'!$D32&lt;DATE(2007,7,20),D36,)</f>
        <v>0</v>
      </c>
      <c r="Z36" s="46" t="n">
        <f aca="false">IF('Stammdaten - Schwimmer'!$D32&lt;DATE(2007,7,20),'Stammdaten - Schwimmer'!F32,)</f>
        <v>0</v>
      </c>
      <c r="AA36" s="0" t="e">
        <f aca="false">_xlfn.RANK.EQ(Z36,Z$4:Z$103,0)</f>
        <v>#REF!</v>
      </c>
    </row>
    <row r="37" customFormat="false" ht="15" hidden="false" customHeight="false" outlineLevel="0" collapsed="false">
      <c r="A37" s="44" t="n">
        <f aca="false">'Stammdaten - Schwimmer'!A33</f>
        <v>31</v>
      </c>
      <c r="B37" s="45" t="str">
        <f aca="false">'Stammdaten - Schwimmer'!B33</f>
        <v>Kombacher</v>
      </c>
      <c r="C37" s="45" t="str">
        <f aca="false">'Stammdaten - Schwimmer'!C33</f>
        <v>Anja</v>
      </c>
      <c r="D37" s="30" t="n">
        <f aca="false">'Stammdaten - Schwimmer'!J33+'Stammdaten - Schwimmer'!N33+'Stammdaten - Schwimmer'!R33+'Stammdaten - Schwimmer'!V33+'Stammdaten - Schwimmer'!Z34</f>
        <v>0</v>
      </c>
      <c r="E37" s="46" t="n">
        <f aca="false">'Stammdaten - Schwimmer'!F33</f>
        <v>0</v>
      </c>
      <c r="H37" s="29" t="n">
        <f aca="false">IF('Stammdaten - Schwimmer'!D33&gt;DATE(2011,7,20),A37,)</f>
        <v>0</v>
      </c>
      <c r="I37" s="29" t="n">
        <f aca="false">IF('Stammdaten - Schwimmer'!$D33&gt;DATE(2011,7,20),B37,)</f>
        <v>0</v>
      </c>
      <c r="J37" s="29" t="n">
        <f aca="false">IF('Stammdaten - Schwimmer'!$D33&gt;DATE(2011,7,20),C37,)</f>
        <v>0</v>
      </c>
      <c r="K37" s="30" t="n">
        <f aca="false">IF('Stammdaten - Schwimmer'!$D33&gt;DATE(2011,7,20),D37,)</f>
        <v>0</v>
      </c>
      <c r="L37" s="29" t="n">
        <f aca="false">IF('Stammdaten - Schwimmer'!$D33&gt;DATE(2011,7,20),'Stammdaten - Schwimmer'!F33,)</f>
        <v>0</v>
      </c>
      <c r="M37" s="0" t="e">
        <f aca="false">_xlfn.RANK.EQ(L37,L$4:L$103,0)</f>
        <v>#REF!</v>
      </c>
      <c r="O37" s="29" t="n">
        <f aca="false">IF(AND('Stammdaten - Schwimmer'!$D33&lt;DATE(2011,7,20),'Stammdaten - Schwimmer'!$D33&gt;DATE(2007,7,19)),A37,)</f>
        <v>0</v>
      </c>
      <c r="P37" s="29" t="n">
        <f aca="false">IF(AND('Stammdaten - Schwimmer'!$D33&lt;DATE(2011,7,20),'Stammdaten - Schwimmer'!$D33&gt;DATE(2007,7,19)),B37,)</f>
        <v>0</v>
      </c>
      <c r="Q37" s="29" t="n">
        <f aca="false">IF(AND('Stammdaten - Schwimmer'!$D33&lt;DATE(2011,7,20),'Stammdaten - Schwimmer'!$D33&gt;DATE(2007,7,19)),C37,)</f>
        <v>0</v>
      </c>
      <c r="R37" s="30" t="n">
        <f aca="false">IF(AND('Stammdaten - Schwimmer'!$D33&lt;DATE(2011,7,20),'Stammdaten - Schwimmer'!$D33&gt;DATE(2007,7,19)),D37,)</f>
        <v>0</v>
      </c>
      <c r="S37" s="46" t="n">
        <f aca="false">IF(AND('Stammdaten - Schwimmer'!$D33&lt;DATE(2011,7,20),'Stammdaten - Schwimmer'!$D33&gt;DATE(2007,7,19)),'Stammdaten - Schwimmer'!F33,)</f>
        <v>0</v>
      </c>
      <c r="T37" s="0" t="e">
        <f aca="false">_xlfn.RANK.EQ(S37,S$4:S$103,0)</f>
        <v>#REF!</v>
      </c>
      <c r="V37" s="29" t="n">
        <f aca="false">IF('Stammdaten - Schwimmer'!$D33&lt;DATE(2007,7,20),A37,)</f>
        <v>31</v>
      </c>
      <c r="W37" s="29" t="str">
        <f aca="false">IF('Stammdaten - Schwimmer'!$D33&lt;DATE(2007,7,20),B37,)</f>
        <v>Kombacher</v>
      </c>
      <c r="X37" s="29" t="str">
        <f aca="false">IF('Stammdaten - Schwimmer'!$D33&lt;DATE(2007,7,20),C37,)</f>
        <v>Anja</v>
      </c>
      <c r="Y37" s="30" t="n">
        <f aca="false">IF('Stammdaten - Schwimmer'!$D33&lt;DATE(2007,7,20),D37,)</f>
        <v>0</v>
      </c>
      <c r="Z37" s="46" t="n">
        <f aca="false">IF('Stammdaten - Schwimmer'!$D33&lt;DATE(2007,7,20),'Stammdaten - Schwimmer'!F33,)</f>
        <v>0</v>
      </c>
      <c r="AA37" s="0" t="e">
        <f aca="false">_xlfn.RANK.EQ(Z37,Z$4:Z$103,0)</f>
        <v>#REF!</v>
      </c>
    </row>
    <row r="38" customFormat="false" ht="15" hidden="false" customHeight="false" outlineLevel="0" collapsed="false">
      <c r="A38" s="44" t="n">
        <f aca="false">'Stammdaten - Schwimmer'!A34</f>
        <v>32</v>
      </c>
      <c r="B38" s="45" t="str">
        <f aca="false">'Stammdaten - Schwimmer'!B34</f>
        <v>Kombacher</v>
      </c>
      <c r="C38" s="45" t="str">
        <f aca="false">'Stammdaten - Schwimmer'!C34</f>
        <v>Lea</v>
      </c>
      <c r="D38" s="30" t="n">
        <f aca="false">'Stammdaten - Schwimmer'!J34+'Stammdaten - Schwimmer'!N34+'Stammdaten - Schwimmer'!R34+'Stammdaten - Schwimmer'!V34+'Stammdaten - Schwimmer'!Z35</f>
        <v>188</v>
      </c>
      <c r="E38" s="46" t="n">
        <f aca="false">'Stammdaten - Schwimmer'!F34</f>
        <v>94</v>
      </c>
      <c r="H38" s="29" t="n">
        <f aca="false">IF('Stammdaten - Schwimmer'!D34&gt;DATE(2011,7,20),A38,)</f>
        <v>32</v>
      </c>
      <c r="I38" s="29" t="str">
        <f aca="false">IF('Stammdaten - Schwimmer'!$D34&gt;DATE(2011,7,20),B38,)</f>
        <v>Kombacher</v>
      </c>
      <c r="J38" s="29" t="str">
        <f aca="false">IF('Stammdaten - Schwimmer'!$D34&gt;DATE(2011,7,20),C38,)</f>
        <v>Lea</v>
      </c>
      <c r="K38" s="30" t="n">
        <f aca="false">IF('Stammdaten - Schwimmer'!$D34&gt;DATE(2011,7,20),D38,)</f>
        <v>188</v>
      </c>
      <c r="L38" s="29" t="n">
        <f aca="false">IF('Stammdaten - Schwimmer'!$D34&gt;DATE(2011,7,20),'Stammdaten - Schwimmer'!F34,)</f>
        <v>94</v>
      </c>
      <c r="M38" s="0" t="e">
        <f aca="false">_xlfn.RANK.EQ(L38,L$4:L$103,0)</f>
        <v>#REF!</v>
      </c>
      <c r="O38" s="29" t="n">
        <f aca="false">IF(AND('Stammdaten - Schwimmer'!$D34&lt;DATE(2011,7,20),'Stammdaten - Schwimmer'!$D34&gt;DATE(2007,7,19)),A38,)</f>
        <v>0</v>
      </c>
      <c r="P38" s="29" t="n">
        <f aca="false">IF(AND('Stammdaten - Schwimmer'!$D34&lt;DATE(2011,7,20),'Stammdaten - Schwimmer'!$D34&gt;DATE(2007,7,19)),B38,)</f>
        <v>0</v>
      </c>
      <c r="Q38" s="29" t="n">
        <f aca="false">IF(AND('Stammdaten - Schwimmer'!$D34&lt;DATE(2011,7,20),'Stammdaten - Schwimmer'!$D34&gt;DATE(2007,7,19)),C38,)</f>
        <v>0</v>
      </c>
      <c r="R38" s="30" t="n">
        <f aca="false">IF(AND('Stammdaten - Schwimmer'!$D34&lt;DATE(2011,7,20),'Stammdaten - Schwimmer'!$D34&gt;DATE(2007,7,19)),D38,)</f>
        <v>0</v>
      </c>
      <c r="S38" s="46" t="n">
        <f aca="false">IF(AND('Stammdaten - Schwimmer'!$D34&lt;DATE(2011,7,20),'Stammdaten - Schwimmer'!$D34&gt;DATE(2007,7,19)),'Stammdaten - Schwimmer'!F34,)</f>
        <v>0</v>
      </c>
      <c r="T38" s="0" t="e">
        <f aca="false">_xlfn.RANK.EQ(S38,S$4:S$103,0)</f>
        <v>#REF!</v>
      </c>
      <c r="V38" s="29" t="n">
        <f aca="false">IF('Stammdaten - Schwimmer'!$D34&lt;DATE(2007,7,20),A38,)</f>
        <v>0</v>
      </c>
      <c r="W38" s="29" t="n">
        <f aca="false">IF('Stammdaten - Schwimmer'!$D34&lt;DATE(2007,7,20),B38,)</f>
        <v>0</v>
      </c>
      <c r="X38" s="29" t="n">
        <f aca="false">IF('Stammdaten - Schwimmer'!$D34&lt;DATE(2007,7,20),C38,)</f>
        <v>0</v>
      </c>
      <c r="Y38" s="30" t="n">
        <f aca="false">IF('Stammdaten - Schwimmer'!$D34&lt;DATE(2007,7,20),D38,)</f>
        <v>0</v>
      </c>
      <c r="Z38" s="46" t="n">
        <f aca="false">IF('Stammdaten - Schwimmer'!$D34&lt;DATE(2007,7,20),'Stammdaten - Schwimmer'!F34,)</f>
        <v>0</v>
      </c>
      <c r="AA38" s="0" t="e">
        <f aca="false">_xlfn.RANK.EQ(Z38,Z$4:Z$103,0)</f>
        <v>#REF!</v>
      </c>
    </row>
    <row r="39" customFormat="false" ht="15" hidden="false" customHeight="false" outlineLevel="0" collapsed="false">
      <c r="A39" s="44" t="n">
        <f aca="false">'Stammdaten - Schwimmer'!A35</f>
        <v>33</v>
      </c>
      <c r="B39" s="45" t="n">
        <f aca="false">'Stammdaten - Schwimmer'!B35</f>
        <v>0</v>
      </c>
      <c r="C39" s="45" t="n">
        <f aca="false">'Stammdaten - Schwimmer'!C35</f>
        <v>0</v>
      </c>
      <c r="D39" s="30" t="n">
        <f aca="false">'Stammdaten - Schwimmer'!J35+'Stammdaten - Schwimmer'!N35+'Stammdaten - Schwimmer'!R35+'Stammdaten - Schwimmer'!V35+'Stammdaten - Schwimmer'!Z36</f>
        <v>0</v>
      </c>
      <c r="E39" s="46" t="n">
        <f aca="false">'Stammdaten - Schwimmer'!F35</f>
        <v>0</v>
      </c>
      <c r="H39" s="29" t="n">
        <f aca="false">IF('Stammdaten - Schwimmer'!D35&gt;DATE(2011,7,20),A39,)</f>
        <v>0</v>
      </c>
      <c r="I39" s="29" t="n">
        <f aca="false">IF('Stammdaten - Schwimmer'!$D35&gt;DATE(2011,7,20),B39,)</f>
        <v>0</v>
      </c>
      <c r="J39" s="29" t="n">
        <f aca="false">IF('Stammdaten - Schwimmer'!$D35&gt;DATE(2011,7,20),C39,)</f>
        <v>0</v>
      </c>
      <c r="K39" s="30" t="n">
        <f aca="false">IF('Stammdaten - Schwimmer'!$D35&gt;DATE(2011,7,20),D39,)</f>
        <v>0</v>
      </c>
      <c r="L39" s="29" t="n">
        <f aca="false">IF('Stammdaten - Schwimmer'!$D35&gt;DATE(2011,7,20),'Stammdaten - Schwimmer'!F35,)</f>
        <v>0</v>
      </c>
      <c r="M39" s="0" t="e">
        <f aca="false">_xlfn.RANK.EQ(L39,L$4:L$103,0)</f>
        <v>#REF!</v>
      </c>
      <c r="O39" s="29" t="n">
        <f aca="false">IF(AND('Stammdaten - Schwimmer'!$D35&lt;DATE(2011,7,20),'Stammdaten - Schwimmer'!$D35&gt;DATE(2007,7,19)),A39,)</f>
        <v>0</v>
      </c>
      <c r="P39" s="29" t="n">
        <f aca="false">IF(AND('Stammdaten - Schwimmer'!$D35&lt;DATE(2011,7,20),'Stammdaten - Schwimmer'!$D35&gt;DATE(2007,7,19)),B39,)</f>
        <v>0</v>
      </c>
      <c r="Q39" s="29" t="n">
        <f aca="false">IF(AND('Stammdaten - Schwimmer'!$D35&lt;DATE(2011,7,20),'Stammdaten - Schwimmer'!$D35&gt;DATE(2007,7,19)),C39,)</f>
        <v>0</v>
      </c>
      <c r="R39" s="30" t="n">
        <f aca="false">IF(AND('Stammdaten - Schwimmer'!$D35&lt;DATE(2011,7,20),'Stammdaten - Schwimmer'!$D35&gt;DATE(2007,7,19)),D39,)</f>
        <v>0</v>
      </c>
      <c r="S39" s="46" t="n">
        <f aca="false">IF(AND('Stammdaten - Schwimmer'!$D35&lt;DATE(2011,7,20),'Stammdaten - Schwimmer'!$D35&gt;DATE(2007,7,19)),'Stammdaten - Schwimmer'!F35,)</f>
        <v>0</v>
      </c>
      <c r="T39" s="0" t="e">
        <f aca="false">_xlfn.RANK.EQ(S39,S$4:S$103,0)</f>
        <v>#REF!</v>
      </c>
      <c r="V39" s="29" t="n">
        <f aca="false">IF('Stammdaten - Schwimmer'!$D35&lt;DATE(2007,7,20),A39,)</f>
        <v>33</v>
      </c>
      <c r="W39" s="29" t="n">
        <f aca="false">IF('Stammdaten - Schwimmer'!$D35&lt;DATE(2007,7,20),B39,)</f>
        <v>0</v>
      </c>
      <c r="X39" s="29" t="n">
        <f aca="false">IF('Stammdaten - Schwimmer'!$D35&lt;DATE(2007,7,20),C39,)</f>
        <v>0</v>
      </c>
      <c r="Y39" s="30" t="n">
        <f aca="false">IF('Stammdaten - Schwimmer'!$D35&lt;DATE(2007,7,20),D39,)</f>
        <v>0</v>
      </c>
      <c r="Z39" s="46" t="n">
        <f aca="false">IF('Stammdaten - Schwimmer'!$D35&lt;DATE(2007,7,20),'Stammdaten - Schwimmer'!F35,)</f>
        <v>0</v>
      </c>
      <c r="AA39" s="0" t="e">
        <f aca="false">_xlfn.RANK.EQ(Z39,Z$4:Z$103,0)</f>
        <v>#REF!</v>
      </c>
    </row>
    <row r="40" customFormat="false" ht="15" hidden="false" customHeight="false" outlineLevel="0" collapsed="false">
      <c r="A40" s="44" t="n">
        <f aca="false">'Stammdaten - Schwimmer'!A36</f>
        <v>34</v>
      </c>
      <c r="B40" s="45" t="str">
        <f aca="false">'Stammdaten - Schwimmer'!B36</f>
        <v>Kombacher</v>
      </c>
      <c r="C40" s="45" t="str">
        <f aca="false">'Stammdaten - Schwimmer'!C36</f>
        <v>Sara</v>
      </c>
      <c r="D40" s="30" t="n">
        <f aca="false">'Stammdaten - Schwimmer'!J36+'Stammdaten - Schwimmer'!N36+'Stammdaten - Schwimmer'!R36+'Stammdaten - Schwimmer'!V36+'Stammdaten - Schwimmer'!Z37</f>
        <v>148</v>
      </c>
      <c r="E40" s="46" t="n">
        <f aca="false">'Stammdaten - Schwimmer'!F36</f>
        <v>74</v>
      </c>
      <c r="H40" s="29" t="n">
        <f aca="false">IF('Stammdaten - Schwimmer'!D36&gt;DATE(2011,7,20),A40,)</f>
        <v>34</v>
      </c>
      <c r="I40" s="29" t="str">
        <f aca="false">IF('Stammdaten - Schwimmer'!$D36&gt;DATE(2011,7,20),B40,)</f>
        <v>Kombacher</v>
      </c>
      <c r="J40" s="29" t="str">
        <f aca="false">IF('Stammdaten - Schwimmer'!$D36&gt;DATE(2011,7,20),C40,)</f>
        <v>Sara</v>
      </c>
      <c r="K40" s="30" t="n">
        <f aca="false">IF('Stammdaten - Schwimmer'!$D36&gt;DATE(2011,7,20),D40,)</f>
        <v>148</v>
      </c>
      <c r="L40" s="29" t="n">
        <f aca="false">IF('Stammdaten - Schwimmer'!$D36&gt;DATE(2011,7,20),'Stammdaten - Schwimmer'!F36,)</f>
        <v>74</v>
      </c>
      <c r="M40" s="0" t="e">
        <f aca="false">_xlfn.RANK.EQ(L40,L$4:L$103,0)</f>
        <v>#REF!</v>
      </c>
      <c r="O40" s="29" t="n">
        <f aca="false">IF(AND('Stammdaten - Schwimmer'!$D36&lt;DATE(2011,7,20),'Stammdaten - Schwimmer'!$D36&gt;DATE(2007,7,19)),A40,)</f>
        <v>0</v>
      </c>
      <c r="P40" s="29" t="n">
        <f aca="false">IF(AND('Stammdaten - Schwimmer'!$D36&lt;DATE(2011,7,20),'Stammdaten - Schwimmer'!$D36&gt;DATE(2007,7,19)),B40,)</f>
        <v>0</v>
      </c>
      <c r="Q40" s="29" t="n">
        <f aca="false">IF(AND('Stammdaten - Schwimmer'!$D36&lt;DATE(2011,7,20),'Stammdaten - Schwimmer'!$D36&gt;DATE(2007,7,19)),C40,)</f>
        <v>0</v>
      </c>
      <c r="R40" s="30" t="n">
        <f aca="false">IF(AND('Stammdaten - Schwimmer'!$D36&lt;DATE(2011,7,20),'Stammdaten - Schwimmer'!$D36&gt;DATE(2007,7,19)),D40,)</f>
        <v>0</v>
      </c>
      <c r="S40" s="46" t="n">
        <f aca="false">IF(AND('Stammdaten - Schwimmer'!$D36&lt;DATE(2011,7,20),'Stammdaten - Schwimmer'!$D36&gt;DATE(2007,7,19)),'Stammdaten - Schwimmer'!F36,)</f>
        <v>0</v>
      </c>
      <c r="T40" s="0" t="e">
        <f aca="false">_xlfn.RANK.EQ(S40,S$4:S$103,0)</f>
        <v>#REF!</v>
      </c>
      <c r="V40" s="29" t="n">
        <f aca="false">IF('Stammdaten - Schwimmer'!$D36&lt;DATE(2007,7,20),A40,)</f>
        <v>0</v>
      </c>
      <c r="W40" s="29" t="n">
        <f aca="false">IF('Stammdaten - Schwimmer'!$D36&lt;DATE(2007,7,20),B40,)</f>
        <v>0</v>
      </c>
      <c r="X40" s="29" t="n">
        <f aca="false">IF('Stammdaten - Schwimmer'!$D36&lt;DATE(2007,7,20),C40,)</f>
        <v>0</v>
      </c>
      <c r="Y40" s="30" t="n">
        <f aca="false">IF('Stammdaten - Schwimmer'!$D36&lt;DATE(2007,7,20),D40,)</f>
        <v>0</v>
      </c>
      <c r="Z40" s="46" t="n">
        <f aca="false">IF('Stammdaten - Schwimmer'!$D36&lt;DATE(2007,7,20),'Stammdaten - Schwimmer'!F36,)</f>
        <v>0</v>
      </c>
      <c r="AA40" s="0" t="e">
        <f aca="false">_xlfn.RANK.EQ(Z40,Z$4:Z$103,0)</f>
        <v>#REF!</v>
      </c>
    </row>
    <row r="41" customFormat="false" ht="15" hidden="false" customHeight="false" outlineLevel="0" collapsed="false">
      <c r="A41" s="44" t="n">
        <f aca="false">'Stammdaten - Schwimmer'!A37</f>
        <v>35</v>
      </c>
      <c r="B41" s="45" t="n">
        <f aca="false">'Stammdaten - Schwimmer'!B37</f>
        <v>0</v>
      </c>
      <c r="C41" s="45" t="n">
        <f aca="false">'Stammdaten - Schwimmer'!C37</f>
        <v>0</v>
      </c>
      <c r="D41" s="30" t="n">
        <f aca="false">'Stammdaten - Schwimmer'!J37+'Stammdaten - Schwimmer'!N37+'Stammdaten - Schwimmer'!R37+'Stammdaten - Schwimmer'!V37+'Stammdaten - Schwimmer'!Z38</f>
        <v>0</v>
      </c>
      <c r="E41" s="46" t="n">
        <f aca="false">'Stammdaten - Schwimmer'!F37</f>
        <v>0</v>
      </c>
      <c r="H41" s="29" t="n">
        <f aca="false">IF('Stammdaten - Schwimmer'!D37&gt;DATE(2011,7,20),A41,)</f>
        <v>0</v>
      </c>
      <c r="I41" s="29" t="n">
        <f aca="false">IF('Stammdaten - Schwimmer'!$D37&gt;DATE(2011,7,20),B41,)</f>
        <v>0</v>
      </c>
      <c r="J41" s="29" t="n">
        <f aca="false">IF('Stammdaten - Schwimmer'!$D37&gt;DATE(2011,7,20),C41,)</f>
        <v>0</v>
      </c>
      <c r="K41" s="30" t="n">
        <f aca="false">IF('Stammdaten - Schwimmer'!$D37&gt;DATE(2011,7,20),D41,)</f>
        <v>0</v>
      </c>
      <c r="L41" s="29" t="n">
        <f aca="false">IF('Stammdaten - Schwimmer'!$D37&gt;DATE(2011,7,20),'Stammdaten - Schwimmer'!F37,)</f>
        <v>0</v>
      </c>
      <c r="M41" s="0" t="e">
        <f aca="false">_xlfn.RANK.EQ(L41,L$4:L$103,0)</f>
        <v>#REF!</v>
      </c>
      <c r="O41" s="29" t="n">
        <f aca="false">IF(AND('Stammdaten - Schwimmer'!$D37&lt;DATE(2011,7,20),'Stammdaten - Schwimmer'!$D37&gt;DATE(2007,7,19)),A41,)</f>
        <v>0</v>
      </c>
      <c r="P41" s="29" t="n">
        <f aca="false">IF(AND('Stammdaten - Schwimmer'!$D37&lt;DATE(2011,7,20),'Stammdaten - Schwimmer'!$D37&gt;DATE(2007,7,19)),B41,)</f>
        <v>0</v>
      </c>
      <c r="Q41" s="29" t="n">
        <f aca="false">IF(AND('Stammdaten - Schwimmer'!$D37&lt;DATE(2011,7,20),'Stammdaten - Schwimmer'!$D37&gt;DATE(2007,7,19)),C41,)</f>
        <v>0</v>
      </c>
      <c r="R41" s="30" t="n">
        <f aca="false">IF(AND('Stammdaten - Schwimmer'!$D37&lt;DATE(2011,7,20),'Stammdaten - Schwimmer'!$D37&gt;DATE(2007,7,19)),D41,)</f>
        <v>0</v>
      </c>
      <c r="S41" s="46" t="n">
        <f aca="false">IF(AND('Stammdaten - Schwimmer'!$D37&lt;DATE(2011,7,20),'Stammdaten - Schwimmer'!$D37&gt;DATE(2007,7,19)),'Stammdaten - Schwimmer'!F37,)</f>
        <v>0</v>
      </c>
      <c r="T41" s="0" t="e">
        <f aca="false">_xlfn.RANK.EQ(S41,S$4:S$103,0)</f>
        <v>#REF!</v>
      </c>
      <c r="V41" s="29" t="n">
        <f aca="false">IF('Stammdaten - Schwimmer'!$D37&lt;DATE(2007,7,20),A41,)</f>
        <v>35</v>
      </c>
      <c r="W41" s="29" t="n">
        <f aca="false">IF('Stammdaten - Schwimmer'!$D37&lt;DATE(2007,7,20),B41,)</f>
        <v>0</v>
      </c>
      <c r="X41" s="29" t="n">
        <f aca="false">IF('Stammdaten - Schwimmer'!$D37&lt;DATE(2007,7,20),C41,)</f>
        <v>0</v>
      </c>
      <c r="Y41" s="30" t="n">
        <f aca="false">IF('Stammdaten - Schwimmer'!$D37&lt;DATE(2007,7,20),D41,)</f>
        <v>0</v>
      </c>
      <c r="Z41" s="46" t="n">
        <f aca="false">IF('Stammdaten - Schwimmer'!$D37&lt;DATE(2007,7,20),'Stammdaten - Schwimmer'!F37,)</f>
        <v>0</v>
      </c>
      <c r="AA41" s="0" t="e">
        <f aca="false">_xlfn.RANK.EQ(Z41,Z$4:Z$103,0)</f>
        <v>#REF!</v>
      </c>
    </row>
    <row r="42" customFormat="false" ht="15" hidden="false" customHeight="false" outlineLevel="0" collapsed="false">
      <c r="A42" s="44" t="n">
        <f aca="false">'Stammdaten - Schwimmer'!A38</f>
        <v>36</v>
      </c>
      <c r="B42" s="45" t="str">
        <f aca="false">'Stammdaten - Schwimmer'!B38</f>
        <v>Hanke</v>
      </c>
      <c r="C42" s="45" t="str">
        <f aca="false">'Stammdaten - Schwimmer'!C38</f>
        <v>Kerstin</v>
      </c>
      <c r="D42" s="30" t="n">
        <f aca="false">'Stammdaten - Schwimmer'!J38+'Stammdaten - Schwimmer'!N38+'Stammdaten - Schwimmer'!R38+'Stammdaten - Schwimmer'!V38+'Stammdaten - Schwimmer'!Z39</f>
        <v>240</v>
      </c>
      <c r="E42" s="46" t="n">
        <f aca="false">'Stammdaten - Schwimmer'!F38</f>
        <v>20</v>
      </c>
      <c r="H42" s="29" t="n">
        <f aca="false">IF('Stammdaten - Schwimmer'!D38&gt;DATE(2011,7,20),A42,)</f>
        <v>0</v>
      </c>
      <c r="I42" s="29" t="n">
        <f aca="false">IF('Stammdaten - Schwimmer'!$D38&gt;DATE(2011,7,20),B42,)</f>
        <v>0</v>
      </c>
      <c r="J42" s="29" t="n">
        <f aca="false">IF('Stammdaten - Schwimmer'!$D38&gt;DATE(2011,7,20),C42,)</f>
        <v>0</v>
      </c>
      <c r="K42" s="30" t="n">
        <f aca="false">IF('Stammdaten - Schwimmer'!$D38&gt;DATE(2011,7,20),D42,)</f>
        <v>0</v>
      </c>
      <c r="L42" s="29" t="n">
        <f aca="false">IF('Stammdaten - Schwimmer'!$D38&gt;DATE(2011,7,20),'Stammdaten - Schwimmer'!F38,)</f>
        <v>0</v>
      </c>
      <c r="M42" s="0" t="e">
        <f aca="false">_xlfn.RANK.EQ(L42,L$4:L$103,0)</f>
        <v>#REF!</v>
      </c>
      <c r="O42" s="29" t="n">
        <f aca="false">IF(AND('Stammdaten - Schwimmer'!$D38&lt;DATE(2011,7,20),'Stammdaten - Schwimmer'!$D38&gt;DATE(2007,7,19)),A42,)</f>
        <v>0</v>
      </c>
      <c r="P42" s="29" t="n">
        <f aca="false">IF(AND('Stammdaten - Schwimmer'!$D38&lt;DATE(2011,7,20),'Stammdaten - Schwimmer'!$D38&gt;DATE(2007,7,19)),B42,)</f>
        <v>0</v>
      </c>
      <c r="Q42" s="29" t="n">
        <f aca="false">IF(AND('Stammdaten - Schwimmer'!$D38&lt;DATE(2011,7,20),'Stammdaten - Schwimmer'!$D38&gt;DATE(2007,7,19)),C42,)</f>
        <v>0</v>
      </c>
      <c r="R42" s="30" t="n">
        <f aca="false">IF(AND('Stammdaten - Schwimmer'!$D38&lt;DATE(2011,7,20),'Stammdaten - Schwimmer'!$D38&gt;DATE(2007,7,19)),D42,)</f>
        <v>0</v>
      </c>
      <c r="S42" s="46" t="n">
        <f aca="false">IF(AND('Stammdaten - Schwimmer'!$D38&lt;DATE(2011,7,20),'Stammdaten - Schwimmer'!$D38&gt;DATE(2007,7,19)),'Stammdaten - Schwimmer'!F38,)</f>
        <v>0</v>
      </c>
      <c r="T42" s="0" t="e">
        <f aca="false">_xlfn.RANK.EQ(S42,S$4:S$103,0)</f>
        <v>#REF!</v>
      </c>
      <c r="V42" s="29" t="n">
        <f aca="false">IF('Stammdaten - Schwimmer'!$D38&lt;DATE(2007,7,20),A42,)</f>
        <v>36</v>
      </c>
      <c r="W42" s="29" t="str">
        <f aca="false">IF('Stammdaten - Schwimmer'!$D38&lt;DATE(2007,7,20),B42,)</f>
        <v>Hanke</v>
      </c>
      <c r="X42" s="29" t="str">
        <f aca="false">IF('Stammdaten - Schwimmer'!$D38&lt;DATE(2007,7,20),C42,)</f>
        <v>Kerstin</v>
      </c>
      <c r="Y42" s="30" t="n">
        <f aca="false">IF('Stammdaten - Schwimmer'!$D38&lt;DATE(2007,7,20),D42,)</f>
        <v>240</v>
      </c>
      <c r="Z42" s="46" t="n">
        <f aca="false">IF('Stammdaten - Schwimmer'!$D38&lt;DATE(2007,7,20),'Stammdaten - Schwimmer'!F38,)</f>
        <v>20</v>
      </c>
      <c r="AA42" s="0" t="e">
        <f aca="false">_xlfn.RANK.EQ(Z42,Z$4:Z$103,0)</f>
        <v>#REF!</v>
      </c>
    </row>
    <row r="43" customFormat="false" ht="15" hidden="false" customHeight="false" outlineLevel="0" collapsed="false">
      <c r="A43" s="44" t="n">
        <f aca="false">'Stammdaten - Schwimmer'!A39</f>
        <v>37</v>
      </c>
      <c r="B43" s="45" t="str">
        <f aca="false">'Stammdaten - Schwimmer'!B39</f>
        <v>Frank</v>
      </c>
      <c r="C43" s="45" t="str">
        <f aca="false">'Stammdaten - Schwimmer'!C39</f>
        <v>Konstantin</v>
      </c>
      <c r="D43" s="30" t="n">
        <f aca="false">'Stammdaten - Schwimmer'!J39+'Stammdaten - Schwimmer'!N39+'Stammdaten - Schwimmer'!R39+'Stammdaten - Schwimmer'!V39+'Stammdaten - Schwimmer'!Z40</f>
        <v>1</v>
      </c>
      <c r="E43" s="46" t="n">
        <f aca="false">'Stammdaten - Schwimmer'!F39</f>
        <v>30</v>
      </c>
      <c r="H43" s="29" t="n">
        <f aca="false">IF('Stammdaten - Schwimmer'!D39&gt;DATE(2011,7,20),A43,)</f>
        <v>0</v>
      </c>
      <c r="I43" s="29" t="n">
        <f aca="false">IF('Stammdaten - Schwimmer'!$D39&gt;DATE(2011,7,20),B43,)</f>
        <v>0</v>
      </c>
      <c r="J43" s="29" t="n">
        <f aca="false">IF('Stammdaten - Schwimmer'!$D39&gt;DATE(2011,7,20),C43,)</f>
        <v>0</v>
      </c>
      <c r="K43" s="30" t="n">
        <f aca="false">IF('Stammdaten - Schwimmer'!$D39&gt;DATE(2011,7,20),D43,)</f>
        <v>0</v>
      </c>
      <c r="L43" s="29" t="n">
        <f aca="false">IF('Stammdaten - Schwimmer'!$D39&gt;DATE(2011,7,20),'Stammdaten - Schwimmer'!F39,)</f>
        <v>0</v>
      </c>
      <c r="M43" s="0" t="e">
        <f aca="false">_xlfn.RANK.EQ(L43,L$4:L$103,0)</f>
        <v>#REF!</v>
      </c>
      <c r="O43" s="29" t="n">
        <f aca="false">IF(AND('Stammdaten - Schwimmer'!$D39&lt;DATE(2011,7,20),'Stammdaten - Schwimmer'!$D39&gt;DATE(2007,7,19)),A43,)</f>
        <v>0</v>
      </c>
      <c r="P43" s="29" t="n">
        <f aca="false">IF(AND('Stammdaten - Schwimmer'!$D39&lt;DATE(2011,7,20),'Stammdaten - Schwimmer'!$D39&gt;DATE(2007,7,19)),B43,)</f>
        <v>0</v>
      </c>
      <c r="Q43" s="29" t="n">
        <f aca="false">IF(AND('Stammdaten - Schwimmer'!$D39&lt;DATE(2011,7,20),'Stammdaten - Schwimmer'!$D39&gt;DATE(2007,7,19)),C43,)</f>
        <v>0</v>
      </c>
      <c r="R43" s="30" t="n">
        <f aca="false">IF(AND('Stammdaten - Schwimmer'!$D39&lt;DATE(2011,7,20),'Stammdaten - Schwimmer'!$D39&gt;DATE(2007,7,19)),D43,)</f>
        <v>0</v>
      </c>
      <c r="S43" s="46" t="n">
        <f aca="false">IF(AND('Stammdaten - Schwimmer'!$D39&lt;DATE(2011,7,20),'Stammdaten - Schwimmer'!$D39&gt;DATE(2007,7,19)),'Stammdaten - Schwimmer'!F39,)</f>
        <v>0</v>
      </c>
      <c r="T43" s="0" t="e">
        <f aca="false">_xlfn.RANK.EQ(S43,S$4:S$103,0)</f>
        <v>#REF!</v>
      </c>
      <c r="V43" s="29" t="n">
        <f aca="false">IF('Stammdaten - Schwimmer'!$D39&lt;DATE(2007,7,20),A43,)</f>
        <v>37</v>
      </c>
      <c r="W43" s="29" t="str">
        <f aca="false">IF('Stammdaten - Schwimmer'!$D39&lt;DATE(2007,7,20),B43,)</f>
        <v>Frank</v>
      </c>
      <c r="X43" s="29" t="str">
        <f aca="false">IF('Stammdaten - Schwimmer'!$D39&lt;DATE(2007,7,20),C43,)</f>
        <v>Konstantin</v>
      </c>
      <c r="Y43" s="30" t="n">
        <f aca="false">IF('Stammdaten - Schwimmer'!$D39&lt;DATE(2007,7,20),D43,)</f>
        <v>1</v>
      </c>
      <c r="Z43" s="46" t="n">
        <f aca="false">IF('Stammdaten - Schwimmer'!$D39&lt;DATE(2007,7,20),'Stammdaten - Schwimmer'!F39,)</f>
        <v>30</v>
      </c>
      <c r="AA43" s="0" t="e">
        <f aca="false">_xlfn.RANK.EQ(Z43,Z$4:Z$103,0)</f>
        <v>#REF!</v>
      </c>
    </row>
    <row r="44" customFormat="false" ht="15" hidden="false" customHeight="false" outlineLevel="0" collapsed="false">
      <c r="A44" s="44" t="n">
        <f aca="false">'Stammdaten - Schwimmer'!A40</f>
        <v>38</v>
      </c>
      <c r="B44" s="45" t="str">
        <f aca="false">'Stammdaten - Schwimmer'!B40</f>
        <v>Laub</v>
      </c>
      <c r="C44" s="45" t="str">
        <f aca="false">'Stammdaten - Schwimmer'!C40</f>
        <v>Noel</v>
      </c>
      <c r="D44" s="30" t="n">
        <f aca="false">'Stammdaten - Schwimmer'!J40+'Stammdaten - Schwimmer'!N40+'Stammdaten - Schwimmer'!R40+'Stammdaten - Schwimmer'!V40+'Stammdaten - Schwimmer'!Z41</f>
        <v>1</v>
      </c>
      <c r="E44" s="46" t="n">
        <f aca="false">'Stammdaten - Schwimmer'!F40</f>
        <v>38</v>
      </c>
      <c r="H44" s="29" t="n">
        <f aca="false">IF('Stammdaten - Schwimmer'!D40&gt;DATE(2011,7,20),A44,)</f>
        <v>0</v>
      </c>
      <c r="I44" s="29" t="n">
        <f aca="false">IF('Stammdaten - Schwimmer'!$D40&gt;DATE(2011,7,20),B44,)</f>
        <v>0</v>
      </c>
      <c r="J44" s="29" t="n">
        <f aca="false">IF('Stammdaten - Schwimmer'!$D40&gt;DATE(2011,7,20),C44,)</f>
        <v>0</v>
      </c>
      <c r="K44" s="30" t="n">
        <f aca="false">IF('Stammdaten - Schwimmer'!$D40&gt;DATE(2011,7,20),D44,)</f>
        <v>0</v>
      </c>
      <c r="L44" s="29" t="n">
        <f aca="false">IF('Stammdaten - Schwimmer'!$D40&gt;DATE(2011,7,20),'Stammdaten - Schwimmer'!F40,)</f>
        <v>0</v>
      </c>
      <c r="M44" s="0" t="e">
        <f aca="false">_xlfn.RANK.EQ(L44,L$4:L$103,0)</f>
        <v>#REF!</v>
      </c>
      <c r="O44" s="29" t="n">
        <f aca="false">IF(AND('Stammdaten - Schwimmer'!$D40&lt;DATE(2011,7,20),'Stammdaten - Schwimmer'!$D40&gt;DATE(2007,7,19)),A44,)</f>
        <v>0</v>
      </c>
      <c r="P44" s="29" t="n">
        <f aca="false">IF(AND('Stammdaten - Schwimmer'!$D40&lt;DATE(2011,7,20),'Stammdaten - Schwimmer'!$D40&gt;DATE(2007,7,19)),B44,)</f>
        <v>0</v>
      </c>
      <c r="Q44" s="29" t="n">
        <f aca="false">IF(AND('Stammdaten - Schwimmer'!$D40&lt;DATE(2011,7,20),'Stammdaten - Schwimmer'!$D40&gt;DATE(2007,7,19)),C44,)</f>
        <v>0</v>
      </c>
      <c r="R44" s="30" t="n">
        <f aca="false">IF(AND('Stammdaten - Schwimmer'!$D40&lt;DATE(2011,7,20),'Stammdaten - Schwimmer'!$D40&gt;DATE(2007,7,19)),D44,)</f>
        <v>0</v>
      </c>
      <c r="S44" s="46" t="n">
        <f aca="false">IF(AND('Stammdaten - Schwimmer'!$D40&lt;DATE(2011,7,20),'Stammdaten - Schwimmer'!$D40&gt;DATE(2007,7,19)),'Stammdaten - Schwimmer'!F40,)</f>
        <v>0</v>
      </c>
      <c r="T44" s="0" t="e">
        <f aca="false">_xlfn.RANK.EQ(S44,S$4:S$103,0)</f>
        <v>#REF!</v>
      </c>
      <c r="V44" s="29" t="n">
        <f aca="false">IF('Stammdaten - Schwimmer'!$D40&lt;DATE(2007,7,20),A44,)</f>
        <v>38</v>
      </c>
      <c r="W44" s="29" t="str">
        <f aca="false">IF('Stammdaten - Schwimmer'!$D40&lt;DATE(2007,7,20),B44,)</f>
        <v>Laub</v>
      </c>
      <c r="X44" s="29" t="str">
        <f aca="false">IF('Stammdaten - Schwimmer'!$D40&lt;DATE(2007,7,20),C44,)</f>
        <v>Noel</v>
      </c>
      <c r="Y44" s="30" t="n">
        <f aca="false">IF('Stammdaten - Schwimmer'!$D40&lt;DATE(2007,7,20),D44,)</f>
        <v>1</v>
      </c>
      <c r="Z44" s="46" t="n">
        <f aca="false">IF('Stammdaten - Schwimmer'!$D40&lt;DATE(2007,7,20),'Stammdaten - Schwimmer'!F40,)</f>
        <v>38</v>
      </c>
      <c r="AA44" s="0" t="e">
        <f aca="false">_xlfn.RANK.EQ(Z44,Z$4:Z$103,0)</f>
        <v>#REF!</v>
      </c>
    </row>
    <row r="45" customFormat="false" ht="15" hidden="false" customHeight="false" outlineLevel="0" collapsed="false">
      <c r="A45" s="44" t="n">
        <f aca="false">'Stammdaten - Schwimmer'!A41</f>
        <v>39</v>
      </c>
      <c r="B45" s="45" t="str">
        <f aca="false">'Stammdaten - Schwimmer'!B41</f>
        <v>Drensek</v>
      </c>
      <c r="C45" s="45" t="str">
        <f aca="false">'Stammdaten - Schwimmer'!C41</f>
        <v>Deborah</v>
      </c>
      <c r="D45" s="30" t="n">
        <f aca="false">'Stammdaten - Schwimmer'!J41+'Stammdaten - Schwimmer'!N41+'Stammdaten - Schwimmer'!R41+'Stammdaten - Schwimmer'!V41+'Stammdaten - Schwimmer'!Z42</f>
        <v>1</v>
      </c>
      <c r="E45" s="46" t="n">
        <f aca="false">'Stammdaten - Schwimmer'!F41</f>
        <v>20</v>
      </c>
      <c r="H45" s="29" t="n">
        <f aca="false">IF('Stammdaten - Schwimmer'!D41&gt;DATE(2011,7,20),A45,)</f>
        <v>0</v>
      </c>
      <c r="I45" s="29" t="n">
        <f aca="false">IF('Stammdaten - Schwimmer'!$D41&gt;DATE(2011,7,20),B45,)</f>
        <v>0</v>
      </c>
      <c r="J45" s="29" t="n">
        <f aca="false">IF('Stammdaten - Schwimmer'!$D41&gt;DATE(2011,7,20),C45,)</f>
        <v>0</v>
      </c>
      <c r="K45" s="30" t="n">
        <f aca="false">IF('Stammdaten - Schwimmer'!$D41&gt;DATE(2011,7,20),D45,)</f>
        <v>0</v>
      </c>
      <c r="L45" s="29" t="n">
        <f aca="false">IF('Stammdaten - Schwimmer'!$D41&gt;DATE(2011,7,20),'Stammdaten - Schwimmer'!F41,)</f>
        <v>0</v>
      </c>
      <c r="M45" s="0" t="e">
        <f aca="false">_xlfn.RANK.EQ(L45,L$4:L$103,0)</f>
        <v>#REF!</v>
      </c>
      <c r="O45" s="29" t="n">
        <f aca="false">IF(AND('Stammdaten - Schwimmer'!$D41&lt;DATE(2011,7,20),'Stammdaten - Schwimmer'!$D41&gt;DATE(2007,7,19)),A45,)</f>
        <v>0</v>
      </c>
      <c r="P45" s="29" t="n">
        <f aca="false">IF(AND('Stammdaten - Schwimmer'!$D41&lt;DATE(2011,7,20),'Stammdaten - Schwimmer'!$D41&gt;DATE(2007,7,19)),B45,)</f>
        <v>0</v>
      </c>
      <c r="Q45" s="29" t="n">
        <f aca="false">IF(AND('Stammdaten - Schwimmer'!$D41&lt;DATE(2011,7,20),'Stammdaten - Schwimmer'!$D41&gt;DATE(2007,7,19)),C45,)</f>
        <v>0</v>
      </c>
      <c r="R45" s="30" t="n">
        <f aca="false">IF(AND('Stammdaten - Schwimmer'!$D41&lt;DATE(2011,7,20),'Stammdaten - Schwimmer'!$D41&gt;DATE(2007,7,19)),D45,)</f>
        <v>0</v>
      </c>
      <c r="S45" s="46" t="n">
        <f aca="false">IF(AND('Stammdaten - Schwimmer'!$D41&lt;DATE(2011,7,20),'Stammdaten - Schwimmer'!$D41&gt;DATE(2007,7,19)),'Stammdaten - Schwimmer'!F41,)</f>
        <v>0</v>
      </c>
      <c r="T45" s="0" t="e">
        <f aca="false">_xlfn.RANK.EQ(S45,S$4:S$103,0)</f>
        <v>#REF!</v>
      </c>
      <c r="V45" s="29" t="n">
        <f aca="false">IF('Stammdaten - Schwimmer'!$D41&lt;DATE(2007,7,20),A45,)</f>
        <v>39</v>
      </c>
      <c r="W45" s="29" t="str">
        <f aca="false">IF('Stammdaten - Schwimmer'!$D41&lt;DATE(2007,7,20),B45,)</f>
        <v>Drensek</v>
      </c>
      <c r="X45" s="29" t="str">
        <f aca="false">IF('Stammdaten - Schwimmer'!$D41&lt;DATE(2007,7,20),C45,)</f>
        <v>Deborah</v>
      </c>
      <c r="Y45" s="30" t="n">
        <f aca="false">IF('Stammdaten - Schwimmer'!$D41&lt;DATE(2007,7,20),D45,)</f>
        <v>1</v>
      </c>
      <c r="Z45" s="46" t="n">
        <f aca="false">IF('Stammdaten - Schwimmer'!$D41&lt;DATE(2007,7,20),'Stammdaten - Schwimmer'!F41,)</f>
        <v>20</v>
      </c>
      <c r="AA45" s="0" t="e">
        <f aca="false">_xlfn.RANK.EQ(Z45,Z$4:Z$103,0)</f>
        <v>#REF!</v>
      </c>
    </row>
    <row r="46" customFormat="false" ht="15" hidden="false" customHeight="false" outlineLevel="0" collapsed="false">
      <c r="A46" s="44" t="n">
        <f aca="false">'Stammdaten - Schwimmer'!A42</f>
        <v>40</v>
      </c>
      <c r="B46" s="45" t="str">
        <f aca="false">'Stammdaten - Schwimmer'!B42</f>
        <v>Laub</v>
      </c>
      <c r="C46" s="45" t="str">
        <f aca="false">'Stammdaten - Schwimmer'!C42</f>
        <v>Tanja</v>
      </c>
      <c r="D46" s="30" t="n">
        <f aca="false">'Stammdaten - Schwimmer'!J42+'Stammdaten - Schwimmer'!N42+'Stammdaten - Schwimmer'!R42+'Stammdaten - Schwimmer'!V42+'Stammdaten - Schwimmer'!Z43</f>
        <v>1</v>
      </c>
      <c r="E46" s="46" t="n">
        <f aca="false">'Stammdaten - Schwimmer'!F42</f>
        <v>20</v>
      </c>
      <c r="H46" s="29" t="n">
        <f aca="false">IF('Stammdaten - Schwimmer'!D42&gt;DATE(2011,7,20),A46,)</f>
        <v>0</v>
      </c>
      <c r="I46" s="29" t="n">
        <f aca="false">IF('Stammdaten - Schwimmer'!$D42&gt;DATE(2011,7,20),B46,)</f>
        <v>0</v>
      </c>
      <c r="J46" s="29" t="n">
        <f aca="false">IF('Stammdaten - Schwimmer'!$D42&gt;DATE(2011,7,20),C46,)</f>
        <v>0</v>
      </c>
      <c r="K46" s="30" t="n">
        <f aca="false">IF('Stammdaten - Schwimmer'!$D42&gt;DATE(2011,7,20),D46,)</f>
        <v>0</v>
      </c>
      <c r="L46" s="29" t="n">
        <f aca="false">IF('Stammdaten - Schwimmer'!$D42&gt;DATE(2011,7,20),'Stammdaten - Schwimmer'!F42,)</f>
        <v>0</v>
      </c>
      <c r="M46" s="0" t="e">
        <f aca="false">_xlfn.RANK.EQ(L46,L$4:L$103,0)</f>
        <v>#REF!</v>
      </c>
      <c r="O46" s="29" t="n">
        <f aca="false">IF(AND('Stammdaten - Schwimmer'!$D42&lt;DATE(2011,7,20),'Stammdaten - Schwimmer'!$D42&gt;DATE(2007,7,19)),A46,)</f>
        <v>0</v>
      </c>
      <c r="P46" s="29" t="n">
        <f aca="false">IF(AND('Stammdaten - Schwimmer'!$D42&lt;DATE(2011,7,20),'Stammdaten - Schwimmer'!$D42&gt;DATE(2007,7,19)),B46,)</f>
        <v>0</v>
      </c>
      <c r="Q46" s="29" t="n">
        <f aca="false">IF(AND('Stammdaten - Schwimmer'!$D42&lt;DATE(2011,7,20),'Stammdaten - Schwimmer'!$D42&gt;DATE(2007,7,19)),C46,)</f>
        <v>0</v>
      </c>
      <c r="R46" s="30" t="n">
        <f aca="false">IF(AND('Stammdaten - Schwimmer'!$D42&lt;DATE(2011,7,20),'Stammdaten - Schwimmer'!$D42&gt;DATE(2007,7,19)),D46,)</f>
        <v>0</v>
      </c>
      <c r="S46" s="46" t="n">
        <f aca="false">IF(AND('Stammdaten - Schwimmer'!$D42&lt;DATE(2011,7,20),'Stammdaten - Schwimmer'!$D42&gt;DATE(2007,7,19)),'Stammdaten - Schwimmer'!F42,)</f>
        <v>0</v>
      </c>
      <c r="T46" s="0" t="e">
        <f aca="false">_xlfn.RANK.EQ(S46,S$4:S$103,0)</f>
        <v>#REF!</v>
      </c>
      <c r="V46" s="29" t="n">
        <f aca="false">IF('Stammdaten - Schwimmer'!$D42&lt;DATE(2007,7,20),A46,)</f>
        <v>40</v>
      </c>
      <c r="W46" s="29" t="str">
        <f aca="false">IF('Stammdaten - Schwimmer'!$D42&lt;DATE(2007,7,20),B46,)</f>
        <v>Laub</v>
      </c>
      <c r="X46" s="29" t="str">
        <f aca="false">IF('Stammdaten - Schwimmer'!$D42&lt;DATE(2007,7,20),C46,)</f>
        <v>Tanja</v>
      </c>
      <c r="Y46" s="30" t="n">
        <f aca="false">IF('Stammdaten - Schwimmer'!$D42&lt;DATE(2007,7,20),D46,)</f>
        <v>1</v>
      </c>
      <c r="Z46" s="46" t="n">
        <f aca="false">IF('Stammdaten - Schwimmer'!$D42&lt;DATE(2007,7,20),'Stammdaten - Schwimmer'!F42,)</f>
        <v>20</v>
      </c>
      <c r="AA46" s="0" t="e">
        <f aca="false">_xlfn.RANK.EQ(Z46,Z$4:Z$103,0)</f>
        <v>#REF!</v>
      </c>
    </row>
    <row r="47" customFormat="false" ht="15" hidden="false" customHeight="false" outlineLevel="0" collapsed="false">
      <c r="A47" s="44" t="n">
        <f aca="false">'Stammdaten - Schwimmer'!A43</f>
        <v>41</v>
      </c>
      <c r="B47" s="45" t="str">
        <f aca="false">'Stammdaten - Schwimmer'!B43</f>
        <v>Fischer</v>
      </c>
      <c r="C47" s="45" t="str">
        <f aca="false">'Stammdaten - Schwimmer'!C43</f>
        <v>Chiara</v>
      </c>
      <c r="D47" s="30" t="n">
        <f aca="false">'Stammdaten - Schwimmer'!J43+'Stammdaten - Schwimmer'!N43+'Stammdaten - Schwimmer'!R43+'Stammdaten - Schwimmer'!V43+'Stammdaten - Schwimmer'!Z44</f>
        <v>1</v>
      </c>
      <c r="E47" s="46" t="n">
        <f aca="false">'Stammdaten - Schwimmer'!F43</f>
        <v>24</v>
      </c>
      <c r="H47" s="29" t="n">
        <f aca="false">IF('Stammdaten - Schwimmer'!D43&gt;DATE(2011,7,20),A47,)</f>
        <v>0</v>
      </c>
      <c r="I47" s="29" t="n">
        <f aca="false">IF('Stammdaten - Schwimmer'!$D43&gt;DATE(2011,7,20),B47,)</f>
        <v>0</v>
      </c>
      <c r="J47" s="29" t="n">
        <f aca="false">IF('Stammdaten - Schwimmer'!$D43&gt;DATE(2011,7,20),C47,)</f>
        <v>0</v>
      </c>
      <c r="K47" s="30" t="n">
        <f aca="false">IF('Stammdaten - Schwimmer'!$D43&gt;DATE(2011,7,20),D47,)</f>
        <v>0</v>
      </c>
      <c r="L47" s="29" t="n">
        <f aca="false">IF('Stammdaten - Schwimmer'!$D43&gt;DATE(2011,7,20),'Stammdaten - Schwimmer'!F43,)</f>
        <v>0</v>
      </c>
      <c r="M47" s="0" t="e">
        <f aca="false">_xlfn.RANK.EQ(L47,L$4:L$103,0)</f>
        <v>#REF!</v>
      </c>
      <c r="O47" s="29" t="n">
        <f aca="false">IF(AND('Stammdaten - Schwimmer'!$D43&lt;DATE(2011,7,20),'Stammdaten - Schwimmer'!$D43&gt;DATE(2007,7,19)),A47,)</f>
        <v>0</v>
      </c>
      <c r="P47" s="29" t="n">
        <f aca="false">IF(AND('Stammdaten - Schwimmer'!$D43&lt;DATE(2011,7,20),'Stammdaten - Schwimmer'!$D43&gt;DATE(2007,7,19)),B47,)</f>
        <v>0</v>
      </c>
      <c r="Q47" s="29" t="n">
        <f aca="false">IF(AND('Stammdaten - Schwimmer'!$D43&lt;DATE(2011,7,20),'Stammdaten - Schwimmer'!$D43&gt;DATE(2007,7,19)),C47,)</f>
        <v>0</v>
      </c>
      <c r="R47" s="30" t="n">
        <f aca="false">IF(AND('Stammdaten - Schwimmer'!$D43&lt;DATE(2011,7,20),'Stammdaten - Schwimmer'!$D43&gt;DATE(2007,7,19)),D47,)</f>
        <v>0</v>
      </c>
      <c r="S47" s="46" t="n">
        <f aca="false">IF(AND('Stammdaten - Schwimmer'!$D43&lt;DATE(2011,7,20),'Stammdaten - Schwimmer'!$D43&gt;DATE(2007,7,19)),'Stammdaten - Schwimmer'!F43,)</f>
        <v>0</v>
      </c>
      <c r="T47" s="0" t="e">
        <f aca="false">_xlfn.RANK.EQ(S47,S$4:S$103,0)</f>
        <v>#REF!</v>
      </c>
      <c r="V47" s="29" t="n">
        <f aca="false">IF('Stammdaten - Schwimmer'!$D43&lt;DATE(2007,7,20),A47,)</f>
        <v>41</v>
      </c>
      <c r="W47" s="29" t="str">
        <f aca="false">IF('Stammdaten - Schwimmer'!$D43&lt;DATE(2007,7,20),B47,)</f>
        <v>Fischer</v>
      </c>
      <c r="X47" s="29" t="str">
        <f aca="false">IF('Stammdaten - Schwimmer'!$D43&lt;DATE(2007,7,20),C47,)</f>
        <v>Chiara</v>
      </c>
      <c r="Y47" s="30" t="n">
        <f aca="false">IF('Stammdaten - Schwimmer'!$D43&lt;DATE(2007,7,20),D47,)</f>
        <v>1</v>
      </c>
      <c r="Z47" s="46" t="n">
        <f aca="false">IF('Stammdaten - Schwimmer'!$D43&lt;DATE(2007,7,20),'Stammdaten - Schwimmer'!F43,)</f>
        <v>24</v>
      </c>
      <c r="AA47" s="0" t="e">
        <f aca="false">_xlfn.RANK.EQ(Z47,Z$4:Z$103,0)</f>
        <v>#REF!</v>
      </c>
    </row>
    <row r="48" customFormat="false" ht="15" hidden="false" customHeight="false" outlineLevel="0" collapsed="false">
      <c r="A48" s="44" t="n">
        <f aca="false">'Stammdaten - Schwimmer'!A44</f>
        <v>42</v>
      </c>
      <c r="B48" s="45" t="str">
        <f aca="false">'Stammdaten - Schwimmer'!B44</f>
        <v>Nielitz</v>
      </c>
      <c r="C48" s="45" t="str">
        <f aca="false">'Stammdaten - Schwimmer'!C44</f>
        <v>Andre</v>
      </c>
      <c r="D48" s="30" t="n">
        <f aca="false">'Stammdaten - Schwimmer'!J44+'Stammdaten - Schwimmer'!N44+'Stammdaten - Schwimmer'!R44+'Stammdaten - Schwimmer'!V44+'Stammdaten - Schwimmer'!Z45</f>
        <v>1</v>
      </c>
      <c r="E48" s="46" t="n">
        <f aca="false">'Stammdaten - Schwimmer'!F44</f>
        <v>22</v>
      </c>
      <c r="H48" s="29" t="n">
        <f aca="false">IF('Stammdaten - Schwimmer'!D44&gt;DATE(2011,7,20),A48,)</f>
        <v>0</v>
      </c>
      <c r="I48" s="29" t="n">
        <f aca="false">IF('Stammdaten - Schwimmer'!$D44&gt;DATE(2011,7,20),B48,)</f>
        <v>0</v>
      </c>
      <c r="J48" s="29" t="n">
        <f aca="false">IF('Stammdaten - Schwimmer'!$D44&gt;DATE(2011,7,20),C48,)</f>
        <v>0</v>
      </c>
      <c r="K48" s="30" t="n">
        <f aca="false">IF('Stammdaten - Schwimmer'!$D44&gt;DATE(2011,7,20),D48,)</f>
        <v>0</v>
      </c>
      <c r="L48" s="29" t="n">
        <f aca="false">IF('Stammdaten - Schwimmer'!$D44&gt;DATE(2011,7,20),'Stammdaten - Schwimmer'!F44,)</f>
        <v>0</v>
      </c>
      <c r="M48" s="0" t="e">
        <f aca="false">_xlfn.RANK.EQ(L48,L$4:L$103,0)</f>
        <v>#REF!</v>
      </c>
      <c r="O48" s="29" t="n">
        <f aca="false">IF(AND('Stammdaten - Schwimmer'!$D44&lt;DATE(2011,7,20),'Stammdaten - Schwimmer'!$D44&gt;DATE(2007,7,19)),A48,)</f>
        <v>0</v>
      </c>
      <c r="P48" s="29" t="n">
        <f aca="false">IF(AND('Stammdaten - Schwimmer'!$D44&lt;DATE(2011,7,20),'Stammdaten - Schwimmer'!$D44&gt;DATE(2007,7,19)),B48,)</f>
        <v>0</v>
      </c>
      <c r="Q48" s="29" t="n">
        <f aca="false">IF(AND('Stammdaten - Schwimmer'!$D44&lt;DATE(2011,7,20),'Stammdaten - Schwimmer'!$D44&gt;DATE(2007,7,19)),C48,)</f>
        <v>0</v>
      </c>
      <c r="R48" s="30" t="n">
        <f aca="false">IF(AND('Stammdaten - Schwimmer'!$D44&lt;DATE(2011,7,20),'Stammdaten - Schwimmer'!$D44&gt;DATE(2007,7,19)),D48,)</f>
        <v>0</v>
      </c>
      <c r="S48" s="46" t="n">
        <f aca="false">IF(AND('Stammdaten - Schwimmer'!$D44&lt;DATE(2011,7,20),'Stammdaten - Schwimmer'!$D44&gt;DATE(2007,7,19)),'Stammdaten - Schwimmer'!F44,)</f>
        <v>0</v>
      </c>
      <c r="T48" s="0" t="e">
        <f aca="false">_xlfn.RANK.EQ(S48,S$4:S$103,0)</f>
        <v>#REF!</v>
      </c>
      <c r="V48" s="29" t="n">
        <f aca="false">IF('Stammdaten - Schwimmer'!$D44&lt;DATE(2007,7,20),A48,)</f>
        <v>42</v>
      </c>
      <c r="W48" s="29" t="str">
        <f aca="false">IF('Stammdaten - Schwimmer'!$D44&lt;DATE(2007,7,20),B48,)</f>
        <v>Nielitz</v>
      </c>
      <c r="X48" s="29" t="str">
        <f aca="false">IF('Stammdaten - Schwimmer'!$D44&lt;DATE(2007,7,20),C48,)</f>
        <v>Andre</v>
      </c>
      <c r="Y48" s="30" t="n">
        <f aca="false">IF('Stammdaten - Schwimmer'!$D44&lt;DATE(2007,7,20),D48,)</f>
        <v>1</v>
      </c>
      <c r="Z48" s="46" t="n">
        <f aca="false">IF('Stammdaten - Schwimmer'!$D44&lt;DATE(2007,7,20),'Stammdaten - Schwimmer'!F44,)</f>
        <v>22</v>
      </c>
      <c r="AA48" s="0" t="e">
        <f aca="false">_xlfn.RANK.EQ(Z48,Z$4:Z$103,0)</f>
        <v>#REF!</v>
      </c>
    </row>
    <row r="49" customFormat="false" ht="15" hidden="false" customHeight="false" outlineLevel="0" collapsed="false">
      <c r="A49" s="44" t="n">
        <f aca="false">'Stammdaten - Schwimmer'!A45</f>
        <v>43</v>
      </c>
      <c r="B49" s="45" t="str">
        <f aca="false">'Stammdaten - Schwimmer'!B45</f>
        <v>Fischer</v>
      </c>
      <c r="C49" s="45" t="str">
        <f aca="false">'Stammdaten - Schwimmer'!C45</f>
        <v>Luca</v>
      </c>
      <c r="D49" s="30" t="n">
        <f aca="false">'Stammdaten - Schwimmer'!J45+'Stammdaten - Schwimmer'!N45+'Stammdaten - Schwimmer'!R45+'Stammdaten - Schwimmer'!V45+'Stammdaten - Schwimmer'!Z46</f>
        <v>1</v>
      </c>
      <c r="E49" s="46" t="n">
        <f aca="false">'Stammdaten - Schwimmer'!F45</f>
        <v>20</v>
      </c>
      <c r="H49" s="29" t="n">
        <f aca="false">IF('Stammdaten - Schwimmer'!D45&gt;DATE(2011,7,20),A49,)</f>
        <v>0</v>
      </c>
      <c r="I49" s="29" t="n">
        <f aca="false">IF('Stammdaten - Schwimmer'!$D45&gt;DATE(2011,7,20),B49,)</f>
        <v>0</v>
      </c>
      <c r="J49" s="29" t="n">
        <f aca="false">IF('Stammdaten - Schwimmer'!$D45&gt;DATE(2011,7,20),C49,)</f>
        <v>0</v>
      </c>
      <c r="K49" s="30" t="n">
        <f aca="false">IF('Stammdaten - Schwimmer'!$D45&gt;DATE(2011,7,20),D49,)</f>
        <v>0</v>
      </c>
      <c r="L49" s="29" t="n">
        <f aca="false">IF('Stammdaten - Schwimmer'!$D45&gt;DATE(2011,7,20),'Stammdaten - Schwimmer'!F45,)</f>
        <v>0</v>
      </c>
      <c r="M49" s="0" t="e">
        <f aca="false">_xlfn.RANK.EQ(L49,L$4:L$103,0)</f>
        <v>#REF!</v>
      </c>
      <c r="O49" s="29" t="n">
        <f aca="false">IF(AND('Stammdaten - Schwimmer'!$D45&lt;DATE(2011,7,20),'Stammdaten - Schwimmer'!$D45&gt;DATE(2007,7,19)),A49,)</f>
        <v>43</v>
      </c>
      <c r="P49" s="29" t="str">
        <f aca="false">IF(AND('Stammdaten - Schwimmer'!$D45&lt;DATE(2011,7,20),'Stammdaten - Schwimmer'!$D45&gt;DATE(2007,7,19)),B49,)</f>
        <v>Fischer</v>
      </c>
      <c r="Q49" s="29" t="str">
        <f aca="false">IF(AND('Stammdaten - Schwimmer'!$D45&lt;DATE(2011,7,20),'Stammdaten - Schwimmer'!$D45&gt;DATE(2007,7,19)),C49,)</f>
        <v>Luca</v>
      </c>
      <c r="R49" s="30" t="n">
        <f aca="false">IF(AND('Stammdaten - Schwimmer'!$D45&lt;DATE(2011,7,20),'Stammdaten - Schwimmer'!$D45&gt;DATE(2007,7,19)),D49,)</f>
        <v>1</v>
      </c>
      <c r="S49" s="46" t="n">
        <f aca="false">IF(AND('Stammdaten - Schwimmer'!$D45&lt;DATE(2011,7,20),'Stammdaten - Schwimmer'!$D45&gt;DATE(2007,7,19)),'Stammdaten - Schwimmer'!F45,)</f>
        <v>20</v>
      </c>
      <c r="T49" s="0" t="e">
        <f aca="false">_xlfn.RANK.EQ(S49,S$4:S$103,0)</f>
        <v>#REF!</v>
      </c>
      <c r="V49" s="29" t="n">
        <f aca="false">IF('Stammdaten - Schwimmer'!$D45&lt;DATE(2007,7,20),A49,)</f>
        <v>0</v>
      </c>
      <c r="W49" s="29" t="n">
        <f aca="false">IF('Stammdaten - Schwimmer'!$D45&lt;DATE(2007,7,20),B49,)</f>
        <v>0</v>
      </c>
      <c r="X49" s="29" t="n">
        <f aca="false">IF('Stammdaten - Schwimmer'!$D45&lt;DATE(2007,7,20),C49,)</f>
        <v>0</v>
      </c>
      <c r="Y49" s="30" t="n">
        <f aca="false">IF('Stammdaten - Schwimmer'!$D45&lt;DATE(2007,7,20),D49,)</f>
        <v>0</v>
      </c>
      <c r="Z49" s="46" t="n">
        <f aca="false">IF('Stammdaten - Schwimmer'!$D45&lt;DATE(2007,7,20),'Stammdaten - Schwimmer'!F45,)</f>
        <v>0</v>
      </c>
      <c r="AA49" s="0" t="e">
        <f aca="false">_xlfn.RANK.EQ(Z49,Z$4:Z$103,0)</f>
        <v>#REF!</v>
      </c>
    </row>
    <row r="50" customFormat="false" ht="15" hidden="false" customHeight="false" outlineLevel="0" collapsed="false">
      <c r="A50" s="44" t="n">
        <f aca="false">'Stammdaten - Schwimmer'!A46</f>
        <v>44</v>
      </c>
      <c r="B50" s="45" t="str">
        <f aca="false">'Stammdaten - Schwimmer'!B46</f>
        <v>Flohr</v>
      </c>
      <c r="C50" s="45" t="str">
        <f aca="false">'Stammdaten - Schwimmer'!C46</f>
        <v>Alisa</v>
      </c>
      <c r="D50" s="30" t="n">
        <f aca="false">'Stammdaten - Schwimmer'!J46+'Stammdaten - Schwimmer'!N46+'Stammdaten - Schwimmer'!R46+'Stammdaten - Schwimmer'!V46+'Stammdaten - Schwimmer'!Z47</f>
        <v>1</v>
      </c>
      <c r="E50" s="46" t="n">
        <f aca="false">'Stammdaten - Schwimmer'!F46</f>
        <v>14</v>
      </c>
      <c r="H50" s="29" t="n">
        <f aca="false">IF('Stammdaten - Schwimmer'!D46&gt;DATE(2011,7,20),A50,)</f>
        <v>0</v>
      </c>
      <c r="I50" s="29" t="n">
        <f aca="false">IF('Stammdaten - Schwimmer'!$D46&gt;DATE(2011,7,20),B50,)</f>
        <v>0</v>
      </c>
      <c r="J50" s="29" t="n">
        <f aca="false">IF('Stammdaten - Schwimmer'!$D46&gt;DATE(2011,7,20),C50,)</f>
        <v>0</v>
      </c>
      <c r="K50" s="30" t="n">
        <f aca="false">IF('Stammdaten - Schwimmer'!$D46&gt;DATE(2011,7,20),D50,)</f>
        <v>0</v>
      </c>
      <c r="L50" s="29" t="n">
        <f aca="false">IF('Stammdaten - Schwimmer'!$D46&gt;DATE(2011,7,20),'Stammdaten - Schwimmer'!F46,)</f>
        <v>0</v>
      </c>
      <c r="M50" s="0" t="e">
        <f aca="false">_xlfn.RANK.EQ(L50,L$4:L$103,0)</f>
        <v>#REF!</v>
      </c>
      <c r="O50" s="29" t="n">
        <f aca="false">IF(AND('Stammdaten - Schwimmer'!$D46&lt;DATE(2011,7,20),'Stammdaten - Schwimmer'!$D46&gt;DATE(2007,7,19)),A50,)</f>
        <v>0</v>
      </c>
      <c r="P50" s="29" t="n">
        <f aca="false">IF(AND('Stammdaten - Schwimmer'!$D46&lt;DATE(2011,7,20),'Stammdaten - Schwimmer'!$D46&gt;DATE(2007,7,19)),B50,)</f>
        <v>0</v>
      </c>
      <c r="Q50" s="29" t="n">
        <f aca="false">IF(AND('Stammdaten - Schwimmer'!$D46&lt;DATE(2011,7,20),'Stammdaten - Schwimmer'!$D46&gt;DATE(2007,7,19)),C50,)</f>
        <v>0</v>
      </c>
      <c r="R50" s="30" t="n">
        <f aca="false">IF(AND('Stammdaten - Schwimmer'!$D46&lt;DATE(2011,7,20),'Stammdaten - Schwimmer'!$D46&gt;DATE(2007,7,19)),D50,)</f>
        <v>0</v>
      </c>
      <c r="S50" s="46" t="n">
        <f aca="false">IF(AND('Stammdaten - Schwimmer'!$D46&lt;DATE(2011,7,20),'Stammdaten - Schwimmer'!$D46&gt;DATE(2007,7,19)),'Stammdaten - Schwimmer'!F46,)</f>
        <v>0</v>
      </c>
      <c r="T50" s="0" t="e">
        <f aca="false">_xlfn.RANK.EQ(S50,S$4:S$103,0)</f>
        <v>#REF!</v>
      </c>
      <c r="V50" s="29" t="n">
        <f aca="false">IF('Stammdaten - Schwimmer'!$D46&lt;DATE(2007,7,20),A50,)</f>
        <v>44</v>
      </c>
      <c r="W50" s="29" t="str">
        <f aca="false">IF('Stammdaten - Schwimmer'!$D46&lt;DATE(2007,7,20),B50,)</f>
        <v>Flohr</v>
      </c>
      <c r="X50" s="29" t="str">
        <f aca="false">IF('Stammdaten - Schwimmer'!$D46&lt;DATE(2007,7,20),C50,)</f>
        <v>Alisa</v>
      </c>
      <c r="Y50" s="30" t="n">
        <f aca="false">IF('Stammdaten - Schwimmer'!$D46&lt;DATE(2007,7,20),D50,)</f>
        <v>1</v>
      </c>
      <c r="Z50" s="46" t="n">
        <f aca="false">IF('Stammdaten - Schwimmer'!$D46&lt;DATE(2007,7,20),'Stammdaten - Schwimmer'!F46,)</f>
        <v>14</v>
      </c>
      <c r="AA50" s="0" t="e">
        <f aca="false">_xlfn.RANK.EQ(Z50,Z$4:Z$103,0)</f>
        <v>#REF!</v>
      </c>
    </row>
    <row r="51" customFormat="false" ht="15" hidden="false" customHeight="false" outlineLevel="0" collapsed="false">
      <c r="A51" s="44" t="n">
        <f aca="false">'Stammdaten - Schwimmer'!A47</f>
        <v>45</v>
      </c>
      <c r="B51" s="45" t="str">
        <f aca="false">'Stammdaten - Schwimmer'!B47</f>
        <v>Frank</v>
      </c>
      <c r="C51" s="45" t="str">
        <f aca="false">'Stammdaten - Schwimmer'!C47</f>
        <v>Laura</v>
      </c>
      <c r="D51" s="30" t="n">
        <f aca="false">'Stammdaten - Schwimmer'!J47+'Stammdaten - Schwimmer'!N47+'Stammdaten - Schwimmer'!R47+'Stammdaten - Schwimmer'!V47+'Stammdaten - Schwimmer'!Z48</f>
        <v>1</v>
      </c>
      <c r="E51" s="46" t="n">
        <f aca="false">'Stammdaten - Schwimmer'!F47</f>
        <v>28</v>
      </c>
      <c r="H51" s="29" t="n">
        <f aca="false">IF('Stammdaten - Schwimmer'!D47&gt;DATE(2011,7,20),A51,)</f>
        <v>0</v>
      </c>
      <c r="I51" s="29" t="n">
        <f aca="false">IF('Stammdaten - Schwimmer'!$D47&gt;DATE(2011,7,20),B51,)</f>
        <v>0</v>
      </c>
      <c r="J51" s="29" t="n">
        <f aca="false">IF('Stammdaten - Schwimmer'!$D47&gt;DATE(2011,7,20),C51,)</f>
        <v>0</v>
      </c>
      <c r="K51" s="30" t="n">
        <f aca="false">IF('Stammdaten - Schwimmer'!$D47&gt;DATE(2011,7,20),D51,)</f>
        <v>0</v>
      </c>
      <c r="L51" s="29" t="n">
        <f aca="false">IF('Stammdaten - Schwimmer'!$D47&gt;DATE(2011,7,20),'Stammdaten - Schwimmer'!F47,)</f>
        <v>0</v>
      </c>
      <c r="M51" s="0" t="e">
        <f aca="false">_xlfn.RANK.EQ(L51,L$4:L$103,0)</f>
        <v>#REF!</v>
      </c>
      <c r="O51" s="29" t="n">
        <f aca="false">IF(AND('Stammdaten - Schwimmer'!$D47&lt;DATE(2011,7,20),'Stammdaten - Schwimmer'!$D47&gt;DATE(2007,7,19)),A51,)</f>
        <v>0</v>
      </c>
      <c r="P51" s="29" t="n">
        <f aca="false">IF(AND('Stammdaten - Schwimmer'!$D47&lt;DATE(2011,7,20),'Stammdaten - Schwimmer'!$D47&gt;DATE(2007,7,19)),B51,)</f>
        <v>0</v>
      </c>
      <c r="Q51" s="29" t="n">
        <f aca="false">IF(AND('Stammdaten - Schwimmer'!$D47&lt;DATE(2011,7,20),'Stammdaten - Schwimmer'!$D47&gt;DATE(2007,7,19)),C51,)</f>
        <v>0</v>
      </c>
      <c r="R51" s="30" t="n">
        <f aca="false">IF(AND('Stammdaten - Schwimmer'!$D47&lt;DATE(2011,7,20),'Stammdaten - Schwimmer'!$D47&gt;DATE(2007,7,19)),D51,)</f>
        <v>0</v>
      </c>
      <c r="S51" s="46" t="n">
        <f aca="false">IF(AND('Stammdaten - Schwimmer'!$D47&lt;DATE(2011,7,20),'Stammdaten - Schwimmer'!$D47&gt;DATE(2007,7,19)),'Stammdaten - Schwimmer'!F47,)</f>
        <v>0</v>
      </c>
      <c r="T51" s="0" t="e">
        <f aca="false">_xlfn.RANK.EQ(S51,S$4:S$103,0)</f>
        <v>#REF!</v>
      </c>
      <c r="V51" s="29" t="n">
        <f aca="false">IF('Stammdaten - Schwimmer'!$D47&lt;DATE(2007,7,20),A51,)</f>
        <v>45</v>
      </c>
      <c r="W51" s="29" t="str">
        <f aca="false">IF('Stammdaten - Schwimmer'!$D47&lt;DATE(2007,7,20),B51,)</f>
        <v>Frank</v>
      </c>
      <c r="X51" s="29" t="str">
        <f aca="false">IF('Stammdaten - Schwimmer'!$D47&lt;DATE(2007,7,20),C51,)</f>
        <v>Laura</v>
      </c>
      <c r="Y51" s="30" t="n">
        <f aca="false">IF('Stammdaten - Schwimmer'!$D47&lt;DATE(2007,7,20),D51,)</f>
        <v>1</v>
      </c>
      <c r="Z51" s="46" t="n">
        <f aca="false">IF('Stammdaten - Schwimmer'!$D47&lt;DATE(2007,7,20),'Stammdaten - Schwimmer'!F47,)</f>
        <v>28</v>
      </c>
      <c r="AA51" s="0" t="e">
        <f aca="false">_xlfn.RANK.EQ(Z51,Z$4:Z$103,0)</f>
        <v>#REF!</v>
      </c>
    </row>
    <row r="52" customFormat="false" ht="15" hidden="false" customHeight="false" outlineLevel="0" collapsed="false">
      <c r="A52" s="44" t="n">
        <f aca="false">'Stammdaten - Schwimmer'!A48</f>
        <v>46</v>
      </c>
      <c r="B52" s="45" t="str">
        <f aca="false">'Stammdaten - Schwimmer'!B48</f>
        <v>Bayer</v>
      </c>
      <c r="C52" s="45" t="str">
        <f aca="false">'Stammdaten - Schwimmer'!C48</f>
        <v>Kim</v>
      </c>
      <c r="D52" s="30" t="n">
        <f aca="false">'Stammdaten - Schwimmer'!J48+'Stammdaten - Schwimmer'!N48+'Stammdaten - Schwimmer'!R48+'Stammdaten - Schwimmer'!V48+'Stammdaten - Schwimmer'!Z49</f>
        <v>1</v>
      </c>
      <c r="E52" s="46" t="n">
        <f aca="false">'Stammdaten - Schwimmer'!F48</f>
        <v>8</v>
      </c>
      <c r="H52" s="29" t="n">
        <f aca="false">IF('Stammdaten - Schwimmer'!D48&gt;DATE(2011,7,20),A52,)</f>
        <v>0</v>
      </c>
      <c r="I52" s="29" t="n">
        <f aca="false">IF('Stammdaten - Schwimmer'!$D48&gt;DATE(2011,7,20),B52,)</f>
        <v>0</v>
      </c>
      <c r="J52" s="29" t="n">
        <f aca="false">IF('Stammdaten - Schwimmer'!$D48&gt;DATE(2011,7,20),C52,)</f>
        <v>0</v>
      </c>
      <c r="K52" s="30" t="n">
        <f aca="false">IF('Stammdaten - Schwimmer'!$D48&gt;DATE(2011,7,20),D52,)</f>
        <v>0</v>
      </c>
      <c r="L52" s="29" t="n">
        <f aca="false">IF('Stammdaten - Schwimmer'!$D48&gt;DATE(2011,7,20),'Stammdaten - Schwimmer'!F48,)</f>
        <v>0</v>
      </c>
      <c r="M52" s="0" t="e">
        <f aca="false">_xlfn.RANK.EQ(L52,L$4:L$103,0)</f>
        <v>#REF!</v>
      </c>
      <c r="O52" s="29" t="n">
        <f aca="false">IF(AND('Stammdaten - Schwimmer'!$D48&lt;DATE(2011,7,20),'Stammdaten - Schwimmer'!$D48&gt;DATE(2007,7,19)),A52,)</f>
        <v>0</v>
      </c>
      <c r="P52" s="29" t="n">
        <f aca="false">IF(AND('Stammdaten - Schwimmer'!$D48&lt;DATE(2011,7,20),'Stammdaten - Schwimmer'!$D48&gt;DATE(2007,7,19)),B52,)</f>
        <v>0</v>
      </c>
      <c r="Q52" s="29" t="n">
        <f aca="false">IF(AND('Stammdaten - Schwimmer'!$D48&lt;DATE(2011,7,20),'Stammdaten - Schwimmer'!$D48&gt;DATE(2007,7,19)),C52,)</f>
        <v>0</v>
      </c>
      <c r="R52" s="30" t="n">
        <f aca="false">IF(AND('Stammdaten - Schwimmer'!$D48&lt;DATE(2011,7,20),'Stammdaten - Schwimmer'!$D48&gt;DATE(2007,7,19)),D52,)</f>
        <v>0</v>
      </c>
      <c r="S52" s="46" t="n">
        <f aca="false">IF(AND('Stammdaten - Schwimmer'!$D48&lt;DATE(2011,7,20),'Stammdaten - Schwimmer'!$D48&gt;DATE(2007,7,19)),'Stammdaten - Schwimmer'!F48,)</f>
        <v>0</v>
      </c>
      <c r="T52" s="0" t="e">
        <f aca="false">_xlfn.RANK.EQ(S52,S$4:S$103,0)</f>
        <v>#REF!</v>
      </c>
      <c r="V52" s="29" t="n">
        <f aca="false">IF('Stammdaten - Schwimmer'!$D48&lt;DATE(2007,7,20),A52,)</f>
        <v>46</v>
      </c>
      <c r="W52" s="29" t="str">
        <f aca="false">IF('Stammdaten - Schwimmer'!$D48&lt;DATE(2007,7,20),B52,)</f>
        <v>Bayer</v>
      </c>
      <c r="X52" s="29" t="str">
        <f aca="false">IF('Stammdaten - Schwimmer'!$D48&lt;DATE(2007,7,20),C52,)</f>
        <v>Kim</v>
      </c>
      <c r="Y52" s="30" t="n">
        <f aca="false">IF('Stammdaten - Schwimmer'!$D48&lt;DATE(2007,7,20),D52,)</f>
        <v>1</v>
      </c>
      <c r="Z52" s="46" t="n">
        <f aca="false">IF('Stammdaten - Schwimmer'!$D48&lt;DATE(2007,7,20),'Stammdaten - Schwimmer'!F48,)</f>
        <v>8</v>
      </c>
      <c r="AA52" s="0" t="e">
        <f aca="false">_xlfn.RANK.EQ(Z52,Z$4:Z$103,0)</f>
        <v>#REF!</v>
      </c>
    </row>
    <row r="53" customFormat="false" ht="15" hidden="false" customHeight="false" outlineLevel="0" collapsed="false">
      <c r="A53" s="44" t="n">
        <f aca="false">'Stammdaten - Schwimmer'!A49</f>
        <v>47</v>
      </c>
      <c r="B53" s="45" t="str">
        <f aca="false">'Stammdaten - Schwimmer'!B49</f>
        <v>Holste</v>
      </c>
      <c r="C53" s="45" t="str">
        <f aca="false">'Stammdaten - Schwimmer'!C49</f>
        <v>Ruben</v>
      </c>
      <c r="D53" s="30" t="n">
        <f aca="false">'Stammdaten - Schwimmer'!J49+'Stammdaten - Schwimmer'!N49+'Stammdaten - Schwimmer'!R49+'Stammdaten - Schwimmer'!V49+'Stammdaten - Schwimmer'!Z50</f>
        <v>35</v>
      </c>
      <c r="E53" s="46" t="n">
        <f aca="false">'Stammdaten - Schwimmer'!F49</f>
        <v>70</v>
      </c>
      <c r="H53" s="29" t="n">
        <f aca="false">IF('Stammdaten - Schwimmer'!D49&gt;DATE(2011,7,20),A53,)</f>
        <v>0</v>
      </c>
      <c r="I53" s="29" t="n">
        <f aca="false">IF('Stammdaten - Schwimmer'!$D49&gt;DATE(2011,7,20),B53,)</f>
        <v>0</v>
      </c>
      <c r="J53" s="29" t="n">
        <f aca="false">IF('Stammdaten - Schwimmer'!$D49&gt;DATE(2011,7,20),C53,)</f>
        <v>0</v>
      </c>
      <c r="K53" s="30" t="n">
        <f aca="false">IF('Stammdaten - Schwimmer'!$D49&gt;DATE(2011,7,20),D53,)</f>
        <v>0</v>
      </c>
      <c r="L53" s="29" t="n">
        <f aca="false">IF('Stammdaten - Schwimmer'!$D49&gt;DATE(2011,7,20),'Stammdaten - Schwimmer'!F49,)</f>
        <v>0</v>
      </c>
      <c r="M53" s="0" t="e">
        <f aca="false">_xlfn.RANK.EQ(L53,L$4:L$103,0)</f>
        <v>#REF!</v>
      </c>
      <c r="O53" s="29" t="n">
        <f aca="false">IF(AND('Stammdaten - Schwimmer'!$D49&lt;DATE(2011,7,20),'Stammdaten - Schwimmer'!$D49&gt;DATE(2007,7,19)),A53,)</f>
        <v>0</v>
      </c>
      <c r="P53" s="29" t="n">
        <f aca="false">IF(AND('Stammdaten - Schwimmer'!$D49&lt;DATE(2011,7,20),'Stammdaten - Schwimmer'!$D49&gt;DATE(2007,7,19)),B53,)</f>
        <v>0</v>
      </c>
      <c r="Q53" s="29" t="n">
        <f aca="false">IF(AND('Stammdaten - Schwimmer'!$D49&lt;DATE(2011,7,20),'Stammdaten - Schwimmer'!$D49&gt;DATE(2007,7,19)),C53,)</f>
        <v>0</v>
      </c>
      <c r="R53" s="30" t="n">
        <f aca="false">IF(AND('Stammdaten - Schwimmer'!$D49&lt;DATE(2011,7,20),'Stammdaten - Schwimmer'!$D49&gt;DATE(2007,7,19)),D53,)</f>
        <v>0</v>
      </c>
      <c r="S53" s="46" t="n">
        <f aca="false">IF(AND('Stammdaten - Schwimmer'!$D49&lt;DATE(2011,7,20),'Stammdaten - Schwimmer'!$D49&gt;DATE(2007,7,19)),'Stammdaten - Schwimmer'!F49,)</f>
        <v>0</v>
      </c>
      <c r="T53" s="0" t="e">
        <f aca="false">_xlfn.RANK.EQ(S53,S$4:S$103,0)</f>
        <v>#REF!</v>
      </c>
      <c r="V53" s="29" t="n">
        <f aca="false">IF('Stammdaten - Schwimmer'!$D49&lt;DATE(2007,7,20),A53,)</f>
        <v>47</v>
      </c>
      <c r="W53" s="29" t="str">
        <f aca="false">IF('Stammdaten - Schwimmer'!$D49&lt;DATE(2007,7,20),B53,)</f>
        <v>Holste</v>
      </c>
      <c r="X53" s="29" t="str">
        <f aca="false">IF('Stammdaten - Schwimmer'!$D49&lt;DATE(2007,7,20),C53,)</f>
        <v>Ruben</v>
      </c>
      <c r="Y53" s="30" t="n">
        <f aca="false">IF('Stammdaten - Schwimmer'!$D49&lt;DATE(2007,7,20),D53,)</f>
        <v>35</v>
      </c>
      <c r="Z53" s="46" t="n">
        <f aca="false">IF('Stammdaten - Schwimmer'!$D49&lt;DATE(2007,7,20),'Stammdaten - Schwimmer'!F49,)</f>
        <v>70</v>
      </c>
      <c r="AA53" s="0" t="e">
        <f aca="false">_xlfn.RANK.EQ(Z53,Z$4:Z$103,0)</f>
        <v>#REF!</v>
      </c>
    </row>
    <row r="54" customFormat="false" ht="15" hidden="false" customHeight="false" outlineLevel="0" collapsed="false">
      <c r="A54" s="44" t="n">
        <f aca="false">'Stammdaten - Schwimmer'!A50</f>
        <v>48</v>
      </c>
      <c r="B54" s="45" t="str">
        <f aca="false">'Stammdaten - Schwimmer'!B50</f>
        <v>Holste</v>
      </c>
      <c r="C54" s="45" t="str">
        <f aca="false">'Stammdaten - Schwimmer'!C50</f>
        <v>Oscar</v>
      </c>
      <c r="D54" s="30" t="n">
        <f aca="false">'Stammdaten - Schwimmer'!J50+'Stammdaten - Schwimmer'!N50+'Stammdaten - Schwimmer'!R50+'Stammdaten - Schwimmer'!V50+'Stammdaten - Schwimmer'!Z51</f>
        <v>61</v>
      </c>
      <c r="E54" s="46" t="n">
        <f aca="false">'Stammdaten - Schwimmer'!F50</f>
        <v>122</v>
      </c>
      <c r="H54" s="29" t="n">
        <f aca="false">IF('Stammdaten - Schwimmer'!D50&gt;DATE(2011,7,20),A54,)</f>
        <v>48</v>
      </c>
      <c r="I54" s="29" t="str">
        <f aca="false">IF('Stammdaten - Schwimmer'!$D50&gt;DATE(2011,7,20),B54,)</f>
        <v>Holste</v>
      </c>
      <c r="J54" s="29" t="str">
        <f aca="false">IF('Stammdaten - Schwimmer'!$D50&gt;DATE(2011,7,20),C54,)</f>
        <v>Oscar</v>
      </c>
      <c r="K54" s="30" t="n">
        <f aca="false">IF('Stammdaten - Schwimmer'!$D50&gt;DATE(2011,7,20),D54,)</f>
        <v>61</v>
      </c>
      <c r="L54" s="29" t="n">
        <f aca="false">IF('Stammdaten - Schwimmer'!$D50&gt;DATE(2011,7,20),'Stammdaten - Schwimmer'!F50,)</f>
        <v>122</v>
      </c>
      <c r="M54" s="0" t="e">
        <f aca="false">_xlfn.RANK.EQ(L54,L$4:L$103,0)</f>
        <v>#REF!</v>
      </c>
      <c r="O54" s="29" t="n">
        <f aca="false">IF(AND('Stammdaten - Schwimmer'!$D50&lt;DATE(2011,7,20),'Stammdaten - Schwimmer'!$D50&gt;DATE(2007,7,19)),A54,)</f>
        <v>0</v>
      </c>
      <c r="P54" s="29" t="n">
        <f aca="false">IF(AND('Stammdaten - Schwimmer'!$D50&lt;DATE(2011,7,20),'Stammdaten - Schwimmer'!$D50&gt;DATE(2007,7,19)),B54,)</f>
        <v>0</v>
      </c>
      <c r="Q54" s="29" t="n">
        <f aca="false">IF(AND('Stammdaten - Schwimmer'!$D50&lt;DATE(2011,7,20),'Stammdaten - Schwimmer'!$D50&gt;DATE(2007,7,19)),C54,)</f>
        <v>0</v>
      </c>
      <c r="R54" s="30" t="n">
        <f aca="false">IF(AND('Stammdaten - Schwimmer'!$D50&lt;DATE(2011,7,20),'Stammdaten - Schwimmer'!$D50&gt;DATE(2007,7,19)),D54,)</f>
        <v>0</v>
      </c>
      <c r="S54" s="46" t="n">
        <f aca="false">IF(AND('Stammdaten - Schwimmer'!$D50&lt;DATE(2011,7,20),'Stammdaten - Schwimmer'!$D50&gt;DATE(2007,7,19)),'Stammdaten - Schwimmer'!F50,)</f>
        <v>0</v>
      </c>
      <c r="T54" s="0" t="e">
        <f aca="false">_xlfn.RANK.EQ(S54,S$4:S$103,0)</f>
        <v>#REF!</v>
      </c>
      <c r="V54" s="29" t="n">
        <f aca="false">IF('Stammdaten - Schwimmer'!$D50&lt;DATE(2007,7,20),A54,)</f>
        <v>0</v>
      </c>
      <c r="W54" s="29" t="n">
        <f aca="false">IF('Stammdaten - Schwimmer'!$D50&lt;DATE(2007,7,20),B54,)</f>
        <v>0</v>
      </c>
      <c r="X54" s="29" t="n">
        <f aca="false">IF('Stammdaten - Schwimmer'!$D50&lt;DATE(2007,7,20),C54,)</f>
        <v>0</v>
      </c>
      <c r="Y54" s="30" t="n">
        <f aca="false">IF('Stammdaten - Schwimmer'!$D50&lt;DATE(2007,7,20),D54,)</f>
        <v>0</v>
      </c>
      <c r="Z54" s="46" t="n">
        <f aca="false">IF('Stammdaten - Schwimmer'!$D50&lt;DATE(2007,7,20),'Stammdaten - Schwimmer'!F50,)</f>
        <v>0</v>
      </c>
      <c r="AA54" s="0" t="e">
        <f aca="false">_xlfn.RANK.EQ(Z54,Z$4:Z$103,0)</f>
        <v>#REF!</v>
      </c>
    </row>
    <row r="55" customFormat="false" ht="15" hidden="false" customHeight="false" outlineLevel="0" collapsed="false">
      <c r="A55" s="44" t="n">
        <f aca="false">'Stammdaten - Schwimmer'!A51</f>
        <v>49</v>
      </c>
      <c r="B55" s="45" t="str">
        <f aca="false">'Stammdaten - Schwimmer'!B51</f>
        <v>Holste</v>
      </c>
      <c r="C55" s="45" t="str">
        <f aca="false">'Stammdaten - Schwimmer'!C51</f>
        <v>Lotte</v>
      </c>
      <c r="D55" s="30" t="n">
        <f aca="false">'Stammdaten - Schwimmer'!J51+'Stammdaten - Schwimmer'!N51+'Stammdaten - Schwimmer'!R51+'Stammdaten - Schwimmer'!V51+'Stammdaten - Schwimmer'!Z52</f>
        <v>60</v>
      </c>
      <c r="E55" s="46" t="n">
        <f aca="false">'Stammdaten - Schwimmer'!F51</f>
        <v>120</v>
      </c>
      <c r="H55" s="29" t="n">
        <f aca="false">IF('Stammdaten - Schwimmer'!D51&gt;DATE(2011,7,20),A55,)</f>
        <v>49</v>
      </c>
      <c r="I55" s="29" t="str">
        <f aca="false">IF('Stammdaten - Schwimmer'!$D51&gt;DATE(2011,7,20),B55,)</f>
        <v>Holste</v>
      </c>
      <c r="J55" s="29" t="str">
        <f aca="false">IF('Stammdaten - Schwimmer'!$D51&gt;DATE(2011,7,20),C55,)</f>
        <v>Lotte</v>
      </c>
      <c r="K55" s="30" t="n">
        <f aca="false">IF('Stammdaten - Schwimmer'!$D51&gt;DATE(2011,7,20),D55,)</f>
        <v>60</v>
      </c>
      <c r="L55" s="29" t="n">
        <f aca="false">IF('Stammdaten - Schwimmer'!$D51&gt;DATE(2011,7,20),'Stammdaten - Schwimmer'!F51,)</f>
        <v>120</v>
      </c>
      <c r="M55" s="0" t="e">
        <f aca="false">_xlfn.RANK.EQ(L55,L$4:L$103,0)</f>
        <v>#REF!</v>
      </c>
      <c r="O55" s="29" t="n">
        <f aca="false">IF(AND('Stammdaten - Schwimmer'!$D51&lt;DATE(2011,7,20),'Stammdaten - Schwimmer'!$D51&gt;DATE(2007,7,19)),A55,)</f>
        <v>0</v>
      </c>
      <c r="P55" s="29" t="n">
        <f aca="false">IF(AND('Stammdaten - Schwimmer'!$D51&lt;DATE(2011,7,20),'Stammdaten - Schwimmer'!$D51&gt;DATE(2007,7,19)),B55,)</f>
        <v>0</v>
      </c>
      <c r="Q55" s="29" t="n">
        <f aca="false">IF(AND('Stammdaten - Schwimmer'!$D51&lt;DATE(2011,7,20),'Stammdaten - Schwimmer'!$D51&gt;DATE(2007,7,19)),C55,)</f>
        <v>0</v>
      </c>
      <c r="R55" s="30" t="n">
        <f aca="false">IF(AND('Stammdaten - Schwimmer'!$D51&lt;DATE(2011,7,20),'Stammdaten - Schwimmer'!$D51&gt;DATE(2007,7,19)),D55,)</f>
        <v>0</v>
      </c>
      <c r="S55" s="46" t="n">
        <f aca="false">IF(AND('Stammdaten - Schwimmer'!$D51&lt;DATE(2011,7,20),'Stammdaten - Schwimmer'!$D51&gt;DATE(2007,7,19)),'Stammdaten - Schwimmer'!F51,)</f>
        <v>0</v>
      </c>
      <c r="T55" s="0" t="e">
        <f aca="false">_xlfn.RANK.EQ(S55,S$4:S$103,0)</f>
        <v>#REF!</v>
      </c>
      <c r="V55" s="29" t="n">
        <f aca="false">IF('Stammdaten - Schwimmer'!$D51&lt;DATE(2007,7,20),A55,)</f>
        <v>0</v>
      </c>
      <c r="W55" s="29" t="n">
        <f aca="false">IF('Stammdaten - Schwimmer'!$D51&lt;DATE(2007,7,20),B55,)</f>
        <v>0</v>
      </c>
      <c r="X55" s="29" t="n">
        <f aca="false">IF('Stammdaten - Schwimmer'!$D51&lt;DATE(2007,7,20),C55,)</f>
        <v>0</v>
      </c>
      <c r="Y55" s="30" t="n">
        <f aca="false">IF('Stammdaten - Schwimmer'!$D51&lt;DATE(2007,7,20),D55,)</f>
        <v>0</v>
      </c>
      <c r="Z55" s="46" t="n">
        <f aca="false">IF('Stammdaten - Schwimmer'!$D51&lt;DATE(2007,7,20),'Stammdaten - Schwimmer'!F51,)</f>
        <v>0</v>
      </c>
      <c r="AA55" s="0" t="e">
        <f aca="false">_xlfn.RANK.EQ(Z55,Z$4:Z$103,0)</f>
        <v>#REF!</v>
      </c>
    </row>
    <row r="56" customFormat="false" ht="15" hidden="false" customHeight="false" outlineLevel="0" collapsed="false">
      <c r="A56" s="44" t="n">
        <f aca="false">'Stammdaten - Schwimmer'!A52</f>
        <v>50</v>
      </c>
      <c r="B56" s="45" t="str">
        <f aca="false">'Stammdaten - Schwimmer'!B52</f>
        <v>Ludwig</v>
      </c>
      <c r="C56" s="45" t="str">
        <f aca="false">'Stammdaten - Schwimmer'!C52</f>
        <v>Mariya</v>
      </c>
      <c r="D56" s="30" t="n">
        <f aca="false">'Stammdaten - Schwimmer'!J52+'Stammdaten - Schwimmer'!N52+'Stammdaten - Schwimmer'!R52+'Stammdaten - Schwimmer'!V52+'Stammdaten - Schwimmer'!Z53</f>
        <v>78</v>
      </c>
      <c r="E56" s="46" t="n">
        <f aca="false">'Stammdaten - Schwimmer'!F52</f>
        <v>52</v>
      </c>
      <c r="H56" s="29" t="n">
        <f aca="false">IF('Stammdaten - Schwimmer'!D52&gt;DATE(2011,7,20),A56,)</f>
        <v>0</v>
      </c>
      <c r="I56" s="29" t="n">
        <f aca="false">IF('Stammdaten - Schwimmer'!$D52&gt;DATE(2011,7,20),B56,)</f>
        <v>0</v>
      </c>
      <c r="J56" s="29" t="n">
        <f aca="false">IF('Stammdaten - Schwimmer'!$D52&gt;DATE(2011,7,20),C56,)</f>
        <v>0</v>
      </c>
      <c r="K56" s="30" t="n">
        <f aca="false">IF('Stammdaten - Schwimmer'!$D52&gt;DATE(2011,7,20),D56,)</f>
        <v>0</v>
      </c>
      <c r="L56" s="29" t="n">
        <f aca="false">IF('Stammdaten - Schwimmer'!$D52&gt;DATE(2011,7,20),'Stammdaten - Schwimmer'!F52,)</f>
        <v>0</v>
      </c>
      <c r="M56" s="0" t="e">
        <f aca="false">_xlfn.RANK.EQ(L56,L$4:L$103,0)</f>
        <v>#REF!</v>
      </c>
      <c r="O56" s="29" t="n">
        <f aca="false">IF(AND('Stammdaten - Schwimmer'!$D52&lt;DATE(2011,7,20),'Stammdaten - Schwimmer'!$D52&gt;DATE(2007,7,19)),A56,)</f>
        <v>50</v>
      </c>
      <c r="P56" s="29" t="str">
        <f aca="false">IF(AND('Stammdaten - Schwimmer'!$D52&lt;DATE(2011,7,20),'Stammdaten - Schwimmer'!$D52&gt;DATE(2007,7,19)),B56,)</f>
        <v>Ludwig</v>
      </c>
      <c r="Q56" s="29" t="str">
        <f aca="false">IF(AND('Stammdaten - Schwimmer'!$D52&lt;DATE(2011,7,20),'Stammdaten - Schwimmer'!$D52&gt;DATE(2007,7,19)),C56,)</f>
        <v>Mariya</v>
      </c>
      <c r="R56" s="30" t="n">
        <f aca="false">IF(AND('Stammdaten - Schwimmer'!$D52&lt;DATE(2011,7,20),'Stammdaten - Schwimmer'!$D52&gt;DATE(2007,7,19)),D56,)</f>
        <v>78</v>
      </c>
      <c r="S56" s="46" t="n">
        <f aca="false">IF(AND('Stammdaten - Schwimmer'!$D52&lt;DATE(2011,7,20),'Stammdaten - Schwimmer'!$D52&gt;DATE(2007,7,19)),'Stammdaten - Schwimmer'!F52,)</f>
        <v>52</v>
      </c>
      <c r="T56" s="0" t="e">
        <f aca="false">_xlfn.RANK.EQ(S56,S$4:S$103,0)</f>
        <v>#REF!</v>
      </c>
      <c r="V56" s="29" t="n">
        <f aca="false">IF('Stammdaten - Schwimmer'!$D52&lt;DATE(2007,7,20),A56,)</f>
        <v>0</v>
      </c>
      <c r="W56" s="29" t="n">
        <f aca="false">IF('Stammdaten - Schwimmer'!$D52&lt;DATE(2007,7,20),B56,)</f>
        <v>0</v>
      </c>
      <c r="X56" s="29" t="n">
        <f aca="false">IF('Stammdaten - Schwimmer'!$D52&lt;DATE(2007,7,20),C56,)</f>
        <v>0</v>
      </c>
      <c r="Y56" s="30" t="n">
        <f aca="false">IF('Stammdaten - Schwimmer'!$D52&lt;DATE(2007,7,20),D56,)</f>
        <v>0</v>
      </c>
      <c r="Z56" s="46" t="n">
        <f aca="false">IF('Stammdaten - Schwimmer'!$D52&lt;DATE(2007,7,20),'Stammdaten - Schwimmer'!F52,)</f>
        <v>0</v>
      </c>
      <c r="AA56" s="0" t="e">
        <f aca="false">_xlfn.RANK.EQ(Z56,Z$4:Z$103,0)</f>
        <v>#REF!</v>
      </c>
    </row>
    <row r="57" customFormat="false" ht="15" hidden="false" customHeight="false" outlineLevel="0" collapsed="false">
      <c r="A57" s="44" t="n">
        <f aca="false">'Stammdaten - Schwimmer'!A53</f>
        <v>51</v>
      </c>
      <c r="B57" s="45" t="str">
        <f aca="false">'Stammdaten - Schwimmer'!B53</f>
        <v>Warga</v>
      </c>
      <c r="C57" s="45" t="str">
        <f aca="false">'Stammdaten - Schwimmer'!C53</f>
        <v>Eva</v>
      </c>
      <c r="D57" s="30" t="n">
        <f aca="false">'Stammdaten - Schwimmer'!J53+'Stammdaten - Schwimmer'!N53+'Stammdaten - Schwimmer'!R53+'Stammdaten - Schwimmer'!V53+'Stammdaten - Schwimmer'!Z54</f>
        <v>0</v>
      </c>
      <c r="E57" s="46" t="n">
        <f aca="false">'Stammdaten - Schwimmer'!F53</f>
        <v>108</v>
      </c>
      <c r="H57" s="29" t="n">
        <f aca="false">IF('Stammdaten - Schwimmer'!D53&gt;DATE(2011,7,20),A57,)</f>
        <v>51</v>
      </c>
      <c r="I57" s="29" t="str">
        <f aca="false">IF('Stammdaten - Schwimmer'!$D53&gt;DATE(2011,7,20),B57,)</f>
        <v>Warga</v>
      </c>
      <c r="J57" s="29" t="str">
        <f aca="false">IF('Stammdaten - Schwimmer'!$D53&gt;DATE(2011,7,20),C57,)</f>
        <v>Eva</v>
      </c>
      <c r="K57" s="30" t="n">
        <f aca="false">IF('Stammdaten - Schwimmer'!$D53&gt;DATE(2011,7,20),D57,)</f>
        <v>0</v>
      </c>
      <c r="L57" s="29" t="n">
        <f aca="false">IF('Stammdaten - Schwimmer'!$D53&gt;DATE(2011,7,20),'Stammdaten - Schwimmer'!F53,)</f>
        <v>108</v>
      </c>
      <c r="M57" s="0" t="e">
        <f aca="false">_xlfn.RANK.EQ(L57,L$4:L$103,0)</f>
        <v>#REF!</v>
      </c>
      <c r="O57" s="29" t="n">
        <f aca="false">IF(AND('Stammdaten - Schwimmer'!$D53&lt;DATE(2011,7,20),'Stammdaten - Schwimmer'!$D53&gt;DATE(2007,7,19)),A57,)</f>
        <v>0</v>
      </c>
      <c r="P57" s="29" t="n">
        <f aca="false">IF(AND('Stammdaten - Schwimmer'!$D53&lt;DATE(2011,7,20),'Stammdaten - Schwimmer'!$D53&gt;DATE(2007,7,19)),B57,)</f>
        <v>0</v>
      </c>
      <c r="Q57" s="29" t="n">
        <f aca="false">IF(AND('Stammdaten - Schwimmer'!$D53&lt;DATE(2011,7,20),'Stammdaten - Schwimmer'!$D53&gt;DATE(2007,7,19)),C57,)</f>
        <v>0</v>
      </c>
      <c r="R57" s="30" t="n">
        <f aca="false">IF(AND('Stammdaten - Schwimmer'!$D53&lt;DATE(2011,7,20),'Stammdaten - Schwimmer'!$D53&gt;DATE(2007,7,19)),D57,)</f>
        <v>0</v>
      </c>
      <c r="S57" s="46" t="n">
        <f aca="false">IF(AND('Stammdaten - Schwimmer'!$D53&lt;DATE(2011,7,20),'Stammdaten - Schwimmer'!$D53&gt;DATE(2007,7,19)),'Stammdaten - Schwimmer'!F53,)</f>
        <v>0</v>
      </c>
      <c r="T57" s="0" t="e">
        <f aca="false">_xlfn.RANK.EQ(S57,S$4:S$103,0)</f>
        <v>#REF!</v>
      </c>
      <c r="V57" s="29" t="n">
        <f aca="false">IF('Stammdaten - Schwimmer'!$D53&lt;DATE(2007,7,20),A57,)</f>
        <v>0</v>
      </c>
      <c r="W57" s="29" t="n">
        <f aca="false">IF('Stammdaten - Schwimmer'!$D53&lt;DATE(2007,7,20),B57,)</f>
        <v>0</v>
      </c>
      <c r="X57" s="29" t="n">
        <f aca="false">IF('Stammdaten - Schwimmer'!$D53&lt;DATE(2007,7,20),C57,)</f>
        <v>0</v>
      </c>
      <c r="Y57" s="30" t="n">
        <f aca="false">IF('Stammdaten - Schwimmer'!$D53&lt;DATE(2007,7,20),D57,)</f>
        <v>0</v>
      </c>
      <c r="Z57" s="46" t="n">
        <f aca="false">IF('Stammdaten - Schwimmer'!$D53&lt;DATE(2007,7,20),'Stammdaten - Schwimmer'!F53,)</f>
        <v>0</v>
      </c>
      <c r="AA57" s="0" t="e">
        <f aca="false">_xlfn.RANK.EQ(Z57,Z$4:Z$103,0)</f>
        <v>#REF!</v>
      </c>
    </row>
    <row r="58" customFormat="false" ht="15" hidden="false" customHeight="false" outlineLevel="0" collapsed="false">
      <c r="A58" s="44" t="n">
        <f aca="false">'Stammdaten - Schwimmer'!A54</f>
        <v>52</v>
      </c>
      <c r="B58" s="45" t="str">
        <f aca="false">'Stammdaten - Schwimmer'!B54</f>
        <v>Warga</v>
      </c>
      <c r="C58" s="45" t="str">
        <f aca="false">'Stammdaten - Schwimmer'!C54</f>
        <v>Christina</v>
      </c>
      <c r="D58" s="30" t="n">
        <f aca="false">'Stammdaten - Schwimmer'!J54+'Stammdaten - Schwimmer'!N54+'Stammdaten - Schwimmer'!R54+'Stammdaten - Schwimmer'!V54+'Stammdaten - Schwimmer'!Z55</f>
        <v>0</v>
      </c>
      <c r="E58" s="46" t="n">
        <f aca="false">'Stammdaten - Schwimmer'!F54</f>
        <v>38</v>
      </c>
      <c r="H58" s="29" t="n">
        <f aca="false">IF('Stammdaten - Schwimmer'!D54&gt;DATE(2011,7,20),A58,)</f>
        <v>0</v>
      </c>
      <c r="I58" s="29" t="n">
        <f aca="false">IF('Stammdaten - Schwimmer'!$D54&gt;DATE(2011,7,20),B58,)</f>
        <v>0</v>
      </c>
      <c r="J58" s="29" t="n">
        <f aca="false">IF('Stammdaten - Schwimmer'!$D54&gt;DATE(2011,7,20),C58,)</f>
        <v>0</v>
      </c>
      <c r="K58" s="30" t="n">
        <f aca="false">IF('Stammdaten - Schwimmer'!$D54&gt;DATE(2011,7,20),D58,)</f>
        <v>0</v>
      </c>
      <c r="L58" s="29" t="n">
        <f aca="false">IF('Stammdaten - Schwimmer'!$D54&gt;DATE(2011,7,20),'Stammdaten - Schwimmer'!F54,)</f>
        <v>0</v>
      </c>
      <c r="M58" s="0" t="e">
        <f aca="false">_xlfn.RANK.EQ(L58,L$4:L$103,0)</f>
        <v>#REF!</v>
      </c>
      <c r="O58" s="29" t="n">
        <f aca="false">IF(AND('Stammdaten - Schwimmer'!$D54&lt;DATE(2011,7,20),'Stammdaten - Schwimmer'!$D54&gt;DATE(2007,7,19)),A58,)</f>
        <v>0</v>
      </c>
      <c r="P58" s="29" t="n">
        <f aca="false">IF(AND('Stammdaten - Schwimmer'!$D54&lt;DATE(2011,7,20),'Stammdaten - Schwimmer'!$D54&gt;DATE(2007,7,19)),B58,)</f>
        <v>0</v>
      </c>
      <c r="Q58" s="29" t="n">
        <f aca="false">IF(AND('Stammdaten - Schwimmer'!$D54&lt;DATE(2011,7,20),'Stammdaten - Schwimmer'!$D54&gt;DATE(2007,7,19)),C58,)</f>
        <v>0</v>
      </c>
      <c r="R58" s="30" t="n">
        <f aca="false">IF(AND('Stammdaten - Schwimmer'!$D54&lt;DATE(2011,7,20),'Stammdaten - Schwimmer'!$D54&gt;DATE(2007,7,19)),D58,)</f>
        <v>0</v>
      </c>
      <c r="S58" s="46" t="n">
        <f aca="false">IF(AND('Stammdaten - Schwimmer'!$D54&lt;DATE(2011,7,20),'Stammdaten - Schwimmer'!$D54&gt;DATE(2007,7,19)),'Stammdaten - Schwimmer'!F54,)</f>
        <v>0</v>
      </c>
      <c r="T58" s="0" t="e">
        <f aca="false">_xlfn.RANK.EQ(S58,S$4:S$103,0)</f>
        <v>#REF!</v>
      </c>
      <c r="V58" s="29" t="n">
        <f aca="false">IF('Stammdaten - Schwimmer'!$D54&lt;DATE(2007,7,20),A58,)</f>
        <v>52</v>
      </c>
      <c r="W58" s="29" t="str">
        <f aca="false">IF('Stammdaten - Schwimmer'!$D54&lt;DATE(2007,7,20),B58,)</f>
        <v>Warga</v>
      </c>
      <c r="X58" s="29" t="str">
        <f aca="false">IF('Stammdaten - Schwimmer'!$D54&lt;DATE(2007,7,20),C58,)</f>
        <v>Christina</v>
      </c>
      <c r="Y58" s="30" t="n">
        <f aca="false">IF('Stammdaten - Schwimmer'!$D54&lt;DATE(2007,7,20),D58,)</f>
        <v>0</v>
      </c>
      <c r="Z58" s="46" t="n">
        <f aca="false">IF('Stammdaten - Schwimmer'!$D54&lt;DATE(2007,7,20),'Stammdaten - Schwimmer'!F54,)</f>
        <v>38</v>
      </c>
      <c r="AA58" s="0" t="e">
        <f aca="false">_xlfn.RANK.EQ(Z58,Z$4:Z$103,0)</f>
        <v>#REF!</v>
      </c>
    </row>
    <row r="59" customFormat="false" ht="15" hidden="false" customHeight="false" outlineLevel="0" collapsed="false">
      <c r="A59" s="44" t="n">
        <f aca="false">'Stammdaten - Schwimmer'!A55</f>
        <v>53</v>
      </c>
      <c r="B59" s="45" t="str">
        <f aca="false">'Stammdaten - Schwimmer'!B55</f>
        <v>Warga</v>
      </c>
      <c r="C59" s="45" t="str">
        <f aca="false">'Stammdaten - Schwimmer'!C55</f>
        <v>Paula</v>
      </c>
      <c r="D59" s="30" t="n">
        <f aca="false">'Stammdaten - Schwimmer'!J55+'Stammdaten - Schwimmer'!N55+'Stammdaten - Schwimmer'!R55+'Stammdaten - Schwimmer'!V55+'Stammdaten - Schwimmer'!Z56</f>
        <v>0</v>
      </c>
      <c r="E59" s="46" t="n">
        <f aca="false">'Stammdaten - Schwimmer'!F55</f>
        <v>60</v>
      </c>
      <c r="H59" s="29" t="n">
        <f aca="false">IF('Stammdaten - Schwimmer'!D55&gt;DATE(2011,7,20),A59,)</f>
        <v>0</v>
      </c>
      <c r="I59" s="29" t="n">
        <f aca="false">IF('Stammdaten - Schwimmer'!$D55&gt;DATE(2011,7,20),B59,)</f>
        <v>0</v>
      </c>
      <c r="J59" s="29" t="n">
        <f aca="false">IF('Stammdaten - Schwimmer'!$D55&gt;DATE(2011,7,20),C59,)</f>
        <v>0</v>
      </c>
      <c r="K59" s="30" t="n">
        <f aca="false">IF('Stammdaten - Schwimmer'!$D55&gt;DATE(2011,7,20),D59,)</f>
        <v>0</v>
      </c>
      <c r="L59" s="29" t="n">
        <f aca="false">IF('Stammdaten - Schwimmer'!$D55&gt;DATE(2011,7,20),'Stammdaten - Schwimmer'!F55,)</f>
        <v>0</v>
      </c>
      <c r="M59" s="0" t="e">
        <f aca="false">_xlfn.RANK.EQ(L59,L$4:L$103,0)</f>
        <v>#REF!</v>
      </c>
      <c r="O59" s="29" t="n">
        <f aca="false">IF(AND('Stammdaten - Schwimmer'!$D55&lt;DATE(2011,7,20),'Stammdaten - Schwimmer'!$D55&gt;DATE(2007,7,19)),A59,)</f>
        <v>53</v>
      </c>
      <c r="P59" s="29" t="str">
        <f aca="false">IF(AND('Stammdaten - Schwimmer'!$D55&lt;DATE(2011,7,20),'Stammdaten - Schwimmer'!$D55&gt;DATE(2007,7,19)),B59,)</f>
        <v>Warga</v>
      </c>
      <c r="Q59" s="29" t="str">
        <f aca="false">IF(AND('Stammdaten - Schwimmer'!$D55&lt;DATE(2011,7,20),'Stammdaten - Schwimmer'!$D55&gt;DATE(2007,7,19)),C59,)</f>
        <v>Paula</v>
      </c>
      <c r="R59" s="30" t="n">
        <f aca="false">IF(AND('Stammdaten - Schwimmer'!$D55&lt;DATE(2011,7,20),'Stammdaten - Schwimmer'!$D55&gt;DATE(2007,7,19)),D59,)</f>
        <v>0</v>
      </c>
      <c r="S59" s="46" t="n">
        <f aca="false">IF(AND('Stammdaten - Schwimmer'!$D55&lt;DATE(2011,7,20),'Stammdaten - Schwimmer'!$D55&gt;DATE(2007,7,19)),'Stammdaten - Schwimmer'!F55,)</f>
        <v>60</v>
      </c>
      <c r="T59" s="0" t="e">
        <f aca="false">_xlfn.RANK.EQ(S59,S$4:S$103,0)</f>
        <v>#REF!</v>
      </c>
      <c r="V59" s="29" t="n">
        <f aca="false">IF('Stammdaten - Schwimmer'!$D55&lt;DATE(2007,7,20),A59,)</f>
        <v>0</v>
      </c>
      <c r="W59" s="29" t="n">
        <f aca="false">IF('Stammdaten - Schwimmer'!$D55&lt;DATE(2007,7,20),B59,)</f>
        <v>0</v>
      </c>
      <c r="X59" s="29" t="n">
        <f aca="false">IF('Stammdaten - Schwimmer'!$D55&lt;DATE(2007,7,20),C59,)</f>
        <v>0</v>
      </c>
      <c r="Y59" s="30" t="n">
        <f aca="false">IF('Stammdaten - Schwimmer'!$D55&lt;DATE(2007,7,20),D59,)</f>
        <v>0</v>
      </c>
      <c r="Z59" s="46" t="n">
        <f aca="false">IF('Stammdaten - Schwimmer'!$D55&lt;DATE(2007,7,20),'Stammdaten - Schwimmer'!F55,)</f>
        <v>0</v>
      </c>
      <c r="AA59" s="0" t="e">
        <f aca="false">_xlfn.RANK.EQ(Z59,Z$4:Z$103,0)</f>
        <v>#REF!</v>
      </c>
    </row>
    <row r="60" customFormat="false" ht="15" hidden="false" customHeight="false" outlineLevel="0" collapsed="false">
      <c r="A60" s="44" t="n">
        <f aca="false">'Stammdaten - Schwimmer'!A56</f>
        <v>54</v>
      </c>
      <c r="B60" s="45" t="str">
        <f aca="false">'Stammdaten - Schwimmer'!B56</f>
        <v>Warga</v>
      </c>
      <c r="C60" s="45" t="str">
        <f aca="false">'Stammdaten - Schwimmer'!C56</f>
        <v>Christian</v>
      </c>
      <c r="D60" s="30" t="n">
        <f aca="false">'Stammdaten - Schwimmer'!J56+'Stammdaten - Schwimmer'!N56+'Stammdaten - Schwimmer'!R56+'Stammdaten - Schwimmer'!V56+'Stammdaten - Schwimmer'!Z57</f>
        <v>0</v>
      </c>
      <c r="E60" s="46" t="n">
        <f aca="false">'Stammdaten - Schwimmer'!F56</f>
        <v>40</v>
      </c>
      <c r="H60" s="29" t="n">
        <f aca="false">IF('Stammdaten - Schwimmer'!D56&gt;DATE(2011,7,20),A60,)</f>
        <v>0</v>
      </c>
      <c r="I60" s="29" t="n">
        <f aca="false">IF('Stammdaten - Schwimmer'!$D56&gt;DATE(2011,7,20),B60,)</f>
        <v>0</v>
      </c>
      <c r="J60" s="29" t="n">
        <f aca="false">IF('Stammdaten - Schwimmer'!$D56&gt;DATE(2011,7,20),C60,)</f>
        <v>0</v>
      </c>
      <c r="K60" s="30" t="n">
        <f aca="false">IF('Stammdaten - Schwimmer'!$D56&gt;DATE(2011,7,20),D60,)</f>
        <v>0</v>
      </c>
      <c r="L60" s="29" t="n">
        <f aca="false">IF('Stammdaten - Schwimmer'!$D56&gt;DATE(2011,7,20),'Stammdaten - Schwimmer'!F56,)</f>
        <v>0</v>
      </c>
      <c r="M60" s="0" t="e">
        <f aca="false">_xlfn.RANK.EQ(L60,L$4:L$103,0)</f>
        <v>#REF!</v>
      </c>
      <c r="O60" s="29" t="n">
        <f aca="false">IF(AND('Stammdaten - Schwimmer'!$D56&lt;DATE(2011,7,20),'Stammdaten - Schwimmer'!$D56&gt;DATE(2007,7,19)),A60,)</f>
        <v>0</v>
      </c>
      <c r="P60" s="29" t="n">
        <f aca="false">IF(AND('Stammdaten - Schwimmer'!$D56&lt;DATE(2011,7,20),'Stammdaten - Schwimmer'!$D56&gt;DATE(2007,7,19)),B60,)</f>
        <v>0</v>
      </c>
      <c r="Q60" s="29" t="n">
        <f aca="false">IF(AND('Stammdaten - Schwimmer'!$D56&lt;DATE(2011,7,20),'Stammdaten - Schwimmer'!$D56&gt;DATE(2007,7,19)),C60,)</f>
        <v>0</v>
      </c>
      <c r="R60" s="30" t="n">
        <f aca="false">IF(AND('Stammdaten - Schwimmer'!$D56&lt;DATE(2011,7,20),'Stammdaten - Schwimmer'!$D56&gt;DATE(2007,7,19)),D60,)</f>
        <v>0</v>
      </c>
      <c r="S60" s="46" t="n">
        <f aca="false">IF(AND('Stammdaten - Schwimmer'!$D56&lt;DATE(2011,7,20),'Stammdaten - Schwimmer'!$D56&gt;DATE(2007,7,19)),'Stammdaten - Schwimmer'!F56,)</f>
        <v>0</v>
      </c>
      <c r="T60" s="0" t="e">
        <f aca="false">_xlfn.RANK.EQ(S60,S$4:S$103,0)</f>
        <v>#REF!</v>
      </c>
      <c r="V60" s="29" t="n">
        <f aca="false">IF('Stammdaten - Schwimmer'!$D56&lt;DATE(2007,7,20),A60,)</f>
        <v>54</v>
      </c>
      <c r="W60" s="29" t="str">
        <f aca="false">IF('Stammdaten - Schwimmer'!$D56&lt;DATE(2007,7,20),B60,)</f>
        <v>Warga</v>
      </c>
      <c r="X60" s="29" t="str">
        <f aca="false">IF('Stammdaten - Schwimmer'!$D56&lt;DATE(2007,7,20),C60,)</f>
        <v>Christian</v>
      </c>
      <c r="Y60" s="30" t="n">
        <f aca="false">IF('Stammdaten - Schwimmer'!$D56&lt;DATE(2007,7,20),D60,)</f>
        <v>0</v>
      </c>
      <c r="Z60" s="46" t="n">
        <f aca="false">IF('Stammdaten - Schwimmer'!$D56&lt;DATE(2007,7,20),'Stammdaten - Schwimmer'!F56,)</f>
        <v>40</v>
      </c>
      <c r="AA60" s="0" t="e">
        <f aca="false">_xlfn.RANK.EQ(Z60,Z$4:Z$103,0)</f>
        <v>#REF!</v>
      </c>
    </row>
    <row r="61" customFormat="false" ht="15" hidden="false" customHeight="false" outlineLevel="0" collapsed="false">
      <c r="A61" s="44" t="n">
        <f aca="false">'Stammdaten - Schwimmer'!A57</f>
        <v>55</v>
      </c>
      <c r="B61" s="45" t="str">
        <f aca="false">'Stammdaten - Schwimmer'!B57</f>
        <v>Veit</v>
      </c>
      <c r="C61" s="45" t="str">
        <f aca="false">'Stammdaten - Schwimmer'!C57</f>
        <v>Dorothea</v>
      </c>
      <c r="D61" s="30" t="n">
        <f aca="false">'Stammdaten - Schwimmer'!J57+'Stammdaten - Schwimmer'!N57+'Stammdaten - Schwimmer'!R57+'Stammdaten - Schwimmer'!V57+'Stammdaten - Schwimmer'!Z58</f>
        <v>16</v>
      </c>
      <c r="E61" s="46" t="n">
        <f aca="false">'Stammdaten - Schwimmer'!F57</f>
        <v>32</v>
      </c>
      <c r="H61" s="29" t="n">
        <f aca="false">IF('Stammdaten - Schwimmer'!D57&gt;DATE(2011,7,20),A61,)</f>
        <v>55</v>
      </c>
      <c r="I61" s="29" t="str">
        <f aca="false">IF('Stammdaten - Schwimmer'!$D57&gt;DATE(2011,7,20),B61,)</f>
        <v>Veit</v>
      </c>
      <c r="J61" s="29" t="str">
        <f aca="false">IF('Stammdaten - Schwimmer'!$D57&gt;DATE(2011,7,20),C61,)</f>
        <v>Dorothea</v>
      </c>
      <c r="K61" s="30" t="n">
        <f aca="false">IF('Stammdaten - Schwimmer'!$D57&gt;DATE(2011,7,20),D61,)</f>
        <v>16</v>
      </c>
      <c r="L61" s="29" t="n">
        <f aca="false">IF('Stammdaten - Schwimmer'!$D57&gt;DATE(2011,7,20),'Stammdaten - Schwimmer'!F57,)</f>
        <v>32</v>
      </c>
      <c r="M61" s="0" t="e">
        <f aca="false">_xlfn.RANK.EQ(L61,L$4:L$103,0)</f>
        <v>#REF!</v>
      </c>
      <c r="O61" s="29" t="n">
        <f aca="false">IF(AND('Stammdaten - Schwimmer'!$D57&lt;DATE(2011,7,20),'Stammdaten - Schwimmer'!$D57&gt;DATE(2007,7,19)),A61,)</f>
        <v>0</v>
      </c>
      <c r="P61" s="29" t="n">
        <f aca="false">IF(AND('Stammdaten - Schwimmer'!$D57&lt;DATE(2011,7,20),'Stammdaten - Schwimmer'!$D57&gt;DATE(2007,7,19)),B61,)</f>
        <v>0</v>
      </c>
      <c r="Q61" s="29" t="n">
        <f aca="false">IF(AND('Stammdaten - Schwimmer'!$D57&lt;DATE(2011,7,20),'Stammdaten - Schwimmer'!$D57&gt;DATE(2007,7,19)),C61,)</f>
        <v>0</v>
      </c>
      <c r="R61" s="30" t="n">
        <f aca="false">IF(AND('Stammdaten - Schwimmer'!$D57&lt;DATE(2011,7,20),'Stammdaten - Schwimmer'!$D57&gt;DATE(2007,7,19)),D61,)</f>
        <v>0</v>
      </c>
      <c r="S61" s="46" t="n">
        <f aca="false">IF(AND('Stammdaten - Schwimmer'!$D57&lt;DATE(2011,7,20),'Stammdaten - Schwimmer'!$D57&gt;DATE(2007,7,19)),'Stammdaten - Schwimmer'!F57,)</f>
        <v>0</v>
      </c>
      <c r="T61" s="0" t="e">
        <f aca="false">_xlfn.RANK.EQ(S61,S$4:S$103,0)</f>
        <v>#REF!</v>
      </c>
      <c r="V61" s="29" t="n">
        <f aca="false">IF('Stammdaten - Schwimmer'!$D57&lt;DATE(2007,7,20),A61,)</f>
        <v>0</v>
      </c>
      <c r="W61" s="29" t="n">
        <f aca="false">IF('Stammdaten - Schwimmer'!$D57&lt;DATE(2007,7,20),B61,)</f>
        <v>0</v>
      </c>
      <c r="X61" s="29" t="n">
        <f aca="false">IF('Stammdaten - Schwimmer'!$D57&lt;DATE(2007,7,20),C61,)</f>
        <v>0</v>
      </c>
      <c r="Y61" s="30" t="n">
        <f aca="false">IF('Stammdaten - Schwimmer'!$D57&lt;DATE(2007,7,20),D61,)</f>
        <v>0</v>
      </c>
      <c r="Z61" s="46" t="n">
        <f aca="false">IF('Stammdaten - Schwimmer'!$D57&lt;DATE(2007,7,20),'Stammdaten - Schwimmer'!F57,)</f>
        <v>0</v>
      </c>
      <c r="AA61" s="0" t="e">
        <f aca="false">_xlfn.RANK.EQ(Z61,Z$4:Z$103,0)</f>
        <v>#REF!</v>
      </c>
    </row>
    <row r="62" customFormat="false" ht="15" hidden="false" customHeight="false" outlineLevel="0" collapsed="false">
      <c r="A62" s="44" t="n">
        <f aca="false">'Stammdaten - Schwimmer'!A58</f>
        <v>56</v>
      </c>
      <c r="B62" s="45" t="str">
        <f aca="false">'Stammdaten - Schwimmer'!B58</f>
        <v>Heineke</v>
      </c>
      <c r="C62" s="45" t="str">
        <f aca="false">'Stammdaten - Schwimmer'!C58</f>
        <v>Jana</v>
      </c>
      <c r="D62" s="30" t="n">
        <f aca="false">'Stammdaten - Schwimmer'!J58+'Stammdaten - Schwimmer'!N58+'Stammdaten - Schwimmer'!R58+'Stammdaten - Schwimmer'!V58+'Stammdaten - Schwimmer'!Z59</f>
        <v>20</v>
      </c>
      <c r="E62" s="46" t="n">
        <f aca="false">'Stammdaten - Schwimmer'!F58</f>
        <v>40</v>
      </c>
      <c r="H62" s="29" t="n">
        <f aca="false">IF('Stammdaten - Schwimmer'!D58&gt;DATE(2011,7,20),A62,)</f>
        <v>0</v>
      </c>
      <c r="I62" s="29" t="n">
        <f aca="false">IF('Stammdaten - Schwimmer'!$D58&gt;DATE(2011,7,20),B62,)</f>
        <v>0</v>
      </c>
      <c r="J62" s="29" t="n">
        <f aca="false">IF('Stammdaten - Schwimmer'!$D58&gt;DATE(2011,7,20),C62,)</f>
        <v>0</v>
      </c>
      <c r="K62" s="30" t="n">
        <f aca="false">IF('Stammdaten - Schwimmer'!$D58&gt;DATE(2011,7,20),D62,)</f>
        <v>0</v>
      </c>
      <c r="L62" s="29" t="n">
        <f aca="false">IF('Stammdaten - Schwimmer'!$D58&gt;DATE(2011,7,20),'Stammdaten - Schwimmer'!F58,)</f>
        <v>0</v>
      </c>
      <c r="M62" s="0" t="e">
        <f aca="false">_xlfn.RANK.EQ(L62,L$4:L$103,0)</f>
        <v>#REF!</v>
      </c>
      <c r="O62" s="29" t="n">
        <f aca="false">IF(AND('Stammdaten - Schwimmer'!$D58&lt;DATE(2011,7,20),'Stammdaten - Schwimmer'!$D58&gt;DATE(2007,7,19)),A62,)</f>
        <v>56</v>
      </c>
      <c r="P62" s="29" t="str">
        <f aca="false">IF(AND('Stammdaten - Schwimmer'!$D58&lt;DATE(2011,7,20),'Stammdaten - Schwimmer'!$D58&gt;DATE(2007,7,19)),B62,)</f>
        <v>Heineke</v>
      </c>
      <c r="Q62" s="29" t="str">
        <f aca="false">IF(AND('Stammdaten - Schwimmer'!$D58&lt;DATE(2011,7,20),'Stammdaten - Schwimmer'!$D58&gt;DATE(2007,7,19)),C62,)</f>
        <v>Jana</v>
      </c>
      <c r="R62" s="30" t="n">
        <f aca="false">IF(AND('Stammdaten - Schwimmer'!$D58&lt;DATE(2011,7,20),'Stammdaten - Schwimmer'!$D58&gt;DATE(2007,7,19)),D62,)</f>
        <v>20</v>
      </c>
      <c r="S62" s="46" t="n">
        <f aca="false">IF(AND('Stammdaten - Schwimmer'!$D58&lt;DATE(2011,7,20),'Stammdaten - Schwimmer'!$D58&gt;DATE(2007,7,19)),'Stammdaten - Schwimmer'!F58,)</f>
        <v>40</v>
      </c>
      <c r="T62" s="0" t="e">
        <f aca="false">_xlfn.RANK.EQ(S62,S$4:S$103,0)</f>
        <v>#REF!</v>
      </c>
      <c r="V62" s="29" t="n">
        <f aca="false">IF('Stammdaten - Schwimmer'!$D58&lt;DATE(2007,7,20),A62,)</f>
        <v>0</v>
      </c>
      <c r="W62" s="29" t="n">
        <f aca="false">IF('Stammdaten - Schwimmer'!$D58&lt;DATE(2007,7,20),B62,)</f>
        <v>0</v>
      </c>
      <c r="X62" s="29" t="n">
        <f aca="false">IF('Stammdaten - Schwimmer'!$D58&lt;DATE(2007,7,20),C62,)</f>
        <v>0</v>
      </c>
      <c r="Y62" s="30" t="n">
        <f aca="false">IF('Stammdaten - Schwimmer'!$D58&lt;DATE(2007,7,20),D62,)</f>
        <v>0</v>
      </c>
      <c r="Z62" s="46" t="n">
        <f aca="false">IF('Stammdaten - Schwimmer'!$D58&lt;DATE(2007,7,20),'Stammdaten - Schwimmer'!F58,)</f>
        <v>0</v>
      </c>
      <c r="AA62" s="0" t="e">
        <f aca="false">_xlfn.RANK.EQ(Z62,Z$4:Z$103,0)</f>
        <v>#REF!</v>
      </c>
    </row>
    <row r="63" customFormat="false" ht="15" hidden="false" customHeight="false" outlineLevel="0" collapsed="false">
      <c r="A63" s="44" t="n">
        <f aca="false">'Stammdaten - Schwimmer'!A59</f>
        <v>57</v>
      </c>
      <c r="B63" s="45" t="str">
        <f aca="false">'Stammdaten - Schwimmer'!B59</f>
        <v>Hartmann</v>
      </c>
      <c r="C63" s="45" t="str">
        <f aca="false">'Stammdaten - Schwimmer'!C59</f>
        <v>Hanna</v>
      </c>
      <c r="D63" s="30" t="n">
        <f aca="false">'Stammdaten - Schwimmer'!J59+'Stammdaten - Schwimmer'!N59+'Stammdaten - Schwimmer'!R59+'Stammdaten - Schwimmer'!V59+'Stammdaten - Schwimmer'!Z60</f>
        <v>13</v>
      </c>
      <c r="E63" s="46" t="n">
        <f aca="false">'Stammdaten - Schwimmer'!F59</f>
        <v>26</v>
      </c>
      <c r="H63" s="29" t="n">
        <f aca="false">IF('Stammdaten - Schwimmer'!D59&gt;DATE(2011,7,20),A63,)</f>
        <v>57</v>
      </c>
      <c r="I63" s="29" t="str">
        <f aca="false">IF('Stammdaten - Schwimmer'!$D59&gt;DATE(2011,7,20),B63,)</f>
        <v>Hartmann</v>
      </c>
      <c r="J63" s="29" t="str">
        <f aca="false">IF('Stammdaten - Schwimmer'!$D59&gt;DATE(2011,7,20),C63,)</f>
        <v>Hanna</v>
      </c>
      <c r="K63" s="30" t="n">
        <f aca="false">IF('Stammdaten - Schwimmer'!$D59&gt;DATE(2011,7,20),D63,)</f>
        <v>13</v>
      </c>
      <c r="L63" s="29" t="n">
        <f aca="false">IF('Stammdaten - Schwimmer'!$D59&gt;DATE(2011,7,20),'Stammdaten - Schwimmer'!F59,)</f>
        <v>26</v>
      </c>
      <c r="M63" s="0" t="e">
        <f aca="false">_xlfn.RANK.EQ(L63,L$4:L$103,0)</f>
        <v>#REF!</v>
      </c>
      <c r="O63" s="29" t="n">
        <f aca="false">IF(AND('Stammdaten - Schwimmer'!$D59&lt;DATE(2011,7,20),'Stammdaten - Schwimmer'!$D59&gt;DATE(2007,7,19)),A63,)</f>
        <v>0</v>
      </c>
      <c r="P63" s="29" t="n">
        <f aca="false">IF(AND('Stammdaten - Schwimmer'!$D59&lt;DATE(2011,7,20),'Stammdaten - Schwimmer'!$D59&gt;DATE(2007,7,19)),B63,)</f>
        <v>0</v>
      </c>
      <c r="Q63" s="29" t="n">
        <f aca="false">IF(AND('Stammdaten - Schwimmer'!$D59&lt;DATE(2011,7,20),'Stammdaten - Schwimmer'!$D59&gt;DATE(2007,7,19)),C63,)</f>
        <v>0</v>
      </c>
      <c r="R63" s="30" t="n">
        <f aca="false">IF(AND('Stammdaten - Schwimmer'!$D59&lt;DATE(2011,7,20),'Stammdaten - Schwimmer'!$D59&gt;DATE(2007,7,19)),D63,)</f>
        <v>0</v>
      </c>
      <c r="S63" s="46" t="n">
        <f aca="false">IF(AND('Stammdaten - Schwimmer'!$D59&lt;DATE(2011,7,20),'Stammdaten - Schwimmer'!$D59&gt;DATE(2007,7,19)),'Stammdaten - Schwimmer'!F59,)</f>
        <v>0</v>
      </c>
      <c r="T63" s="0" t="e">
        <f aca="false">_xlfn.RANK.EQ(S63,S$4:S$103,0)</f>
        <v>#REF!</v>
      </c>
      <c r="V63" s="29" t="n">
        <f aca="false">IF('Stammdaten - Schwimmer'!$D59&lt;DATE(2007,7,20),A63,)</f>
        <v>0</v>
      </c>
      <c r="W63" s="29" t="n">
        <f aca="false">IF('Stammdaten - Schwimmer'!$D59&lt;DATE(2007,7,20),B63,)</f>
        <v>0</v>
      </c>
      <c r="X63" s="29" t="n">
        <f aca="false">IF('Stammdaten - Schwimmer'!$D59&lt;DATE(2007,7,20),C63,)</f>
        <v>0</v>
      </c>
      <c r="Y63" s="30" t="n">
        <f aca="false">IF('Stammdaten - Schwimmer'!$D59&lt;DATE(2007,7,20),D63,)</f>
        <v>0</v>
      </c>
      <c r="Z63" s="46" t="n">
        <f aca="false">IF('Stammdaten - Schwimmer'!$D59&lt;DATE(2007,7,20),'Stammdaten - Schwimmer'!F59,)</f>
        <v>0</v>
      </c>
      <c r="AA63" s="0" t="e">
        <f aca="false">_xlfn.RANK.EQ(Z63,Z$4:Z$103,0)</f>
        <v>#REF!</v>
      </c>
    </row>
    <row r="64" customFormat="false" ht="15" hidden="false" customHeight="false" outlineLevel="0" collapsed="false">
      <c r="A64" s="44" t="n">
        <f aca="false">'Stammdaten - Schwimmer'!A60</f>
        <v>58</v>
      </c>
      <c r="B64" s="45" t="str">
        <f aca="false">'Stammdaten - Schwimmer'!B60</f>
        <v>Schmid</v>
      </c>
      <c r="C64" s="45" t="str">
        <f aca="false">'Stammdaten - Schwimmer'!C60</f>
        <v>Hannes</v>
      </c>
      <c r="D64" s="30" t="n">
        <f aca="false">'Stammdaten - Schwimmer'!J60+'Stammdaten - Schwimmer'!N60+'Stammdaten - Schwimmer'!R60+'Stammdaten - Schwimmer'!V60+'Stammdaten - Schwimmer'!Z61</f>
        <v>162</v>
      </c>
      <c r="E64" s="46" t="n">
        <f aca="false">'Stammdaten - Schwimmer'!F60</f>
        <v>108</v>
      </c>
      <c r="H64" s="29" t="n">
        <f aca="false">IF('Stammdaten - Schwimmer'!D60&gt;DATE(2011,7,20),A64,)</f>
        <v>58</v>
      </c>
      <c r="I64" s="29" t="str">
        <f aca="false">IF('Stammdaten - Schwimmer'!$D60&gt;DATE(2011,7,20),B64,)</f>
        <v>Schmid</v>
      </c>
      <c r="J64" s="29" t="str">
        <f aca="false">IF('Stammdaten - Schwimmer'!$D60&gt;DATE(2011,7,20),C64,)</f>
        <v>Hannes</v>
      </c>
      <c r="K64" s="30" t="n">
        <f aca="false">IF('Stammdaten - Schwimmer'!$D60&gt;DATE(2011,7,20),D64,)</f>
        <v>162</v>
      </c>
      <c r="L64" s="29" t="n">
        <f aca="false">IF('Stammdaten - Schwimmer'!$D60&gt;DATE(2011,7,20),'Stammdaten - Schwimmer'!F60,)</f>
        <v>108</v>
      </c>
      <c r="M64" s="0" t="e">
        <f aca="false">_xlfn.RANK.EQ(L64,L$4:L$103,0)</f>
        <v>#REF!</v>
      </c>
      <c r="O64" s="29" t="n">
        <f aca="false">IF(AND('Stammdaten - Schwimmer'!$D60&lt;DATE(2011,7,20),'Stammdaten - Schwimmer'!$D60&gt;DATE(2007,7,19)),A64,)</f>
        <v>0</v>
      </c>
      <c r="P64" s="29" t="n">
        <f aca="false">IF(AND('Stammdaten - Schwimmer'!$D60&lt;DATE(2011,7,20),'Stammdaten - Schwimmer'!$D60&gt;DATE(2007,7,19)),B64,)</f>
        <v>0</v>
      </c>
      <c r="Q64" s="29" t="n">
        <f aca="false">IF(AND('Stammdaten - Schwimmer'!$D60&lt;DATE(2011,7,20),'Stammdaten - Schwimmer'!$D60&gt;DATE(2007,7,19)),C64,)</f>
        <v>0</v>
      </c>
      <c r="R64" s="30" t="n">
        <f aca="false">IF(AND('Stammdaten - Schwimmer'!$D60&lt;DATE(2011,7,20),'Stammdaten - Schwimmer'!$D60&gt;DATE(2007,7,19)),D64,)</f>
        <v>0</v>
      </c>
      <c r="S64" s="46" t="n">
        <f aca="false">IF(AND('Stammdaten - Schwimmer'!$D60&lt;DATE(2011,7,20),'Stammdaten - Schwimmer'!$D60&gt;DATE(2007,7,19)),'Stammdaten - Schwimmer'!F60,)</f>
        <v>0</v>
      </c>
      <c r="T64" s="0" t="e">
        <f aca="false">_xlfn.RANK.EQ(S64,S$4:S$103,0)</f>
        <v>#REF!</v>
      </c>
      <c r="V64" s="29" t="n">
        <f aca="false">IF('Stammdaten - Schwimmer'!$D60&lt;DATE(2007,7,20),A64,)</f>
        <v>0</v>
      </c>
      <c r="W64" s="29" t="n">
        <f aca="false">IF('Stammdaten - Schwimmer'!$D60&lt;DATE(2007,7,20),B64,)</f>
        <v>0</v>
      </c>
      <c r="X64" s="29" t="n">
        <f aca="false">IF('Stammdaten - Schwimmer'!$D60&lt;DATE(2007,7,20),C64,)</f>
        <v>0</v>
      </c>
      <c r="Y64" s="30" t="n">
        <f aca="false">IF('Stammdaten - Schwimmer'!$D60&lt;DATE(2007,7,20),D64,)</f>
        <v>0</v>
      </c>
      <c r="Z64" s="46" t="n">
        <f aca="false">IF('Stammdaten - Schwimmer'!$D60&lt;DATE(2007,7,20),'Stammdaten - Schwimmer'!F60,)</f>
        <v>0</v>
      </c>
      <c r="AA64" s="0" t="e">
        <f aca="false">_xlfn.RANK.EQ(Z64,Z$4:Z$103,0)</f>
        <v>#REF!</v>
      </c>
    </row>
    <row r="65" customFormat="false" ht="15" hidden="false" customHeight="false" outlineLevel="0" collapsed="false">
      <c r="A65" s="44" t="n">
        <f aca="false">'Stammdaten - Schwimmer'!A61</f>
        <v>59</v>
      </c>
      <c r="B65" s="45" t="str">
        <f aca="false">'Stammdaten - Schwimmer'!B61</f>
        <v>Schmid</v>
      </c>
      <c r="C65" s="45" t="str">
        <f aca="false">'Stammdaten - Schwimmer'!C61</f>
        <v>Jakob</v>
      </c>
      <c r="D65" s="30" t="n">
        <f aca="false">'Stammdaten - Schwimmer'!J61+'Stammdaten - Schwimmer'!N61+'Stammdaten - Schwimmer'!R61+'Stammdaten - Schwimmer'!V61+'Stammdaten - Schwimmer'!Z62</f>
        <v>289</v>
      </c>
      <c r="E65" s="46" t="n">
        <f aca="false">'Stammdaten - Schwimmer'!F61</f>
        <v>94</v>
      </c>
      <c r="H65" s="29" t="n">
        <f aca="false">IF('Stammdaten - Schwimmer'!D61&gt;DATE(2011,7,20),A65,)</f>
        <v>59</v>
      </c>
      <c r="I65" s="29" t="str">
        <f aca="false">IF('Stammdaten - Schwimmer'!$D61&gt;DATE(2011,7,20),B65,)</f>
        <v>Schmid</v>
      </c>
      <c r="J65" s="29" t="str">
        <f aca="false">IF('Stammdaten - Schwimmer'!$D61&gt;DATE(2011,7,20),C65,)</f>
        <v>Jakob</v>
      </c>
      <c r="K65" s="30" t="n">
        <f aca="false">IF('Stammdaten - Schwimmer'!$D61&gt;DATE(2011,7,20),D65,)</f>
        <v>289</v>
      </c>
      <c r="L65" s="29" t="n">
        <f aca="false">IF('Stammdaten - Schwimmer'!$D61&gt;DATE(2011,7,20),'Stammdaten - Schwimmer'!F61,)</f>
        <v>94</v>
      </c>
      <c r="M65" s="0" t="e">
        <f aca="false">_xlfn.RANK.EQ(L65,L$4:L$103,0)</f>
        <v>#REF!</v>
      </c>
      <c r="O65" s="29" t="n">
        <f aca="false">IF(AND('Stammdaten - Schwimmer'!$D61&lt;DATE(2011,7,20),'Stammdaten - Schwimmer'!$D61&gt;DATE(2007,7,19)),A65,)</f>
        <v>0</v>
      </c>
      <c r="P65" s="29" t="n">
        <f aca="false">IF(AND('Stammdaten - Schwimmer'!$D61&lt;DATE(2011,7,20),'Stammdaten - Schwimmer'!$D61&gt;DATE(2007,7,19)),B65,)</f>
        <v>0</v>
      </c>
      <c r="Q65" s="29" t="n">
        <f aca="false">IF(AND('Stammdaten - Schwimmer'!$D61&lt;DATE(2011,7,20),'Stammdaten - Schwimmer'!$D61&gt;DATE(2007,7,19)),C65,)</f>
        <v>0</v>
      </c>
      <c r="R65" s="30" t="n">
        <f aca="false">IF(AND('Stammdaten - Schwimmer'!$D61&lt;DATE(2011,7,20),'Stammdaten - Schwimmer'!$D61&gt;DATE(2007,7,19)),D65,)</f>
        <v>0</v>
      </c>
      <c r="S65" s="46" t="n">
        <f aca="false">IF(AND('Stammdaten - Schwimmer'!$D61&lt;DATE(2011,7,20),'Stammdaten - Schwimmer'!$D61&gt;DATE(2007,7,19)),'Stammdaten - Schwimmer'!F61,)</f>
        <v>0</v>
      </c>
      <c r="T65" s="0" t="e">
        <f aca="false">_xlfn.RANK.EQ(S65,S$4:S$103,0)</f>
        <v>#REF!</v>
      </c>
      <c r="V65" s="29" t="n">
        <f aca="false">IF('Stammdaten - Schwimmer'!$D61&lt;DATE(2007,7,20),A65,)</f>
        <v>0</v>
      </c>
      <c r="W65" s="29" t="n">
        <f aca="false">IF('Stammdaten - Schwimmer'!$D61&lt;DATE(2007,7,20),B65,)</f>
        <v>0</v>
      </c>
      <c r="X65" s="29" t="n">
        <f aca="false">IF('Stammdaten - Schwimmer'!$D61&lt;DATE(2007,7,20),C65,)</f>
        <v>0</v>
      </c>
      <c r="Y65" s="30" t="n">
        <f aca="false">IF('Stammdaten - Schwimmer'!$D61&lt;DATE(2007,7,20),D65,)</f>
        <v>0</v>
      </c>
      <c r="Z65" s="46" t="n">
        <f aca="false">IF('Stammdaten - Schwimmer'!$D61&lt;DATE(2007,7,20),'Stammdaten - Schwimmer'!F61,)</f>
        <v>0</v>
      </c>
      <c r="AA65" s="0" t="e">
        <f aca="false">_xlfn.RANK.EQ(Z65,Z$4:Z$103,0)</f>
        <v>#REF!</v>
      </c>
    </row>
    <row r="66" customFormat="false" ht="15" hidden="false" customHeight="false" outlineLevel="0" collapsed="false">
      <c r="A66" s="44" t="n">
        <f aca="false">'Stammdaten - Schwimmer'!A62</f>
        <v>60</v>
      </c>
      <c r="B66" s="45" t="str">
        <f aca="false">'Stammdaten - Schwimmer'!B62</f>
        <v>Göpel</v>
      </c>
      <c r="C66" s="45" t="str">
        <f aca="false">'Stammdaten - Schwimmer'!C62</f>
        <v>Norah</v>
      </c>
      <c r="D66" s="30" t="n">
        <f aca="false">'Stammdaten - Schwimmer'!J62+'Stammdaten - Schwimmer'!N62+'Stammdaten - Schwimmer'!R62+'Stammdaten - Schwimmer'!V62+'Stammdaten - Schwimmer'!Z63</f>
        <v>481</v>
      </c>
      <c r="E66" s="46" t="n">
        <f aca="false">'Stammdaten - Schwimmer'!F62</f>
        <v>74</v>
      </c>
      <c r="H66" s="29" t="n">
        <f aca="false">IF('Stammdaten - Schwimmer'!D62&gt;DATE(2011,7,20),A66,)</f>
        <v>60</v>
      </c>
      <c r="I66" s="29" t="str">
        <f aca="false">IF('Stammdaten - Schwimmer'!$D62&gt;DATE(2011,7,20),B66,)</f>
        <v>Göpel</v>
      </c>
      <c r="J66" s="29" t="str">
        <f aca="false">IF('Stammdaten - Schwimmer'!$D62&gt;DATE(2011,7,20),C66,)</f>
        <v>Norah</v>
      </c>
      <c r="K66" s="30" t="n">
        <f aca="false">IF('Stammdaten - Schwimmer'!$D62&gt;DATE(2011,7,20),D66,)</f>
        <v>481</v>
      </c>
      <c r="L66" s="29" t="n">
        <f aca="false">IF('Stammdaten - Schwimmer'!$D62&gt;DATE(2011,7,20),'Stammdaten - Schwimmer'!F62,)</f>
        <v>74</v>
      </c>
      <c r="M66" s="0" t="e">
        <f aca="false">_xlfn.RANK.EQ(L66,L$4:L$103,0)</f>
        <v>#REF!</v>
      </c>
      <c r="O66" s="29" t="n">
        <f aca="false">IF(AND('Stammdaten - Schwimmer'!$D62&lt;DATE(2011,7,20),'Stammdaten - Schwimmer'!$D62&gt;DATE(2007,7,19)),A66,)</f>
        <v>0</v>
      </c>
      <c r="P66" s="29" t="n">
        <f aca="false">IF(AND('Stammdaten - Schwimmer'!$D62&lt;DATE(2011,7,20),'Stammdaten - Schwimmer'!$D62&gt;DATE(2007,7,19)),B66,)</f>
        <v>0</v>
      </c>
      <c r="Q66" s="29" t="n">
        <f aca="false">IF(AND('Stammdaten - Schwimmer'!$D62&lt;DATE(2011,7,20),'Stammdaten - Schwimmer'!$D62&gt;DATE(2007,7,19)),C66,)</f>
        <v>0</v>
      </c>
      <c r="R66" s="30" t="n">
        <f aca="false">IF(AND('Stammdaten - Schwimmer'!$D62&lt;DATE(2011,7,20),'Stammdaten - Schwimmer'!$D62&gt;DATE(2007,7,19)),D66,)</f>
        <v>0</v>
      </c>
      <c r="S66" s="46" t="n">
        <f aca="false">IF(AND('Stammdaten - Schwimmer'!$D62&lt;DATE(2011,7,20),'Stammdaten - Schwimmer'!$D62&gt;DATE(2007,7,19)),'Stammdaten - Schwimmer'!F62,)</f>
        <v>0</v>
      </c>
      <c r="T66" s="0" t="e">
        <f aca="false">_xlfn.RANK.EQ(S66,S$4:S$103,0)</f>
        <v>#REF!</v>
      </c>
      <c r="V66" s="29" t="n">
        <f aca="false">IF('Stammdaten - Schwimmer'!$D62&lt;DATE(2007,7,20),A66,)</f>
        <v>0</v>
      </c>
      <c r="W66" s="29" t="n">
        <f aca="false">IF('Stammdaten - Schwimmer'!$D62&lt;DATE(2007,7,20),B66,)</f>
        <v>0</v>
      </c>
      <c r="X66" s="29" t="n">
        <f aca="false">IF('Stammdaten - Schwimmer'!$D62&lt;DATE(2007,7,20),C66,)</f>
        <v>0</v>
      </c>
      <c r="Y66" s="30" t="n">
        <f aca="false">IF('Stammdaten - Schwimmer'!$D62&lt;DATE(2007,7,20),D66,)</f>
        <v>0</v>
      </c>
      <c r="Z66" s="46" t="n">
        <f aca="false">IF('Stammdaten - Schwimmer'!$D62&lt;DATE(2007,7,20),'Stammdaten - Schwimmer'!F62,)</f>
        <v>0</v>
      </c>
      <c r="AA66" s="0" t="e">
        <f aca="false">_xlfn.RANK.EQ(Z66,Z$4:Z$103,0)</f>
        <v>#REF!</v>
      </c>
    </row>
    <row r="67" customFormat="false" ht="15" hidden="false" customHeight="false" outlineLevel="0" collapsed="false">
      <c r="A67" s="44" t="n">
        <f aca="false">'Stammdaten - Schwimmer'!A63</f>
        <v>61</v>
      </c>
      <c r="B67" s="45" t="str">
        <f aca="false">'Stammdaten - Schwimmer'!B63</f>
        <v>Göpel</v>
      </c>
      <c r="C67" s="45" t="str">
        <f aca="false">'Stammdaten - Schwimmer'!C63</f>
        <v>Joana</v>
      </c>
      <c r="D67" s="30" t="n">
        <f aca="false">'Stammdaten - Schwimmer'!J63+'Stammdaten - Schwimmer'!N63+'Stammdaten - Schwimmer'!R63+'Stammdaten - Schwimmer'!V63+'Stammdaten - Schwimmer'!Z64</f>
        <v>11</v>
      </c>
      <c r="E67" s="46" t="n">
        <f aca="false">'Stammdaten - Schwimmer'!F63</f>
        <v>22</v>
      </c>
      <c r="H67" s="29" t="n">
        <f aca="false">IF('Stammdaten - Schwimmer'!D63&gt;DATE(2011,7,20),A67,)</f>
        <v>0</v>
      </c>
      <c r="I67" s="29" t="n">
        <f aca="false">IF('Stammdaten - Schwimmer'!$D63&gt;DATE(2011,7,20),B67,)</f>
        <v>0</v>
      </c>
      <c r="J67" s="29" t="n">
        <f aca="false">IF('Stammdaten - Schwimmer'!$D63&gt;DATE(2011,7,20),C67,)</f>
        <v>0</v>
      </c>
      <c r="K67" s="30" t="n">
        <f aca="false">IF('Stammdaten - Schwimmer'!$D63&gt;DATE(2011,7,20),D67,)</f>
        <v>0</v>
      </c>
      <c r="L67" s="29" t="n">
        <f aca="false">IF('Stammdaten - Schwimmer'!$D63&gt;DATE(2011,7,20),'Stammdaten - Schwimmer'!F63,)</f>
        <v>0</v>
      </c>
      <c r="M67" s="0" t="e">
        <f aca="false">_xlfn.RANK.EQ(L67,L$4:L$103,0)</f>
        <v>#REF!</v>
      </c>
      <c r="O67" s="29" t="n">
        <f aca="false">IF(AND('Stammdaten - Schwimmer'!$D63&lt;DATE(2011,7,20),'Stammdaten - Schwimmer'!$D63&gt;DATE(2007,7,19)),A67,)</f>
        <v>0</v>
      </c>
      <c r="P67" s="29" t="n">
        <f aca="false">IF(AND('Stammdaten - Schwimmer'!$D63&lt;DATE(2011,7,20),'Stammdaten - Schwimmer'!$D63&gt;DATE(2007,7,19)),B67,)</f>
        <v>0</v>
      </c>
      <c r="Q67" s="29" t="n">
        <f aca="false">IF(AND('Stammdaten - Schwimmer'!$D63&lt;DATE(2011,7,20),'Stammdaten - Schwimmer'!$D63&gt;DATE(2007,7,19)),C67,)</f>
        <v>0</v>
      </c>
      <c r="R67" s="30" t="n">
        <f aca="false">IF(AND('Stammdaten - Schwimmer'!$D63&lt;DATE(2011,7,20),'Stammdaten - Schwimmer'!$D63&gt;DATE(2007,7,19)),D67,)</f>
        <v>0</v>
      </c>
      <c r="S67" s="46" t="n">
        <f aca="false">IF(AND('Stammdaten - Schwimmer'!$D63&lt;DATE(2011,7,20),'Stammdaten - Schwimmer'!$D63&gt;DATE(2007,7,19)),'Stammdaten - Schwimmer'!F63,)</f>
        <v>0</v>
      </c>
      <c r="T67" s="0" t="e">
        <f aca="false">_xlfn.RANK.EQ(S67,S$4:S$103,0)</f>
        <v>#REF!</v>
      </c>
      <c r="V67" s="29" t="n">
        <f aca="false">IF('Stammdaten - Schwimmer'!$D63&lt;DATE(2007,7,20),A67,)</f>
        <v>61</v>
      </c>
      <c r="W67" s="29" t="str">
        <f aca="false">IF('Stammdaten - Schwimmer'!$D63&lt;DATE(2007,7,20),B67,)</f>
        <v>Göpel</v>
      </c>
      <c r="X67" s="29" t="str">
        <f aca="false">IF('Stammdaten - Schwimmer'!$D63&lt;DATE(2007,7,20),C67,)</f>
        <v>Joana</v>
      </c>
      <c r="Y67" s="30" t="n">
        <f aca="false">IF('Stammdaten - Schwimmer'!$D63&lt;DATE(2007,7,20),D67,)</f>
        <v>11</v>
      </c>
      <c r="Z67" s="46" t="n">
        <f aca="false">IF('Stammdaten - Schwimmer'!$D63&lt;DATE(2007,7,20),'Stammdaten - Schwimmer'!F63,)</f>
        <v>22</v>
      </c>
      <c r="AA67" s="0" t="e">
        <f aca="false">_xlfn.RANK.EQ(Z67,Z$4:Z$103,0)</f>
        <v>#REF!</v>
      </c>
    </row>
    <row r="68" customFormat="false" ht="15" hidden="false" customHeight="false" outlineLevel="0" collapsed="false">
      <c r="A68" s="44" t="n">
        <f aca="false">'Stammdaten - Schwimmer'!A64</f>
        <v>62</v>
      </c>
      <c r="B68" s="45" t="str">
        <f aca="false">'Stammdaten - Schwimmer'!B64</f>
        <v>Zhou</v>
      </c>
      <c r="C68" s="45" t="str">
        <f aca="false">'Stammdaten - Schwimmer'!C64</f>
        <v>Robin</v>
      </c>
      <c r="D68" s="30" t="n">
        <f aca="false">'Stammdaten - Schwimmer'!J64+'Stammdaten - Schwimmer'!N64+'Stammdaten - Schwimmer'!R64+'Stammdaten - Schwimmer'!V64+'Stammdaten - Schwimmer'!Z65</f>
        <v>120</v>
      </c>
      <c r="E68" s="46" t="n">
        <f aca="false">'Stammdaten - Schwimmer'!F64</f>
        <v>80</v>
      </c>
      <c r="H68" s="29" t="n">
        <f aca="false">IF('Stammdaten - Schwimmer'!D64&gt;DATE(2011,7,20),A68,)</f>
        <v>62</v>
      </c>
      <c r="I68" s="29" t="str">
        <f aca="false">IF('Stammdaten - Schwimmer'!$D64&gt;DATE(2011,7,20),B68,)</f>
        <v>Zhou</v>
      </c>
      <c r="J68" s="29" t="str">
        <f aca="false">IF('Stammdaten - Schwimmer'!$D64&gt;DATE(2011,7,20),C68,)</f>
        <v>Robin</v>
      </c>
      <c r="K68" s="30" t="n">
        <f aca="false">IF('Stammdaten - Schwimmer'!$D64&gt;DATE(2011,7,20),D68,)</f>
        <v>120</v>
      </c>
      <c r="L68" s="29" t="n">
        <f aca="false">IF('Stammdaten - Schwimmer'!$D64&gt;DATE(2011,7,20),'Stammdaten - Schwimmer'!F64,)</f>
        <v>80</v>
      </c>
      <c r="M68" s="0" t="e">
        <f aca="false">_xlfn.RANK.EQ(L68,L$4:L$103,0)</f>
        <v>#REF!</v>
      </c>
      <c r="O68" s="29" t="n">
        <f aca="false">IF(AND('Stammdaten - Schwimmer'!$D64&lt;DATE(2011,7,20),'Stammdaten - Schwimmer'!$D64&gt;DATE(2007,7,19)),A68,)</f>
        <v>0</v>
      </c>
      <c r="P68" s="29" t="n">
        <f aca="false">IF(AND('Stammdaten - Schwimmer'!$D64&lt;DATE(2011,7,20),'Stammdaten - Schwimmer'!$D64&gt;DATE(2007,7,19)),B68,)</f>
        <v>0</v>
      </c>
      <c r="Q68" s="29" t="n">
        <f aca="false">IF(AND('Stammdaten - Schwimmer'!$D64&lt;DATE(2011,7,20),'Stammdaten - Schwimmer'!$D64&gt;DATE(2007,7,19)),C68,)</f>
        <v>0</v>
      </c>
      <c r="R68" s="30" t="n">
        <f aca="false">IF(AND('Stammdaten - Schwimmer'!$D64&lt;DATE(2011,7,20),'Stammdaten - Schwimmer'!$D64&gt;DATE(2007,7,19)),D68,)</f>
        <v>0</v>
      </c>
      <c r="S68" s="46" t="n">
        <f aca="false">IF(AND('Stammdaten - Schwimmer'!$D64&lt;DATE(2011,7,20),'Stammdaten - Schwimmer'!$D64&gt;DATE(2007,7,19)),'Stammdaten - Schwimmer'!F64,)</f>
        <v>0</v>
      </c>
      <c r="T68" s="0" t="e">
        <f aca="false">_xlfn.RANK.EQ(S68,S$4:S$103,0)</f>
        <v>#REF!</v>
      </c>
      <c r="V68" s="29" t="n">
        <f aca="false">IF('Stammdaten - Schwimmer'!$D64&lt;DATE(2007,7,20),A68,)</f>
        <v>0</v>
      </c>
      <c r="W68" s="29" t="n">
        <f aca="false">IF('Stammdaten - Schwimmer'!$D64&lt;DATE(2007,7,20),B68,)</f>
        <v>0</v>
      </c>
      <c r="X68" s="29" t="n">
        <f aca="false">IF('Stammdaten - Schwimmer'!$D64&lt;DATE(2007,7,20),C68,)</f>
        <v>0</v>
      </c>
      <c r="Y68" s="30" t="n">
        <f aca="false">IF('Stammdaten - Schwimmer'!$D64&lt;DATE(2007,7,20),D68,)</f>
        <v>0</v>
      </c>
      <c r="Z68" s="46" t="n">
        <f aca="false">IF('Stammdaten - Schwimmer'!$D64&lt;DATE(2007,7,20),'Stammdaten - Schwimmer'!F64,)</f>
        <v>0</v>
      </c>
      <c r="AA68" s="0" t="e">
        <f aca="false">_xlfn.RANK.EQ(Z68,Z$4:Z$103,0)</f>
        <v>#REF!</v>
      </c>
    </row>
    <row r="69" customFormat="false" ht="15" hidden="false" customHeight="false" outlineLevel="0" collapsed="false">
      <c r="A69" s="44" t="n">
        <f aca="false">'Stammdaten - Schwimmer'!A65</f>
        <v>63</v>
      </c>
      <c r="B69" s="45" t="str">
        <f aca="false">'Stammdaten - Schwimmer'!B65</f>
        <v>Buuck</v>
      </c>
      <c r="C69" s="45" t="str">
        <f aca="false">'Stammdaten - Schwimmer'!C65</f>
        <v>Jan-Alexander</v>
      </c>
      <c r="D69" s="30" t="n">
        <f aca="false">'Stammdaten - Schwimmer'!J65+'Stammdaten - Schwimmer'!N65+'Stammdaten - Schwimmer'!R65+'Stammdaten - Schwimmer'!V65+'Stammdaten - Schwimmer'!Z66</f>
        <v>60</v>
      </c>
      <c r="E69" s="46" t="n">
        <f aca="false">'Stammdaten - Schwimmer'!F65</f>
        <v>40</v>
      </c>
      <c r="H69" s="29" t="n">
        <f aca="false">IF('Stammdaten - Schwimmer'!D65&gt;DATE(2011,7,20),A69,)</f>
        <v>63</v>
      </c>
      <c r="I69" s="29" t="str">
        <f aca="false">IF('Stammdaten - Schwimmer'!$D65&gt;DATE(2011,7,20),B69,)</f>
        <v>Buuck</v>
      </c>
      <c r="J69" s="29" t="str">
        <f aca="false">IF('Stammdaten - Schwimmer'!$D65&gt;DATE(2011,7,20),C69,)</f>
        <v>Jan-Alexander</v>
      </c>
      <c r="K69" s="30" t="n">
        <f aca="false">IF('Stammdaten - Schwimmer'!$D65&gt;DATE(2011,7,20),D69,)</f>
        <v>60</v>
      </c>
      <c r="L69" s="29" t="n">
        <f aca="false">IF('Stammdaten - Schwimmer'!$D65&gt;DATE(2011,7,20),'Stammdaten - Schwimmer'!F65,)</f>
        <v>40</v>
      </c>
      <c r="M69" s="0" t="e">
        <f aca="false">_xlfn.RANK.EQ(L69,L$4:L$103,0)</f>
        <v>#REF!</v>
      </c>
      <c r="O69" s="29" t="n">
        <f aca="false">IF(AND('Stammdaten - Schwimmer'!$D65&lt;DATE(2011,7,20),'Stammdaten - Schwimmer'!$D65&gt;DATE(2007,7,19)),A69,)</f>
        <v>0</v>
      </c>
      <c r="P69" s="29" t="n">
        <f aca="false">IF(AND('Stammdaten - Schwimmer'!$D65&lt;DATE(2011,7,20),'Stammdaten - Schwimmer'!$D65&gt;DATE(2007,7,19)),B69,)</f>
        <v>0</v>
      </c>
      <c r="Q69" s="29" t="n">
        <f aca="false">IF(AND('Stammdaten - Schwimmer'!$D65&lt;DATE(2011,7,20),'Stammdaten - Schwimmer'!$D65&gt;DATE(2007,7,19)),C69,)</f>
        <v>0</v>
      </c>
      <c r="R69" s="30" t="n">
        <f aca="false">IF(AND('Stammdaten - Schwimmer'!$D65&lt;DATE(2011,7,20),'Stammdaten - Schwimmer'!$D65&gt;DATE(2007,7,19)),D69,)</f>
        <v>0</v>
      </c>
      <c r="S69" s="46" t="n">
        <f aca="false">IF(AND('Stammdaten - Schwimmer'!$D65&lt;DATE(2011,7,20),'Stammdaten - Schwimmer'!$D65&gt;DATE(2007,7,19)),'Stammdaten - Schwimmer'!F65,)</f>
        <v>0</v>
      </c>
      <c r="T69" s="0" t="e">
        <f aca="false">_xlfn.RANK.EQ(S69,S$4:S$103,0)</f>
        <v>#REF!</v>
      </c>
      <c r="V69" s="29" t="n">
        <f aca="false">IF('Stammdaten - Schwimmer'!$D65&lt;DATE(2007,7,20),A69,)</f>
        <v>0</v>
      </c>
      <c r="W69" s="29" t="n">
        <f aca="false">IF('Stammdaten - Schwimmer'!$D65&lt;DATE(2007,7,20),B69,)</f>
        <v>0</v>
      </c>
      <c r="X69" s="29" t="n">
        <f aca="false">IF('Stammdaten - Schwimmer'!$D65&lt;DATE(2007,7,20),C69,)</f>
        <v>0</v>
      </c>
      <c r="Y69" s="30" t="n">
        <f aca="false">IF('Stammdaten - Schwimmer'!$D65&lt;DATE(2007,7,20),D69,)</f>
        <v>0</v>
      </c>
      <c r="Z69" s="46" t="n">
        <f aca="false">IF('Stammdaten - Schwimmer'!$D65&lt;DATE(2007,7,20),'Stammdaten - Schwimmer'!F65,)</f>
        <v>0</v>
      </c>
      <c r="AA69" s="0" t="e">
        <f aca="false">_xlfn.RANK.EQ(Z69,Z$4:Z$103,0)</f>
        <v>#REF!</v>
      </c>
    </row>
    <row r="70" customFormat="false" ht="15" hidden="false" customHeight="false" outlineLevel="0" collapsed="false">
      <c r="A70" s="44" t="n">
        <f aca="false">'Stammdaten - Schwimmer'!A66</f>
        <v>64</v>
      </c>
      <c r="B70" s="45" t="str">
        <f aca="false">'Stammdaten - Schwimmer'!B66</f>
        <v>Fritz</v>
      </c>
      <c r="C70" s="45" t="str">
        <f aca="false">'Stammdaten - Schwimmer'!C66</f>
        <v>Johannes</v>
      </c>
      <c r="D70" s="30" t="n">
        <f aca="false">'Stammdaten - Schwimmer'!J66+'Stammdaten - Schwimmer'!N66+'Stammdaten - Schwimmer'!R66+'Stammdaten - Schwimmer'!V66+'Stammdaten - Schwimmer'!Z67</f>
        <v>60</v>
      </c>
      <c r="E70" s="46" t="n">
        <f aca="false">'Stammdaten - Schwimmer'!F66</f>
        <v>40</v>
      </c>
      <c r="H70" s="29" t="n">
        <f aca="false">IF('Stammdaten - Schwimmer'!D66&gt;DATE(2011,7,20),A70,)</f>
        <v>0</v>
      </c>
      <c r="I70" s="29" t="n">
        <f aca="false">IF('Stammdaten - Schwimmer'!$D66&gt;DATE(2011,7,20),B70,)</f>
        <v>0</v>
      </c>
      <c r="J70" s="29" t="n">
        <f aca="false">IF('Stammdaten - Schwimmer'!$D66&gt;DATE(2011,7,20),C70,)</f>
        <v>0</v>
      </c>
      <c r="K70" s="30" t="n">
        <f aca="false">IF('Stammdaten - Schwimmer'!$D66&gt;DATE(2011,7,20),D70,)</f>
        <v>0</v>
      </c>
      <c r="L70" s="29" t="n">
        <f aca="false">IF('Stammdaten - Schwimmer'!$D66&gt;DATE(2011,7,20),'Stammdaten - Schwimmer'!F66,)</f>
        <v>0</v>
      </c>
      <c r="M70" s="0" t="e">
        <f aca="false">_xlfn.RANK.EQ(L70,L$4:L$103,0)</f>
        <v>#REF!</v>
      </c>
      <c r="O70" s="29" t="n">
        <f aca="false">IF(AND('Stammdaten - Schwimmer'!$D66&lt;DATE(2011,7,20),'Stammdaten - Schwimmer'!$D66&gt;DATE(2007,7,19)),A70,)</f>
        <v>0</v>
      </c>
      <c r="P70" s="29" t="n">
        <f aca="false">IF(AND('Stammdaten - Schwimmer'!$D66&lt;DATE(2011,7,20),'Stammdaten - Schwimmer'!$D66&gt;DATE(2007,7,19)),B70,)</f>
        <v>0</v>
      </c>
      <c r="Q70" s="29" t="n">
        <f aca="false">IF(AND('Stammdaten - Schwimmer'!$D66&lt;DATE(2011,7,20),'Stammdaten - Schwimmer'!$D66&gt;DATE(2007,7,19)),C70,)</f>
        <v>0</v>
      </c>
      <c r="R70" s="30" t="n">
        <f aca="false">IF(AND('Stammdaten - Schwimmer'!$D66&lt;DATE(2011,7,20),'Stammdaten - Schwimmer'!$D66&gt;DATE(2007,7,19)),D70,)</f>
        <v>0</v>
      </c>
      <c r="S70" s="46" t="n">
        <f aca="false">IF(AND('Stammdaten - Schwimmer'!$D66&lt;DATE(2011,7,20),'Stammdaten - Schwimmer'!$D66&gt;DATE(2007,7,19)),'Stammdaten - Schwimmer'!F66,)</f>
        <v>0</v>
      </c>
      <c r="T70" s="0" t="e">
        <f aca="false">_xlfn.RANK.EQ(S70,S$4:S$103,0)</f>
        <v>#REF!</v>
      </c>
      <c r="V70" s="29" t="n">
        <f aca="false">IF('Stammdaten - Schwimmer'!$D66&lt;DATE(2007,7,20),A70,)</f>
        <v>64</v>
      </c>
      <c r="W70" s="29" t="str">
        <f aca="false">IF('Stammdaten - Schwimmer'!$D66&lt;DATE(2007,7,20),B70,)</f>
        <v>Fritz</v>
      </c>
      <c r="X70" s="29" t="str">
        <f aca="false">IF('Stammdaten - Schwimmer'!$D66&lt;DATE(2007,7,20),C70,)</f>
        <v>Johannes</v>
      </c>
      <c r="Y70" s="30" t="n">
        <f aca="false">IF('Stammdaten - Schwimmer'!$D66&lt;DATE(2007,7,20),D70,)</f>
        <v>60</v>
      </c>
      <c r="Z70" s="46" t="n">
        <f aca="false">IF('Stammdaten - Schwimmer'!$D66&lt;DATE(2007,7,20),'Stammdaten - Schwimmer'!F66,)</f>
        <v>40</v>
      </c>
      <c r="AA70" s="0" t="e">
        <f aca="false">_xlfn.RANK.EQ(Z70,Z$4:Z$103,0)</f>
        <v>#REF!</v>
      </c>
    </row>
    <row r="71" customFormat="false" ht="15" hidden="false" customHeight="false" outlineLevel="0" collapsed="false">
      <c r="A71" s="44" t="n">
        <f aca="false">'Stammdaten - Schwimmer'!A67</f>
        <v>65</v>
      </c>
      <c r="B71" s="45" t="str">
        <f aca="false">'Stammdaten - Schwimmer'!B67</f>
        <v>Franz</v>
      </c>
      <c r="C71" s="45" t="str">
        <f aca="false">'Stammdaten - Schwimmer'!C67</f>
        <v>Franziska</v>
      </c>
      <c r="D71" s="30" t="n">
        <f aca="false">'Stammdaten - Schwimmer'!J67+'Stammdaten - Schwimmer'!N67+'Stammdaten - Schwimmer'!R67+'Stammdaten - Schwimmer'!V67+'Stammdaten - Schwimmer'!Z68</f>
        <v>39</v>
      </c>
      <c r="E71" s="46" t="n">
        <f aca="false">'Stammdaten - Schwimmer'!F67</f>
        <v>26</v>
      </c>
      <c r="H71" s="29" t="n">
        <f aca="false">IF('Stammdaten - Schwimmer'!D67&gt;DATE(2011,7,20),A71,)</f>
        <v>0</v>
      </c>
      <c r="I71" s="29" t="n">
        <f aca="false">IF('Stammdaten - Schwimmer'!$D67&gt;DATE(2011,7,20),B71,)</f>
        <v>0</v>
      </c>
      <c r="J71" s="29" t="n">
        <f aca="false">IF('Stammdaten - Schwimmer'!$D67&gt;DATE(2011,7,20),C71,)</f>
        <v>0</v>
      </c>
      <c r="K71" s="30" t="n">
        <f aca="false">IF('Stammdaten - Schwimmer'!$D67&gt;DATE(2011,7,20),D71,)</f>
        <v>0</v>
      </c>
      <c r="L71" s="29" t="n">
        <f aca="false">IF('Stammdaten - Schwimmer'!$D67&gt;DATE(2011,7,20),'Stammdaten - Schwimmer'!F67,)</f>
        <v>0</v>
      </c>
      <c r="M71" s="0" t="e">
        <f aca="false">_xlfn.RANK.EQ(L71,L$4:L$103,0)</f>
        <v>#REF!</v>
      </c>
      <c r="O71" s="29" t="n">
        <f aca="false">IF(AND('Stammdaten - Schwimmer'!$D67&lt;DATE(2011,7,20),'Stammdaten - Schwimmer'!$D67&gt;DATE(2007,7,19)),A71,)</f>
        <v>0</v>
      </c>
      <c r="P71" s="29" t="n">
        <f aca="false">IF(AND('Stammdaten - Schwimmer'!$D67&lt;DATE(2011,7,20),'Stammdaten - Schwimmer'!$D67&gt;DATE(2007,7,19)),B71,)</f>
        <v>0</v>
      </c>
      <c r="Q71" s="29" t="n">
        <f aca="false">IF(AND('Stammdaten - Schwimmer'!$D67&lt;DATE(2011,7,20),'Stammdaten - Schwimmer'!$D67&gt;DATE(2007,7,19)),C71,)</f>
        <v>0</v>
      </c>
      <c r="R71" s="30" t="n">
        <f aca="false">IF(AND('Stammdaten - Schwimmer'!$D67&lt;DATE(2011,7,20),'Stammdaten - Schwimmer'!$D67&gt;DATE(2007,7,19)),D71,)</f>
        <v>0</v>
      </c>
      <c r="S71" s="46" t="n">
        <f aca="false">IF(AND('Stammdaten - Schwimmer'!$D67&lt;DATE(2011,7,20),'Stammdaten - Schwimmer'!$D67&gt;DATE(2007,7,19)),'Stammdaten - Schwimmer'!F67,)</f>
        <v>0</v>
      </c>
      <c r="T71" s="0" t="e">
        <f aca="false">_xlfn.RANK.EQ(S71,S$4:S$103,0)</f>
        <v>#REF!</v>
      </c>
      <c r="V71" s="29" t="n">
        <f aca="false">IF('Stammdaten - Schwimmer'!$D67&lt;DATE(2007,7,20),A71,)</f>
        <v>65</v>
      </c>
      <c r="W71" s="29" t="str">
        <f aca="false">IF('Stammdaten - Schwimmer'!$D67&lt;DATE(2007,7,20),B71,)</f>
        <v>Franz</v>
      </c>
      <c r="X71" s="29" t="str">
        <f aca="false">IF('Stammdaten - Schwimmer'!$D67&lt;DATE(2007,7,20),C71,)</f>
        <v>Franziska</v>
      </c>
      <c r="Y71" s="30" t="n">
        <f aca="false">IF('Stammdaten - Schwimmer'!$D67&lt;DATE(2007,7,20),D71,)</f>
        <v>39</v>
      </c>
      <c r="Z71" s="46" t="n">
        <f aca="false">IF('Stammdaten - Schwimmer'!$D67&lt;DATE(2007,7,20),'Stammdaten - Schwimmer'!F67,)</f>
        <v>26</v>
      </c>
      <c r="AA71" s="0" t="e">
        <f aca="false">_xlfn.RANK.EQ(Z71,Z$4:Z$103,0)</f>
        <v>#REF!</v>
      </c>
    </row>
    <row r="72" customFormat="false" ht="15" hidden="false" customHeight="false" outlineLevel="0" collapsed="false">
      <c r="A72" s="44" t="n">
        <f aca="false">'Stammdaten - Schwimmer'!A68</f>
        <v>66</v>
      </c>
      <c r="B72" s="45" t="str">
        <f aca="false">'Stammdaten - Schwimmer'!B68</f>
        <v>Bronner</v>
      </c>
      <c r="C72" s="45" t="str">
        <f aca="false">'Stammdaten - Schwimmer'!C68</f>
        <v>Myrian</v>
      </c>
      <c r="D72" s="30" t="n">
        <f aca="false">'Stammdaten - Schwimmer'!J68+'Stammdaten - Schwimmer'!N68+'Stammdaten - Schwimmer'!R68+'Stammdaten - Schwimmer'!V68+'Stammdaten - Schwimmer'!Z69</f>
        <v>18</v>
      </c>
      <c r="E72" s="46" t="n">
        <f aca="false">'Stammdaten - Schwimmer'!F68</f>
        <v>36</v>
      </c>
      <c r="H72" s="29" t="n">
        <f aca="false">IF('Stammdaten - Schwimmer'!D68&gt;DATE(2011,7,20),A72,)</f>
        <v>0</v>
      </c>
      <c r="I72" s="29" t="n">
        <f aca="false">IF('Stammdaten - Schwimmer'!$D68&gt;DATE(2011,7,20),B72,)</f>
        <v>0</v>
      </c>
      <c r="J72" s="29" t="n">
        <f aca="false">IF('Stammdaten - Schwimmer'!$D68&gt;DATE(2011,7,20),C72,)</f>
        <v>0</v>
      </c>
      <c r="K72" s="30" t="n">
        <f aca="false">IF('Stammdaten - Schwimmer'!$D68&gt;DATE(2011,7,20),D72,)</f>
        <v>0</v>
      </c>
      <c r="L72" s="29" t="n">
        <f aca="false">IF('Stammdaten - Schwimmer'!$D68&gt;DATE(2011,7,20),'Stammdaten - Schwimmer'!F68,)</f>
        <v>0</v>
      </c>
      <c r="M72" s="0" t="e">
        <f aca="false">_xlfn.RANK.EQ(L72,L$4:L$103,0)</f>
        <v>#REF!</v>
      </c>
      <c r="O72" s="29" t="n">
        <f aca="false">IF(AND('Stammdaten - Schwimmer'!$D68&lt;DATE(2011,7,20),'Stammdaten - Schwimmer'!$D68&gt;DATE(2007,7,19)),A72,)</f>
        <v>0</v>
      </c>
      <c r="P72" s="29" t="n">
        <f aca="false">IF(AND('Stammdaten - Schwimmer'!$D68&lt;DATE(2011,7,20),'Stammdaten - Schwimmer'!$D68&gt;DATE(2007,7,19)),B72,)</f>
        <v>0</v>
      </c>
      <c r="Q72" s="29" t="n">
        <f aca="false">IF(AND('Stammdaten - Schwimmer'!$D68&lt;DATE(2011,7,20),'Stammdaten - Schwimmer'!$D68&gt;DATE(2007,7,19)),C72,)</f>
        <v>0</v>
      </c>
      <c r="R72" s="30" t="n">
        <f aca="false">IF(AND('Stammdaten - Schwimmer'!$D68&lt;DATE(2011,7,20),'Stammdaten - Schwimmer'!$D68&gt;DATE(2007,7,19)),D72,)</f>
        <v>0</v>
      </c>
      <c r="S72" s="46" t="n">
        <f aca="false">IF(AND('Stammdaten - Schwimmer'!$D68&lt;DATE(2011,7,20),'Stammdaten - Schwimmer'!$D68&gt;DATE(2007,7,19)),'Stammdaten - Schwimmer'!F68,)</f>
        <v>0</v>
      </c>
      <c r="T72" s="0" t="e">
        <f aca="false">_xlfn.RANK.EQ(S72,S$4:S$103,0)</f>
        <v>#REF!</v>
      </c>
      <c r="V72" s="29" t="n">
        <f aca="false">IF('Stammdaten - Schwimmer'!$D68&lt;DATE(2007,7,20),A72,)</f>
        <v>66</v>
      </c>
      <c r="W72" s="29" t="str">
        <f aca="false">IF('Stammdaten - Schwimmer'!$D68&lt;DATE(2007,7,20),B72,)</f>
        <v>Bronner</v>
      </c>
      <c r="X72" s="29" t="str">
        <f aca="false">IF('Stammdaten - Schwimmer'!$D68&lt;DATE(2007,7,20),C72,)</f>
        <v>Myrian</v>
      </c>
      <c r="Y72" s="30" t="n">
        <f aca="false">IF('Stammdaten - Schwimmer'!$D68&lt;DATE(2007,7,20),D72,)</f>
        <v>18</v>
      </c>
      <c r="Z72" s="46" t="n">
        <f aca="false">IF('Stammdaten - Schwimmer'!$D68&lt;DATE(2007,7,20),'Stammdaten - Schwimmer'!F68,)</f>
        <v>36</v>
      </c>
      <c r="AA72" s="0" t="e">
        <f aca="false">_xlfn.RANK.EQ(Z72,Z$4:Z$103,0)</f>
        <v>#REF!</v>
      </c>
    </row>
    <row r="73" customFormat="false" ht="15" hidden="false" customHeight="false" outlineLevel="0" collapsed="false">
      <c r="A73" s="44" t="n">
        <f aca="false">'Stammdaten - Schwimmer'!A69</f>
        <v>67</v>
      </c>
      <c r="B73" s="45" t="str">
        <f aca="false">'Stammdaten - Schwimmer'!B69</f>
        <v>Siebert-Rieger</v>
      </c>
      <c r="C73" s="45" t="str">
        <f aca="false">'Stammdaten - Schwimmer'!C69</f>
        <v>Annegret</v>
      </c>
      <c r="D73" s="30" t="n">
        <f aca="false">'Stammdaten - Schwimmer'!J69+'Stammdaten - Schwimmer'!N69+'Stammdaten - Schwimmer'!R69+'Stammdaten - Schwimmer'!V69+'Stammdaten - Schwimmer'!Z70</f>
        <v>0</v>
      </c>
      <c r="E73" s="46" t="n">
        <f aca="false">'Stammdaten - Schwimmer'!F69</f>
        <v>20</v>
      </c>
      <c r="H73" s="29" t="n">
        <f aca="false">IF('Stammdaten - Schwimmer'!D69&gt;DATE(2011,7,20),A73,)</f>
        <v>0</v>
      </c>
      <c r="I73" s="29" t="n">
        <f aca="false">IF('Stammdaten - Schwimmer'!$D69&gt;DATE(2011,7,20),B73,)</f>
        <v>0</v>
      </c>
      <c r="J73" s="29" t="n">
        <f aca="false">IF('Stammdaten - Schwimmer'!$D69&gt;DATE(2011,7,20),C73,)</f>
        <v>0</v>
      </c>
      <c r="K73" s="30" t="n">
        <f aca="false">IF('Stammdaten - Schwimmer'!$D69&gt;DATE(2011,7,20),D73,)</f>
        <v>0</v>
      </c>
      <c r="L73" s="29" t="n">
        <f aca="false">IF('Stammdaten - Schwimmer'!$D69&gt;DATE(2011,7,20),'Stammdaten - Schwimmer'!F69,)</f>
        <v>0</v>
      </c>
      <c r="M73" s="0" t="e">
        <f aca="false">_xlfn.RANK.EQ(L73,L$4:L$103,0)</f>
        <v>#REF!</v>
      </c>
      <c r="O73" s="29" t="n">
        <f aca="false">IF(AND('Stammdaten - Schwimmer'!$D69&lt;DATE(2011,7,20),'Stammdaten - Schwimmer'!$D69&gt;DATE(2007,7,19)),A73,)</f>
        <v>0</v>
      </c>
      <c r="P73" s="29" t="n">
        <f aca="false">IF(AND('Stammdaten - Schwimmer'!$D69&lt;DATE(2011,7,20),'Stammdaten - Schwimmer'!$D69&gt;DATE(2007,7,19)),B73,)</f>
        <v>0</v>
      </c>
      <c r="Q73" s="29" t="n">
        <f aca="false">IF(AND('Stammdaten - Schwimmer'!$D69&lt;DATE(2011,7,20),'Stammdaten - Schwimmer'!$D69&gt;DATE(2007,7,19)),C73,)</f>
        <v>0</v>
      </c>
      <c r="R73" s="30" t="n">
        <f aca="false">IF(AND('Stammdaten - Schwimmer'!$D69&lt;DATE(2011,7,20),'Stammdaten - Schwimmer'!$D69&gt;DATE(2007,7,19)),D73,)</f>
        <v>0</v>
      </c>
      <c r="S73" s="46" t="n">
        <f aca="false">IF(AND('Stammdaten - Schwimmer'!$D69&lt;DATE(2011,7,20),'Stammdaten - Schwimmer'!$D69&gt;DATE(2007,7,19)),'Stammdaten - Schwimmer'!F69,)</f>
        <v>0</v>
      </c>
      <c r="T73" s="0" t="e">
        <f aca="false">_xlfn.RANK.EQ(S73,S$4:S$103,0)</f>
        <v>#REF!</v>
      </c>
      <c r="V73" s="29" t="n">
        <f aca="false">IF('Stammdaten - Schwimmer'!$D69&lt;DATE(2007,7,20),A73,)</f>
        <v>67</v>
      </c>
      <c r="W73" s="29" t="str">
        <f aca="false">IF('Stammdaten - Schwimmer'!$D69&lt;DATE(2007,7,20),B73,)</f>
        <v>Siebert-Rieger</v>
      </c>
      <c r="X73" s="29" t="str">
        <f aca="false">IF('Stammdaten - Schwimmer'!$D69&lt;DATE(2007,7,20),C73,)</f>
        <v>Annegret</v>
      </c>
      <c r="Y73" s="30" t="n">
        <f aca="false">IF('Stammdaten - Schwimmer'!$D69&lt;DATE(2007,7,20),D73,)</f>
        <v>0</v>
      </c>
      <c r="Z73" s="46" t="n">
        <f aca="false">IF('Stammdaten - Schwimmer'!$D69&lt;DATE(2007,7,20),'Stammdaten - Schwimmer'!F69,)</f>
        <v>20</v>
      </c>
      <c r="AA73" s="0" t="e">
        <f aca="false">_xlfn.RANK.EQ(Z73,Z$4:Z$103,0)</f>
        <v>#REF!</v>
      </c>
    </row>
    <row r="74" customFormat="false" ht="15" hidden="false" customHeight="false" outlineLevel="0" collapsed="false">
      <c r="A74" s="44" t="n">
        <f aca="false">'Stammdaten - Schwimmer'!A70</f>
        <v>68</v>
      </c>
      <c r="B74" s="45" t="str">
        <f aca="false">'Stammdaten - Schwimmer'!B70</f>
        <v>Michaelis</v>
      </c>
      <c r="C74" s="45" t="str">
        <f aca="false">'Stammdaten - Schwimmer'!C70</f>
        <v>Jochen</v>
      </c>
      <c r="D74" s="30" t="n">
        <f aca="false">'Stammdaten - Schwimmer'!J70+'Stammdaten - Schwimmer'!N70+'Stammdaten - Schwimmer'!R70+'Stammdaten - Schwimmer'!V70+'Stammdaten - Schwimmer'!Z71</f>
        <v>0</v>
      </c>
      <c r="E74" s="46" t="n">
        <f aca="false">'Stammdaten - Schwimmer'!F70</f>
        <v>30</v>
      </c>
      <c r="H74" s="29" t="n">
        <f aca="false">IF('Stammdaten - Schwimmer'!D70&gt;DATE(2011,7,20),A74,)</f>
        <v>0</v>
      </c>
      <c r="I74" s="29" t="n">
        <f aca="false">IF('Stammdaten - Schwimmer'!$D70&gt;DATE(2011,7,20),B74,)</f>
        <v>0</v>
      </c>
      <c r="J74" s="29" t="n">
        <f aca="false">IF('Stammdaten - Schwimmer'!$D70&gt;DATE(2011,7,20),C74,)</f>
        <v>0</v>
      </c>
      <c r="K74" s="30" t="n">
        <f aca="false">IF('Stammdaten - Schwimmer'!$D70&gt;DATE(2011,7,20),D74,)</f>
        <v>0</v>
      </c>
      <c r="L74" s="29" t="n">
        <f aca="false">IF('Stammdaten - Schwimmer'!$D70&gt;DATE(2011,7,20),'Stammdaten - Schwimmer'!F70,)</f>
        <v>0</v>
      </c>
      <c r="M74" s="0" t="e">
        <f aca="false">_xlfn.RANK.EQ(L74,L$4:L$103,0)</f>
        <v>#REF!</v>
      </c>
      <c r="O74" s="29" t="n">
        <f aca="false">IF(AND('Stammdaten - Schwimmer'!$D70&lt;DATE(2011,7,20),'Stammdaten - Schwimmer'!$D70&gt;DATE(2007,7,19)),A74,)</f>
        <v>0</v>
      </c>
      <c r="P74" s="29" t="n">
        <f aca="false">IF(AND('Stammdaten - Schwimmer'!$D70&lt;DATE(2011,7,20),'Stammdaten - Schwimmer'!$D70&gt;DATE(2007,7,19)),B74,)</f>
        <v>0</v>
      </c>
      <c r="Q74" s="29" t="n">
        <f aca="false">IF(AND('Stammdaten - Schwimmer'!$D70&lt;DATE(2011,7,20),'Stammdaten - Schwimmer'!$D70&gt;DATE(2007,7,19)),C74,)</f>
        <v>0</v>
      </c>
      <c r="R74" s="30" t="n">
        <f aca="false">IF(AND('Stammdaten - Schwimmer'!$D70&lt;DATE(2011,7,20),'Stammdaten - Schwimmer'!$D70&gt;DATE(2007,7,19)),D74,)</f>
        <v>0</v>
      </c>
      <c r="S74" s="46" t="n">
        <f aca="false">IF(AND('Stammdaten - Schwimmer'!$D70&lt;DATE(2011,7,20),'Stammdaten - Schwimmer'!$D70&gt;DATE(2007,7,19)),'Stammdaten - Schwimmer'!F70,)</f>
        <v>0</v>
      </c>
      <c r="T74" s="0" t="e">
        <f aca="false">_xlfn.RANK.EQ(S74,S$4:S$103,0)</f>
        <v>#REF!</v>
      </c>
      <c r="V74" s="29" t="n">
        <f aca="false">IF('Stammdaten - Schwimmer'!$D70&lt;DATE(2007,7,20),A74,)</f>
        <v>68</v>
      </c>
      <c r="W74" s="29" t="str">
        <f aca="false">IF('Stammdaten - Schwimmer'!$D70&lt;DATE(2007,7,20),B74,)</f>
        <v>Michaelis</v>
      </c>
      <c r="X74" s="29" t="str">
        <f aca="false">IF('Stammdaten - Schwimmer'!$D70&lt;DATE(2007,7,20),C74,)</f>
        <v>Jochen</v>
      </c>
      <c r="Y74" s="30" t="n">
        <f aca="false">IF('Stammdaten - Schwimmer'!$D70&lt;DATE(2007,7,20),D74,)</f>
        <v>0</v>
      </c>
      <c r="Z74" s="46" t="n">
        <f aca="false">IF('Stammdaten - Schwimmer'!$D70&lt;DATE(2007,7,20),'Stammdaten - Schwimmer'!F70,)</f>
        <v>30</v>
      </c>
      <c r="AA74" s="0" t="e">
        <f aca="false">_xlfn.RANK.EQ(Z74,Z$4:Z$103,0)</f>
        <v>#REF!</v>
      </c>
    </row>
    <row r="75" customFormat="false" ht="15" hidden="false" customHeight="false" outlineLevel="0" collapsed="false">
      <c r="A75" s="44" t="n">
        <f aca="false">'Stammdaten - Schwimmer'!A71</f>
        <v>69</v>
      </c>
      <c r="B75" s="45" t="str">
        <f aca="false">'Stammdaten - Schwimmer'!B71</f>
        <v>Müller</v>
      </c>
      <c r="C75" s="45" t="str">
        <f aca="false">'Stammdaten - Schwimmer'!C71</f>
        <v>Nick</v>
      </c>
      <c r="D75" s="30" t="n">
        <f aca="false">'Stammdaten - Schwimmer'!J71+'Stammdaten - Schwimmer'!N71+'Stammdaten - Schwimmer'!R71+'Stammdaten - Schwimmer'!V71+'Stammdaten - Schwimmer'!Z72</f>
        <v>0</v>
      </c>
      <c r="E75" s="46" t="n">
        <f aca="false">'Stammdaten - Schwimmer'!F71</f>
        <v>30</v>
      </c>
      <c r="H75" s="29" t="n">
        <f aca="false">IF('Stammdaten - Schwimmer'!D71&gt;DATE(2011,7,20),A75,)</f>
        <v>0</v>
      </c>
      <c r="I75" s="29" t="n">
        <f aca="false">IF('Stammdaten - Schwimmer'!$D71&gt;DATE(2011,7,20),B75,)</f>
        <v>0</v>
      </c>
      <c r="J75" s="29" t="n">
        <f aca="false">IF('Stammdaten - Schwimmer'!$D71&gt;DATE(2011,7,20),C75,)</f>
        <v>0</v>
      </c>
      <c r="K75" s="30" t="n">
        <f aca="false">IF('Stammdaten - Schwimmer'!$D71&gt;DATE(2011,7,20),D75,)</f>
        <v>0</v>
      </c>
      <c r="L75" s="29" t="n">
        <f aca="false">IF('Stammdaten - Schwimmer'!$D71&gt;DATE(2011,7,20),'Stammdaten - Schwimmer'!F71,)</f>
        <v>0</v>
      </c>
      <c r="M75" s="0" t="e">
        <f aca="false">_xlfn.RANK.EQ(L75,L$4:L$103,0)</f>
        <v>#REF!</v>
      </c>
      <c r="O75" s="29" t="n">
        <f aca="false">IF(AND('Stammdaten - Schwimmer'!$D71&lt;DATE(2011,7,20),'Stammdaten - Schwimmer'!$D71&gt;DATE(2007,7,19)),A75,)</f>
        <v>0</v>
      </c>
      <c r="P75" s="29" t="n">
        <f aca="false">IF(AND('Stammdaten - Schwimmer'!$D71&lt;DATE(2011,7,20),'Stammdaten - Schwimmer'!$D71&gt;DATE(2007,7,19)),B75,)</f>
        <v>0</v>
      </c>
      <c r="Q75" s="29" t="n">
        <f aca="false">IF(AND('Stammdaten - Schwimmer'!$D71&lt;DATE(2011,7,20),'Stammdaten - Schwimmer'!$D71&gt;DATE(2007,7,19)),C75,)</f>
        <v>0</v>
      </c>
      <c r="R75" s="30" t="n">
        <f aca="false">IF(AND('Stammdaten - Schwimmer'!$D71&lt;DATE(2011,7,20),'Stammdaten - Schwimmer'!$D71&gt;DATE(2007,7,19)),D75,)</f>
        <v>0</v>
      </c>
      <c r="S75" s="46" t="n">
        <f aca="false">IF(AND('Stammdaten - Schwimmer'!$D71&lt;DATE(2011,7,20),'Stammdaten - Schwimmer'!$D71&gt;DATE(2007,7,19)),'Stammdaten - Schwimmer'!F71,)</f>
        <v>0</v>
      </c>
      <c r="T75" s="0" t="e">
        <f aca="false">_xlfn.RANK.EQ(S75,S$4:S$103,0)</f>
        <v>#REF!</v>
      </c>
      <c r="V75" s="29" t="n">
        <f aca="false">IF('Stammdaten - Schwimmer'!$D71&lt;DATE(2007,7,20),A75,)</f>
        <v>69</v>
      </c>
      <c r="W75" s="29" t="str">
        <f aca="false">IF('Stammdaten - Schwimmer'!$D71&lt;DATE(2007,7,20),B75,)</f>
        <v>Müller</v>
      </c>
      <c r="X75" s="29" t="str">
        <f aca="false">IF('Stammdaten - Schwimmer'!$D71&lt;DATE(2007,7,20),C75,)</f>
        <v>Nick</v>
      </c>
      <c r="Y75" s="30" t="n">
        <f aca="false">IF('Stammdaten - Schwimmer'!$D71&lt;DATE(2007,7,20),D75,)</f>
        <v>0</v>
      </c>
      <c r="Z75" s="46" t="n">
        <f aca="false">IF('Stammdaten - Schwimmer'!$D71&lt;DATE(2007,7,20),'Stammdaten - Schwimmer'!F71,)</f>
        <v>30</v>
      </c>
      <c r="AA75" s="0" t="e">
        <f aca="false">_xlfn.RANK.EQ(Z75,Z$4:Z$103,0)</f>
        <v>#REF!</v>
      </c>
    </row>
    <row r="76" customFormat="false" ht="15" hidden="false" customHeight="false" outlineLevel="0" collapsed="false">
      <c r="A76" s="44" t="n">
        <f aca="false">'Stammdaten - Schwimmer'!A72</f>
        <v>70</v>
      </c>
      <c r="B76" s="45" t="n">
        <f aca="false">'Stammdaten - Schwimmer'!C72</f>
        <v>0</v>
      </c>
      <c r="C76" s="45" t="e">
        <f aca="false">'stammdaten - schwimmer'!#ref!</f>
        <v>#VALUE!</v>
      </c>
      <c r="D76" s="30" t="n">
        <f aca="false">'Stammdaten - Schwimmer'!J72+'Stammdaten - Schwimmer'!N72+'Stammdaten - Schwimmer'!R72+'Stammdaten - Schwimmer'!V72+'Stammdaten - Schwimmer'!Z73</f>
        <v>3429</v>
      </c>
      <c r="E76" s="46" t="n">
        <f aca="false">'Stammdaten - Schwimmer'!F72</f>
        <v>3116</v>
      </c>
      <c r="H76" s="29" t="n">
        <f aca="false">IF('Stammdaten - Schwimmer'!D72&gt;DATE(2011,7,20),A76,)</f>
        <v>0</v>
      </c>
      <c r="I76" s="29" t="n">
        <f aca="false">IF('Stammdaten - Schwimmer'!$D72&gt;DATE(2011,7,20),B76,)</f>
        <v>0</v>
      </c>
      <c r="J76" s="29" t="n">
        <f aca="false">IF('Stammdaten - Schwimmer'!$D72&gt;DATE(2011,7,20),C76,)</f>
        <v>0</v>
      </c>
      <c r="K76" s="30" t="n">
        <f aca="false">IF('Stammdaten - Schwimmer'!$D72&gt;DATE(2011,7,20),D76,)</f>
        <v>0</v>
      </c>
      <c r="L76" s="29" t="n">
        <f aca="false">IF('Stammdaten - Schwimmer'!$D72&gt;DATE(2011,7,20),'Stammdaten - Schwimmer'!F72,)</f>
        <v>0</v>
      </c>
      <c r="M76" s="0" t="e">
        <f aca="false">_xlfn.RANK.EQ(L76,L$4:L$103,0)</f>
        <v>#REF!</v>
      </c>
      <c r="O76" s="29" t="n">
        <f aca="false">IF(AND('Stammdaten - Schwimmer'!$D72&lt;DATE(2011,7,20),'Stammdaten - Schwimmer'!$D72&gt;DATE(2007,7,19)),A76,)</f>
        <v>0</v>
      </c>
      <c r="P76" s="29" t="n">
        <f aca="false">IF(AND('Stammdaten - Schwimmer'!$D72&lt;DATE(2011,7,20),'Stammdaten - Schwimmer'!$D72&gt;DATE(2007,7,19)),B76,)</f>
        <v>0</v>
      </c>
      <c r="Q76" s="29" t="n">
        <f aca="false">IF(AND('Stammdaten - Schwimmer'!$D72&lt;DATE(2011,7,20),'Stammdaten - Schwimmer'!$D72&gt;DATE(2007,7,19)),C76,)</f>
        <v>0</v>
      </c>
      <c r="R76" s="30" t="n">
        <f aca="false">IF(AND('Stammdaten - Schwimmer'!$D72&lt;DATE(2011,7,20),'Stammdaten - Schwimmer'!$D72&gt;DATE(2007,7,19)),D76,)</f>
        <v>0</v>
      </c>
      <c r="S76" s="46" t="n">
        <f aca="false">IF(AND('Stammdaten - Schwimmer'!$D72&lt;DATE(2011,7,20),'Stammdaten - Schwimmer'!$D72&gt;DATE(2007,7,19)),'Stammdaten - Schwimmer'!F72,)</f>
        <v>0</v>
      </c>
      <c r="T76" s="0" t="e">
        <f aca="false">_xlfn.RANK.EQ(S76,S$4:S$103,0)</f>
        <v>#REF!</v>
      </c>
      <c r="V76" s="29" t="n">
        <f aca="false">IF('Stammdaten - Schwimmer'!$D72&lt;DATE(2007,7,20),A76,)</f>
        <v>70</v>
      </c>
      <c r="W76" s="29" t="n">
        <f aca="false">IF('Stammdaten - Schwimmer'!$D72&lt;DATE(2007,7,20),B76,)</f>
        <v>0</v>
      </c>
      <c r="X76" s="29" t="e">
        <f aca="false">IF('Stammdaten - Schwimmer'!$D72&lt;DATE(2007,7,20),C76,)</f>
        <v>#VALUE!</v>
      </c>
      <c r="Y76" s="30" t="n">
        <f aca="false">IF('Stammdaten - Schwimmer'!$D72&lt;DATE(2007,7,20),D76,)</f>
        <v>3429</v>
      </c>
      <c r="Z76" s="46" t="n">
        <f aca="false">IF('Stammdaten - Schwimmer'!$D72&lt;DATE(2007,7,20),'Stammdaten - Schwimmer'!F72,)</f>
        <v>3116</v>
      </c>
      <c r="AA76" s="0" t="e">
        <f aca="false">_xlfn.RANK.EQ(Z76,Z$4:Z$103,0)</f>
        <v>#REF!</v>
      </c>
    </row>
    <row r="77" customFormat="false" ht="15" hidden="false" customHeight="false" outlineLevel="0" collapsed="false">
      <c r="A77" s="44" t="n">
        <f aca="false">'Stammdaten - Schwimmer'!A73</f>
        <v>71</v>
      </c>
      <c r="B77" s="45" t="n">
        <f aca="false">'Stammdaten - Schwimmer'!B73</f>
        <v>0</v>
      </c>
      <c r="C77" s="45" t="n">
        <f aca="false">'Stammdaten - Schwimmer'!C73</f>
        <v>0</v>
      </c>
      <c r="D77" s="30" t="n">
        <f aca="false">'Stammdaten - Schwimmer'!J73+'Stammdaten - Schwimmer'!N73+'Stammdaten - Schwimmer'!R73+'Stammdaten - Schwimmer'!V73+'Stammdaten - Schwimmer'!Z74</f>
        <v>0</v>
      </c>
      <c r="E77" s="46" t="n">
        <f aca="false">'Stammdaten - Schwimmer'!F73</f>
        <v>0</v>
      </c>
      <c r="H77" s="29" t="n">
        <f aca="false">IF('Stammdaten - Schwimmer'!D73&gt;DATE(2011,7,20),A77,)</f>
        <v>0</v>
      </c>
      <c r="I77" s="29" t="n">
        <f aca="false">IF('Stammdaten - Schwimmer'!$D73&gt;DATE(2011,7,20),B77,)</f>
        <v>0</v>
      </c>
      <c r="J77" s="29" t="n">
        <f aca="false">IF('Stammdaten - Schwimmer'!$D73&gt;DATE(2011,7,20),C77,)</f>
        <v>0</v>
      </c>
      <c r="K77" s="30" t="n">
        <f aca="false">IF('Stammdaten - Schwimmer'!$D73&gt;DATE(2011,7,20),D77,)</f>
        <v>0</v>
      </c>
      <c r="L77" s="29" t="n">
        <f aca="false">IF('Stammdaten - Schwimmer'!$D73&gt;DATE(2011,7,20),'Stammdaten - Schwimmer'!F73,)</f>
        <v>0</v>
      </c>
      <c r="M77" s="0" t="e">
        <f aca="false">_xlfn.RANK.EQ(L77,L$4:L$103,0)</f>
        <v>#REF!</v>
      </c>
      <c r="O77" s="29" t="n">
        <f aca="false">IF(AND('Stammdaten - Schwimmer'!$D73&lt;DATE(2011,7,20),'Stammdaten - Schwimmer'!$D73&gt;DATE(2007,7,19)),A77,)</f>
        <v>0</v>
      </c>
      <c r="P77" s="29" t="n">
        <f aca="false">IF(AND('Stammdaten - Schwimmer'!$D73&lt;DATE(2011,7,20),'Stammdaten - Schwimmer'!$D73&gt;DATE(2007,7,19)),B77,)</f>
        <v>0</v>
      </c>
      <c r="Q77" s="29" t="n">
        <f aca="false">IF(AND('Stammdaten - Schwimmer'!$D73&lt;DATE(2011,7,20),'Stammdaten - Schwimmer'!$D73&gt;DATE(2007,7,19)),C77,)</f>
        <v>0</v>
      </c>
      <c r="R77" s="30" t="n">
        <f aca="false">IF(AND('Stammdaten - Schwimmer'!$D73&lt;DATE(2011,7,20),'Stammdaten - Schwimmer'!$D73&gt;DATE(2007,7,19)),D77,)</f>
        <v>0</v>
      </c>
      <c r="S77" s="46" t="n">
        <f aca="false">IF(AND('Stammdaten - Schwimmer'!$D73&lt;DATE(2011,7,20),'Stammdaten - Schwimmer'!$D73&gt;DATE(2007,7,19)),'Stammdaten - Schwimmer'!F73,)</f>
        <v>0</v>
      </c>
      <c r="T77" s="0" t="e">
        <f aca="false">_xlfn.RANK.EQ(S77,S$4:S$103,0)</f>
        <v>#REF!</v>
      </c>
      <c r="V77" s="29" t="n">
        <f aca="false">IF('Stammdaten - Schwimmer'!$D73&lt;DATE(2007,7,20),A77,)</f>
        <v>71</v>
      </c>
      <c r="W77" s="29" t="n">
        <f aca="false">IF('Stammdaten - Schwimmer'!$D73&lt;DATE(2007,7,20),B77,)</f>
        <v>0</v>
      </c>
      <c r="X77" s="29" t="n">
        <f aca="false">IF('Stammdaten - Schwimmer'!$D73&lt;DATE(2007,7,20),C77,)</f>
        <v>0</v>
      </c>
      <c r="Y77" s="30" t="n">
        <f aca="false">IF('Stammdaten - Schwimmer'!$D73&lt;DATE(2007,7,20),D77,)</f>
        <v>0</v>
      </c>
      <c r="Z77" s="46" t="n">
        <f aca="false">IF('Stammdaten - Schwimmer'!$D73&lt;DATE(2007,7,20),'Stammdaten - Schwimmer'!F73,)</f>
        <v>0</v>
      </c>
      <c r="AA77" s="0" t="e">
        <f aca="false">_xlfn.RANK.EQ(Z77,Z$4:Z$103,0)</f>
        <v>#REF!</v>
      </c>
    </row>
    <row r="78" customFormat="false" ht="15" hidden="false" customHeight="false" outlineLevel="0" collapsed="false">
      <c r="A78" s="44" t="n">
        <f aca="false">'Stammdaten - Schwimmer'!A74</f>
        <v>72</v>
      </c>
      <c r="B78" s="45" t="n">
        <f aca="false">'Stammdaten - Schwimmer'!B74</f>
        <v>0</v>
      </c>
      <c r="C78" s="45" t="n">
        <f aca="false">'Stammdaten - Schwimmer'!C74</f>
        <v>0</v>
      </c>
      <c r="D78" s="30" t="n">
        <f aca="false">'Stammdaten - Schwimmer'!J74+'Stammdaten - Schwimmer'!N74+'Stammdaten - Schwimmer'!R74+'Stammdaten - Schwimmer'!V74+'Stammdaten - Schwimmer'!Z75</f>
        <v>0</v>
      </c>
      <c r="E78" s="46" t="n">
        <f aca="false">'Stammdaten - Schwimmer'!F74</f>
        <v>0</v>
      </c>
      <c r="H78" s="29" t="n">
        <f aca="false">IF('Stammdaten - Schwimmer'!D74&gt;DATE(2011,7,20),A78,)</f>
        <v>0</v>
      </c>
      <c r="I78" s="29" t="n">
        <f aca="false">IF('Stammdaten - Schwimmer'!$D74&gt;DATE(2011,7,20),B78,)</f>
        <v>0</v>
      </c>
      <c r="J78" s="29" t="n">
        <f aca="false">IF('Stammdaten - Schwimmer'!$D74&gt;DATE(2011,7,20),C78,)</f>
        <v>0</v>
      </c>
      <c r="K78" s="30" t="n">
        <f aca="false">IF('Stammdaten - Schwimmer'!$D74&gt;DATE(2011,7,20),D78,)</f>
        <v>0</v>
      </c>
      <c r="L78" s="29" t="n">
        <f aca="false">IF('Stammdaten - Schwimmer'!$D74&gt;DATE(2011,7,20),'Stammdaten - Schwimmer'!F74,)</f>
        <v>0</v>
      </c>
      <c r="M78" s="0" t="e">
        <f aca="false">_xlfn.RANK.EQ(L78,L$4:L$103,0)</f>
        <v>#REF!</v>
      </c>
      <c r="O78" s="29" t="n">
        <f aca="false">IF(AND('Stammdaten - Schwimmer'!$D74&lt;DATE(2011,7,20),'Stammdaten - Schwimmer'!$D74&gt;DATE(2007,7,19)),A78,)</f>
        <v>0</v>
      </c>
      <c r="P78" s="29" t="n">
        <f aca="false">IF(AND('Stammdaten - Schwimmer'!$D74&lt;DATE(2011,7,20),'Stammdaten - Schwimmer'!$D74&gt;DATE(2007,7,19)),B78,)</f>
        <v>0</v>
      </c>
      <c r="Q78" s="29" t="n">
        <f aca="false">IF(AND('Stammdaten - Schwimmer'!$D74&lt;DATE(2011,7,20),'Stammdaten - Schwimmer'!$D74&gt;DATE(2007,7,19)),C78,)</f>
        <v>0</v>
      </c>
      <c r="R78" s="30" t="n">
        <f aca="false">IF(AND('Stammdaten - Schwimmer'!$D74&lt;DATE(2011,7,20),'Stammdaten - Schwimmer'!$D74&gt;DATE(2007,7,19)),D78,)</f>
        <v>0</v>
      </c>
      <c r="S78" s="46" t="n">
        <f aca="false">IF(AND('Stammdaten - Schwimmer'!$D74&lt;DATE(2011,7,20),'Stammdaten - Schwimmer'!$D74&gt;DATE(2007,7,19)),'Stammdaten - Schwimmer'!F74,)</f>
        <v>0</v>
      </c>
      <c r="T78" s="0" t="e">
        <f aca="false">_xlfn.RANK.EQ(S78,S$4:S$103,0)</f>
        <v>#REF!</v>
      </c>
      <c r="V78" s="29" t="n">
        <f aca="false">IF('Stammdaten - Schwimmer'!$D74&lt;DATE(2007,7,20),A78,)</f>
        <v>72</v>
      </c>
      <c r="W78" s="29" t="n">
        <f aca="false">IF('Stammdaten - Schwimmer'!$D74&lt;DATE(2007,7,20),B78,)</f>
        <v>0</v>
      </c>
      <c r="X78" s="29" t="n">
        <f aca="false">IF('Stammdaten - Schwimmer'!$D74&lt;DATE(2007,7,20),C78,)</f>
        <v>0</v>
      </c>
      <c r="Y78" s="30" t="n">
        <f aca="false">IF('Stammdaten - Schwimmer'!$D74&lt;DATE(2007,7,20),D78,)</f>
        <v>0</v>
      </c>
      <c r="Z78" s="46" t="n">
        <f aca="false">IF('Stammdaten - Schwimmer'!$D74&lt;DATE(2007,7,20),'Stammdaten - Schwimmer'!F74,)</f>
        <v>0</v>
      </c>
      <c r="AA78" s="0" t="e">
        <f aca="false">_xlfn.RANK.EQ(Z78,Z$4:Z$103,0)</f>
        <v>#REF!</v>
      </c>
    </row>
    <row r="79" customFormat="false" ht="15" hidden="false" customHeight="false" outlineLevel="0" collapsed="false">
      <c r="A79" s="44" t="n">
        <f aca="false">'Stammdaten - Schwimmer'!A75</f>
        <v>73</v>
      </c>
      <c r="B79" s="45" t="n">
        <f aca="false">'Stammdaten - Schwimmer'!B75</f>
        <v>0</v>
      </c>
      <c r="C79" s="45" t="n">
        <f aca="false">'Stammdaten - Schwimmer'!C75</f>
        <v>66</v>
      </c>
      <c r="D79" s="30" t="n">
        <f aca="false">'Stammdaten - Schwimmer'!J75+'Stammdaten - Schwimmer'!N75+'Stammdaten - Schwimmer'!R75+'Stammdaten - Schwimmer'!V75+'Stammdaten - Schwimmer'!Z76</f>
        <v>0</v>
      </c>
      <c r="E79" s="46" t="n">
        <f aca="false">'Stammdaten - Schwimmer'!F75</f>
        <v>0</v>
      </c>
      <c r="H79" s="29" t="n">
        <f aca="false">IF('Stammdaten - Schwimmer'!D75&gt;DATE(2011,7,20),A79,)</f>
        <v>0</v>
      </c>
      <c r="I79" s="29" t="n">
        <f aca="false">IF('Stammdaten - Schwimmer'!$D75&gt;DATE(2011,7,20),B79,)</f>
        <v>0</v>
      </c>
      <c r="J79" s="29" t="n">
        <f aca="false">IF('Stammdaten - Schwimmer'!$D75&gt;DATE(2011,7,20),C79,)</f>
        <v>0</v>
      </c>
      <c r="K79" s="30" t="n">
        <f aca="false">IF('Stammdaten - Schwimmer'!$D75&gt;DATE(2011,7,20),D79,)</f>
        <v>0</v>
      </c>
      <c r="L79" s="29" t="n">
        <f aca="false">IF('Stammdaten - Schwimmer'!$D75&gt;DATE(2011,7,20),'Stammdaten - Schwimmer'!F75,)</f>
        <v>0</v>
      </c>
      <c r="M79" s="0" t="e">
        <f aca="false">_xlfn.RANK.EQ(L79,L$4:L$103,0)</f>
        <v>#REF!</v>
      </c>
      <c r="O79" s="29" t="n">
        <f aca="false">IF(AND('Stammdaten - Schwimmer'!$D75&lt;DATE(2011,7,20),'Stammdaten - Schwimmer'!$D75&gt;DATE(2007,7,19)),A79,)</f>
        <v>0</v>
      </c>
      <c r="P79" s="29" t="n">
        <f aca="false">IF(AND('Stammdaten - Schwimmer'!$D75&lt;DATE(2011,7,20),'Stammdaten - Schwimmer'!$D75&gt;DATE(2007,7,19)),B79,)</f>
        <v>0</v>
      </c>
      <c r="Q79" s="29" t="n">
        <f aca="false">IF(AND('Stammdaten - Schwimmer'!$D75&lt;DATE(2011,7,20),'Stammdaten - Schwimmer'!$D75&gt;DATE(2007,7,19)),C79,)</f>
        <v>0</v>
      </c>
      <c r="R79" s="30" t="n">
        <f aca="false">IF(AND('Stammdaten - Schwimmer'!$D75&lt;DATE(2011,7,20),'Stammdaten - Schwimmer'!$D75&gt;DATE(2007,7,19)),D79,)</f>
        <v>0</v>
      </c>
      <c r="S79" s="46" t="n">
        <f aca="false">IF(AND('Stammdaten - Schwimmer'!$D75&lt;DATE(2011,7,20),'Stammdaten - Schwimmer'!$D75&gt;DATE(2007,7,19)),'Stammdaten - Schwimmer'!F75,)</f>
        <v>0</v>
      </c>
      <c r="T79" s="0" t="e">
        <f aca="false">_xlfn.RANK.EQ(S79,S$4:S$103,0)</f>
        <v>#REF!</v>
      </c>
      <c r="V79" s="29" t="n">
        <f aca="false">IF('Stammdaten - Schwimmer'!$D75&lt;DATE(2007,7,20),A79,)</f>
        <v>73</v>
      </c>
      <c r="W79" s="29" t="n">
        <f aca="false">IF('Stammdaten - Schwimmer'!$D75&lt;DATE(2007,7,20),B79,)</f>
        <v>0</v>
      </c>
      <c r="X79" s="29" t="n">
        <f aca="false">IF('Stammdaten - Schwimmer'!$D75&lt;DATE(2007,7,20),C79,)</f>
        <v>66</v>
      </c>
      <c r="Y79" s="30" t="n">
        <f aca="false">IF('Stammdaten - Schwimmer'!$D75&lt;DATE(2007,7,20),D79,)</f>
        <v>0</v>
      </c>
      <c r="Z79" s="46" t="n">
        <f aca="false">IF('Stammdaten - Schwimmer'!$D75&lt;DATE(2007,7,20),'Stammdaten - Schwimmer'!F75,)</f>
        <v>0</v>
      </c>
      <c r="AA79" s="0" t="e">
        <f aca="false">_xlfn.RANK.EQ(Z79,Z$4:Z$103,0)</f>
        <v>#REF!</v>
      </c>
    </row>
    <row r="80" customFormat="false" ht="15" hidden="false" customHeight="false" outlineLevel="0" collapsed="false">
      <c r="A80" s="44" t="n">
        <f aca="false">'Stammdaten - Schwimmer'!A76</f>
        <v>74</v>
      </c>
      <c r="B80" s="45" t="n">
        <f aca="false">'Stammdaten - Schwimmer'!B76</f>
        <v>0</v>
      </c>
      <c r="C80" s="45" t="n">
        <f aca="false">'Stammdaten - Schwimmer'!C76</f>
        <v>0</v>
      </c>
      <c r="D80" s="30" t="n">
        <f aca="false">'Stammdaten - Schwimmer'!J76+'Stammdaten - Schwimmer'!N76+'Stammdaten - Schwimmer'!R76+'Stammdaten - Schwimmer'!V76+'Stammdaten - Schwimmer'!Z77</f>
        <v>0</v>
      </c>
      <c r="E80" s="46" t="n">
        <f aca="false">'Stammdaten - Schwimmer'!F76</f>
        <v>0</v>
      </c>
      <c r="H80" s="29" t="n">
        <f aca="false">IF('Stammdaten - Schwimmer'!D76&gt;DATE(2011,7,20),A80,)</f>
        <v>0</v>
      </c>
      <c r="I80" s="29" t="n">
        <f aca="false">IF('Stammdaten - Schwimmer'!$D76&gt;DATE(2011,7,20),B80,)</f>
        <v>0</v>
      </c>
      <c r="J80" s="29" t="n">
        <f aca="false">IF('Stammdaten - Schwimmer'!$D76&gt;DATE(2011,7,20),C80,)</f>
        <v>0</v>
      </c>
      <c r="K80" s="30" t="n">
        <f aca="false">IF('Stammdaten - Schwimmer'!$D76&gt;DATE(2011,7,20),D80,)</f>
        <v>0</v>
      </c>
      <c r="L80" s="29" t="n">
        <f aca="false">IF('Stammdaten - Schwimmer'!$D76&gt;DATE(2011,7,20),'Stammdaten - Schwimmer'!F76,)</f>
        <v>0</v>
      </c>
      <c r="M80" s="0" t="e">
        <f aca="false">_xlfn.RANK.EQ(L80,L$4:L$103,0)</f>
        <v>#REF!</v>
      </c>
      <c r="O80" s="29" t="n">
        <f aca="false">IF(AND('Stammdaten - Schwimmer'!$D76&lt;DATE(2011,7,20),'Stammdaten - Schwimmer'!$D76&gt;DATE(2007,7,19)),A80,)</f>
        <v>0</v>
      </c>
      <c r="P80" s="29" t="n">
        <f aca="false">IF(AND('Stammdaten - Schwimmer'!$D76&lt;DATE(2011,7,20),'Stammdaten - Schwimmer'!$D76&gt;DATE(2007,7,19)),B80,)</f>
        <v>0</v>
      </c>
      <c r="Q80" s="29" t="n">
        <f aca="false">IF(AND('Stammdaten - Schwimmer'!$D76&lt;DATE(2011,7,20),'Stammdaten - Schwimmer'!$D76&gt;DATE(2007,7,19)),C80,)</f>
        <v>0</v>
      </c>
      <c r="R80" s="30" t="n">
        <f aca="false">IF(AND('Stammdaten - Schwimmer'!$D76&lt;DATE(2011,7,20),'Stammdaten - Schwimmer'!$D76&gt;DATE(2007,7,19)),D80,)</f>
        <v>0</v>
      </c>
      <c r="S80" s="46" t="n">
        <f aca="false">IF(AND('Stammdaten - Schwimmer'!$D76&lt;DATE(2011,7,20),'Stammdaten - Schwimmer'!$D76&gt;DATE(2007,7,19)),'Stammdaten - Schwimmer'!F76,)</f>
        <v>0</v>
      </c>
      <c r="T80" s="0" t="e">
        <f aca="false">_xlfn.RANK.EQ(S80,S$4:S$103,0)</f>
        <v>#REF!</v>
      </c>
      <c r="V80" s="29" t="n">
        <f aca="false">IF('Stammdaten - Schwimmer'!$D76&lt;DATE(2007,7,20),A80,)</f>
        <v>74</v>
      </c>
      <c r="W80" s="29" t="n">
        <f aca="false">IF('Stammdaten - Schwimmer'!$D76&lt;DATE(2007,7,20),B80,)</f>
        <v>0</v>
      </c>
      <c r="X80" s="29" t="n">
        <f aca="false">IF('Stammdaten - Schwimmer'!$D76&lt;DATE(2007,7,20),C80,)</f>
        <v>0</v>
      </c>
      <c r="Y80" s="30" t="n">
        <f aca="false">IF('Stammdaten - Schwimmer'!$D76&lt;DATE(2007,7,20),D80,)</f>
        <v>0</v>
      </c>
      <c r="Z80" s="46" t="n">
        <f aca="false">IF('Stammdaten - Schwimmer'!$D76&lt;DATE(2007,7,20),'Stammdaten - Schwimmer'!F76,)</f>
        <v>0</v>
      </c>
      <c r="AA80" s="0" t="e">
        <f aca="false">_xlfn.RANK.EQ(Z80,Z$4:Z$103,0)</f>
        <v>#REF!</v>
      </c>
    </row>
    <row r="81" customFormat="false" ht="15" hidden="false" customHeight="false" outlineLevel="0" collapsed="false">
      <c r="A81" s="44" t="n">
        <f aca="false">'Stammdaten - Schwimmer'!A77</f>
        <v>75</v>
      </c>
      <c r="B81" s="45" t="n">
        <f aca="false">'Stammdaten - Schwimmer'!B77</f>
        <v>0</v>
      </c>
      <c r="C81" s="45" t="n">
        <f aca="false">'Stammdaten - Schwimmer'!C77</f>
        <v>0</v>
      </c>
      <c r="D81" s="30" t="n">
        <f aca="false">'Stammdaten - Schwimmer'!J77+'Stammdaten - Schwimmer'!N77+'Stammdaten - Schwimmer'!R77+'Stammdaten - Schwimmer'!V77+'Stammdaten - Schwimmer'!Z78</f>
        <v>0</v>
      </c>
      <c r="E81" s="46" t="n">
        <f aca="false">'Stammdaten - Schwimmer'!F77</f>
        <v>0</v>
      </c>
      <c r="H81" s="29" t="n">
        <f aca="false">IF('Stammdaten - Schwimmer'!D77&gt;DATE(2011,7,20),A81,)</f>
        <v>0</v>
      </c>
      <c r="I81" s="29" t="n">
        <f aca="false">IF('Stammdaten - Schwimmer'!$D77&gt;DATE(2011,7,20),B81,)</f>
        <v>0</v>
      </c>
      <c r="J81" s="29" t="n">
        <f aca="false">IF('Stammdaten - Schwimmer'!$D77&gt;DATE(2011,7,20),C81,)</f>
        <v>0</v>
      </c>
      <c r="K81" s="30" t="n">
        <f aca="false">IF('Stammdaten - Schwimmer'!$D77&gt;DATE(2011,7,20),D81,)</f>
        <v>0</v>
      </c>
      <c r="L81" s="29" t="n">
        <f aca="false">IF('Stammdaten - Schwimmer'!$D77&gt;DATE(2011,7,20),'Stammdaten - Schwimmer'!F77,)</f>
        <v>0</v>
      </c>
      <c r="M81" s="0" t="e">
        <f aca="false">_xlfn.RANK.EQ(L81,L$4:L$103,0)</f>
        <v>#REF!</v>
      </c>
      <c r="O81" s="29" t="n">
        <f aca="false">IF(AND('Stammdaten - Schwimmer'!$D77&lt;DATE(2011,7,20),'Stammdaten - Schwimmer'!$D77&gt;DATE(2007,7,19)),A81,)</f>
        <v>0</v>
      </c>
      <c r="P81" s="29" t="n">
        <f aca="false">IF(AND('Stammdaten - Schwimmer'!$D77&lt;DATE(2011,7,20),'Stammdaten - Schwimmer'!$D77&gt;DATE(2007,7,19)),B81,)</f>
        <v>0</v>
      </c>
      <c r="Q81" s="29" t="n">
        <f aca="false">IF(AND('Stammdaten - Schwimmer'!$D77&lt;DATE(2011,7,20),'Stammdaten - Schwimmer'!$D77&gt;DATE(2007,7,19)),C81,)</f>
        <v>0</v>
      </c>
      <c r="R81" s="30" t="n">
        <f aca="false">IF(AND('Stammdaten - Schwimmer'!$D77&lt;DATE(2011,7,20),'Stammdaten - Schwimmer'!$D77&gt;DATE(2007,7,19)),D81,)</f>
        <v>0</v>
      </c>
      <c r="S81" s="46" t="n">
        <f aca="false">IF(AND('Stammdaten - Schwimmer'!$D77&lt;DATE(2011,7,20),'Stammdaten - Schwimmer'!$D77&gt;DATE(2007,7,19)),'Stammdaten - Schwimmer'!F77,)</f>
        <v>0</v>
      </c>
      <c r="T81" s="0" t="e">
        <f aca="false">_xlfn.RANK.EQ(S81,S$4:S$103,0)</f>
        <v>#REF!</v>
      </c>
      <c r="V81" s="29" t="n">
        <f aca="false">IF('Stammdaten - Schwimmer'!$D77&lt;DATE(2007,7,20),A81,)</f>
        <v>75</v>
      </c>
      <c r="W81" s="29" t="n">
        <f aca="false">IF('Stammdaten - Schwimmer'!$D77&lt;DATE(2007,7,20),B81,)</f>
        <v>0</v>
      </c>
      <c r="X81" s="29" t="n">
        <f aca="false">IF('Stammdaten - Schwimmer'!$D77&lt;DATE(2007,7,20),C81,)</f>
        <v>0</v>
      </c>
      <c r="Y81" s="30" t="n">
        <f aca="false">IF('Stammdaten - Schwimmer'!$D77&lt;DATE(2007,7,20),D81,)</f>
        <v>0</v>
      </c>
      <c r="Z81" s="46" t="n">
        <f aca="false">IF('Stammdaten - Schwimmer'!$D77&lt;DATE(2007,7,20),'Stammdaten - Schwimmer'!F77,)</f>
        <v>0</v>
      </c>
      <c r="AA81" s="0" t="e">
        <f aca="false">_xlfn.RANK.EQ(Z81,Z$4:Z$103,0)</f>
        <v>#REF!</v>
      </c>
    </row>
    <row r="82" customFormat="false" ht="15" hidden="false" customHeight="false" outlineLevel="0" collapsed="false">
      <c r="A82" s="44" t="n">
        <f aca="false">'Stammdaten - Schwimmer'!A78</f>
        <v>76</v>
      </c>
      <c r="B82" s="45" t="n">
        <f aca="false">'Stammdaten - Schwimmer'!B78</f>
        <v>0</v>
      </c>
      <c r="C82" s="45" t="n">
        <f aca="false">'Stammdaten - Schwimmer'!C78</f>
        <v>0</v>
      </c>
      <c r="D82" s="30" t="n">
        <f aca="false">'Stammdaten - Schwimmer'!J78+'Stammdaten - Schwimmer'!N78+'Stammdaten - Schwimmer'!R78+'Stammdaten - Schwimmer'!V78+'Stammdaten - Schwimmer'!Z79</f>
        <v>0</v>
      </c>
      <c r="E82" s="46" t="n">
        <f aca="false">'Stammdaten - Schwimmer'!F78</f>
        <v>0</v>
      </c>
      <c r="H82" s="29" t="n">
        <f aca="false">IF('Stammdaten - Schwimmer'!D78&gt;DATE(2011,7,20),A82,)</f>
        <v>0</v>
      </c>
      <c r="I82" s="29" t="n">
        <f aca="false">IF('Stammdaten - Schwimmer'!$D78&gt;DATE(2011,7,20),B82,)</f>
        <v>0</v>
      </c>
      <c r="J82" s="29" t="n">
        <f aca="false">IF('Stammdaten - Schwimmer'!$D78&gt;DATE(2011,7,20),C82,)</f>
        <v>0</v>
      </c>
      <c r="K82" s="30" t="n">
        <f aca="false">IF('Stammdaten - Schwimmer'!$D78&gt;DATE(2011,7,20),D82,)</f>
        <v>0</v>
      </c>
      <c r="L82" s="29" t="n">
        <f aca="false">IF('Stammdaten - Schwimmer'!$D78&gt;DATE(2011,7,20),'Stammdaten - Schwimmer'!F78,)</f>
        <v>0</v>
      </c>
      <c r="M82" s="0" t="e">
        <f aca="false">_xlfn.RANK.EQ(L82,L$4:L$103,0)</f>
        <v>#REF!</v>
      </c>
      <c r="O82" s="29" t="n">
        <f aca="false">IF(AND('Stammdaten - Schwimmer'!$D78&lt;DATE(2011,7,20),'Stammdaten - Schwimmer'!$D78&gt;DATE(2007,7,19)),A82,)</f>
        <v>0</v>
      </c>
      <c r="P82" s="29" t="n">
        <f aca="false">IF(AND('Stammdaten - Schwimmer'!$D78&lt;DATE(2011,7,20),'Stammdaten - Schwimmer'!$D78&gt;DATE(2007,7,19)),B82,)</f>
        <v>0</v>
      </c>
      <c r="Q82" s="29" t="n">
        <f aca="false">IF(AND('Stammdaten - Schwimmer'!$D78&lt;DATE(2011,7,20),'Stammdaten - Schwimmer'!$D78&gt;DATE(2007,7,19)),C82,)</f>
        <v>0</v>
      </c>
      <c r="R82" s="30" t="n">
        <f aca="false">IF(AND('Stammdaten - Schwimmer'!$D78&lt;DATE(2011,7,20),'Stammdaten - Schwimmer'!$D78&gt;DATE(2007,7,19)),D82,)</f>
        <v>0</v>
      </c>
      <c r="S82" s="46" t="n">
        <f aca="false">IF(AND('Stammdaten - Schwimmer'!$D78&lt;DATE(2011,7,20),'Stammdaten - Schwimmer'!$D78&gt;DATE(2007,7,19)),'Stammdaten - Schwimmer'!F78,)</f>
        <v>0</v>
      </c>
      <c r="T82" s="0" t="e">
        <f aca="false">_xlfn.RANK.EQ(S82,S$4:S$103,0)</f>
        <v>#REF!</v>
      </c>
      <c r="V82" s="29" t="n">
        <f aca="false">IF('Stammdaten - Schwimmer'!$D78&lt;DATE(2007,7,20),A82,)</f>
        <v>76</v>
      </c>
      <c r="W82" s="29" t="n">
        <f aca="false">IF('Stammdaten - Schwimmer'!$D78&lt;DATE(2007,7,20),B82,)</f>
        <v>0</v>
      </c>
      <c r="X82" s="29" t="n">
        <f aca="false">IF('Stammdaten - Schwimmer'!$D78&lt;DATE(2007,7,20),C82,)</f>
        <v>0</v>
      </c>
      <c r="Y82" s="30" t="n">
        <f aca="false">IF('Stammdaten - Schwimmer'!$D78&lt;DATE(2007,7,20),D82,)</f>
        <v>0</v>
      </c>
      <c r="Z82" s="46" t="n">
        <f aca="false">IF('Stammdaten - Schwimmer'!$D78&lt;DATE(2007,7,20),'Stammdaten - Schwimmer'!F78,)</f>
        <v>0</v>
      </c>
      <c r="AA82" s="0" t="e">
        <f aca="false">_xlfn.RANK.EQ(Z82,Z$4:Z$103,0)</f>
        <v>#REF!</v>
      </c>
    </row>
    <row r="83" customFormat="false" ht="15" hidden="false" customHeight="false" outlineLevel="0" collapsed="false">
      <c r="A83" s="44" t="n">
        <f aca="false">'Stammdaten - Schwimmer'!A79</f>
        <v>77</v>
      </c>
      <c r="B83" s="45" t="n">
        <f aca="false">'Stammdaten - Schwimmer'!B79</f>
        <v>0</v>
      </c>
      <c r="C83" s="45" t="n">
        <f aca="false">'Stammdaten - Schwimmer'!C79</f>
        <v>0</v>
      </c>
      <c r="D83" s="30" t="n">
        <f aca="false">'Stammdaten - Schwimmer'!J79+'Stammdaten - Schwimmer'!N79+'Stammdaten - Schwimmer'!R79+'Stammdaten - Schwimmer'!V79+'Stammdaten - Schwimmer'!Z80</f>
        <v>0</v>
      </c>
      <c r="E83" s="46" t="n">
        <f aca="false">'Stammdaten - Schwimmer'!F79</f>
        <v>0</v>
      </c>
      <c r="H83" s="29" t="n">
        <f aca="false">IF('Stammdaten - Schwimmer'!D79&gt;DATE(2011,7,20),A83,)</f>
        <v>0</v>
      </c>
      <c r="I83" s="29" t="n">
        <f aca="false">IF('Stammdaten - Schwimmer'!$D79&gt;DATE(2011,7,20),B83,)</f>
        <v>0</v>
      </c>
      <c r="J83" s="29" t="n">
        <f aca="false">IF('Stammdaten - Schwimmer'!$D79&gt;DATE(2011,7,20),C83,)</f>
        <v>0</v>
      </c>
      <c r="K83" s="30" t="n">
        <f aca="false">IF('Stammdaten - Schwimmer'!$D79&gt;DATE(2011,7,20),D83,)</f>
        <v>0</v>
      </c>
      <c r="L83" s="29" t="n">
        <f aca="false">IF('Stammdaten - Schwimmer'!$D79&gt;DATE(2011,7,20),'Stammdaten - Schwimmer'!F79,)</f>
        <v>0</v>
      </c>
      <c r="M83" s="0" t="e">
        <f aca="false">_xlfn.RANK.EQ(L83,L$4:L$103,0)</f>
        <v>#REF!</v>
      </c>
      <c r="O83" s="29" t="n">
        <f aca="false">IF(AND('Stammdaten - Schwimmer'!$D79&lt;DATE(2011,7,20),'Stammdaten - Schwimmer'!$D79&gt;DATE(2007,7,19)),A83,)</f>
        <v>0</v>
      </c>
      <c r="P83" s="29" t="n">
        <f aca="false">IF(AND('Stammdaten - Schwimmer'!$D79&lt;DATE(2011,7,20),'Stammdaten - Schwimmer'!$D79&gt;DATE(2007,7,19)),B83,)</f>
        <v>0</v>
      </c>
      <c r="Q83" s="29" t="n">
        <f aca="false">IF(AND('Stammdaten - Schwimmer'!$D79&lt;DATE(2011,7,20),'Stammdaten - Schwimmer'!$D79&gt;DATE(2007,7,19)),C83,)</f>
        <v>0</v>
      </c>
      <c r="R83" s="30" t="n">
        <f aca="false">IF(AND('Stammdaten - Schwimmer'!$D79&lt;DATE(2011,7,20),'Stammdaten - Schwimmer'!$D79&gt;DATE(2007,7,19)),D83,)</f>
        <v>0</v>
      </c>
      <c r="S83" s="46" t="n">
        <f aca="false">IF(AND('Stammdaten - Schwimmer'!$D79&lt;DATE(2011,7,20),'Stammdaten - Schwimmer'!$D79&gt;DATE(2007,7,19)),'Stammdaten - Schwimmer'!F79,)</f>
        <v>0</v>
      </c>
      <c r="T83" s="0" t="e">
        <f aca="false">_xlfn.RANK.EQ(S83,S$4:S$103,0)</f>
        <v>#REF!</v>
      </c>
      <c r="V83" s="29" t="n">
        <f aca="false">IF('Stammdaten - Schwimmer'!$D79&lt;DATE(2007,7,20),A83,)</f>
        <v>77</v>
      </c>
      <c r="W83" s="29" t="n">
        <f aca="false">IF('Stammdaten - Schwimmer'!$D79&lt;DATE(2007,7,20),B83,)</f>
        <v>0</v>
      </c>
      <c r="X83" s="29" t="n">
        <f aca="false">IF('Stammdaten - Schwimmer'!$D79&lt;DATE(2007,7,20),C83,)</f>
        <v>0</v>
      </c>
      <c r="Y83" s="30" t="n">
        <f aca="false">IF('Stammdaten - Schwimmer'!$D79&lt;DATE(2007,7,20),D83,)</f>
        <v>0</v>
      </c>
      <c r="Z83" s="46" t="n">
        <f aca="false">IF('Stammdaten - Schwimmer'!$D79&lt;DATE(2007,7,20),'Stammdaten - Schwimmer'!F79,)</f>
        <v>0</v>
      </c>
      <c r="AA83" s="0" t="e">
        <f aca="false">_xlfn.RANK.EQ(Z83,Z$4:Z$103,0)</f>
        <v>#REF!</v>
      </c>
    </row>
    <row r="84" customFormat="false" ht="15" hidden="false" customHeight="false" outlineLevel="0" collapsed="false">
      <c r="A84" s="44" t="n">
        <f aca="false">'Stammdaten - Schwimmer'!A80</f>
        <v>78</v>
      </c>
      <c r="B84" s="45" t="n">
        <f aca="false">'Stammdaten - Schwimmer'!B80</f>
        <v>0</v>
      </c>
      <c r="C84" s="45" t="n">
        <f aca="false">'Stammdaten - Schwimmer'!C80</f>
        <v>0</v>
      </c>
      <c r="D84" s="30" t="n">
        <f aca="false">'Stammdaten - Schwimmer'!J80+'Stammdaten - Schwimmer'!N80+'Stammdaten - Schwimmer'!R80+'Stammdaten - Schwimmer'!V80+'Stammdaten - Schwimmer'!Z81</f>
        <v>0</v>
      </c>
      <c r="E84" s="46" t="n">
        <f aca="false">'Stammdaten - Schwimmer'!F80</f>
        <v>0</v>
      </c>
      <c r="H84" s="29" t="n">
        <f aca="false">IF('Stammdaten - Schwimmer'!D80&gt;DATE(2011,7,20),A84,)</f>
        <v>0</v>
      </c>
      <c r="I84" s="29" t="n">
        <f aca="false">IF('Stammdaten - Schwimmer'!$D80&gt;DATE(2011,7,20),B84,)</f>
        <v>0</v>
      </c>
      <c r="J84" s="29" t="n">
        <f aca="false">IF('Stammdaten - Schwimmer'!$D80&gt;DATE(2011,7,20),C84,)</f>
        <v>0</v>
      </c>
      <c r="K84" s="30" t="n">
        <f aca="false">IF('Stammdaten - Schwimmer'!$D80&gt;DATE(2011,7,20),D84,)</f>
        <v>0</v>
      </c>
      <c r="L84" s="29" t="n">
        <f aca="false">IF('Stammdaten - Schwimmer'!$D80&gt;DATE(2011,7,20),'Stammdaten - Schwimmer'!F80,)</f>
        <v>0</v>
      </c>
      <c r="M84" s="0" t="e">
        <f aca="false">_xlfn.RANK.EQ(L84,L$4:L$103,0)</f>
        <v>#REF!</v>
      </c>
      <c r="O84" s="29" t="n">
        <f aca="false">IF(AND('Stammdaten - Schwimmer'!$D80&lt;DATE(2011,7,20),'Stammdaten - Schwimmer'!$D80&gt;DATE(2007,7,19)),A84,)</f>
        <v>0</v>
      </c>
      <c r="P84" s="29" t="n">
        <f aca="false">IF(AND('Stammdaten - Schwimmer'!$D80&lt;DATE(2011,7,20),'Stammdaten - Schwimmer'!$D80&gt;DATE(2007,7,19)),B84,)</f>
        <v>0</v>
      </c>
      <c r="Q84" s="29" t="n">
        <f aca="false">IF(AND('Stammdaten - Schwimmer'!$D80&lt;DATE(2011,7,20),'Stammdaten - Schwimmer'!$D80&gt;DATE(2007,7,19)),C84,)</f>
        <v>0</v>
      </c>
      <c r="R84" s="30" t="n">
        <f aca="false">IF(AND('Stammdaten - Schwimmer'!$D80&lt;DATE(2011,7,20),'Stammdaten - Schwimmer'!$D80&gt;DATE(2007,7,19)),D84,)</f>
        <v>0</v>
      </c>
      <c r="S84" s="46" t="n">
        <f aca="false">IF(AND('Stammdaten - Schwimmer'!$D80&lt;DATE(2011,7,20),'Stammdaten - Schwimmer'!$D80&gt;DATE(2007,7,19)),'Stammdaten - Schwimmer'!F80,)</f>
        <v>0</v>
      </c>
      <c r="T84" s="0" t="e">
        <f aca="false">_xlfn.RANK.EQ(S84,S$4:S$103,0)</f>
        <v>#REF!</v>
      </c>
      <c r="V84" s="29" t="n">
        <f aca="false">IF('Stammdaten - Schwimmer'!$D80&lt;DATE(2007,7,20),A84,)</f>
        <v>78</v>
      </c>
      <c r="W84" s="29" t="n">
        <f aca="false">IF('Stammdaten - Schwimmer'!$D80&lt;DATE(2007,7,20),B84,)</f>
        <v>0</v>
      </c>
      <c r="X84" s="29" t="n">
        <f aca="false">IF('Stammdaten - Schwimmer'!$D80&lt;DATE(2007,7,20),C84,)</f>
        <v>0</v>
      </c>
      <c r="Y84" s="30" t="n">
        <f aca="false">IF('Stammdaten - Schwimmer'!$D80&lt;DATE(2007,7,20),D84,)</f>
        <v>0</v>
      </c>
      <c r="Z84" s="46" t="n">
        <f aca="false">IF('Stammdaten - Schwimmer'!$D80&lt;DATE(2007,7,20),'Stammdaten - Schwimmer'!F80,)</f>
        <v>0</v>
      </c>
      <c r="AA84" s="0" t="e">
        <f aca="false">_xlfn.RANK.EQ(Z84,Z$4:Z$103,0)</f>
        <v>#REF!</v>
      </c>
    </row>
    <row r="85" customFormat="false" ht="15" hidden="false" customHeight="false" outlineLevel="0" collapsed="false">
      <c r="A85" s="44" t="n">
        <f aca="false">'Stammdaten - Schwimmer'!A81</f>
        <v>79</v>
      </c>
      <c r="B85" s="45" t="n">
        <f aca="false">'Stammdaten - Schwimmer'!B81</f>
        <v>0</v>
      </c>
      <c r="C85" s="45" t="n">
        <f aca="false">'Stammdaten - Schwimmer'!C81</f>
        <v>0</v>
      </c>
      <c r="D85" s="30" t="n">
        <f aca="false">'Stammdaten - Schwimmer'!J81+'Stammdaten - Schwimmer'!N81+'Stammdaten - Schwimmer'!R81+'Stammdaten - Schwimmer'!V81+'Stammdaten - Schwimmer'!Z82</f>
        <v>0</v>
      </c>
      <c r="E85" s="46" t="n">
        <f aca="false">'Stammdaten - Schwimmer'!F81</f>
        <v>0</v>
      </c>
      <c r="H85" s="29" t="n">
        <f aca="false">IF('Stammdaten - Schwimmer'!D81&gt;DATE(2011,7,20),A85,)</f>
        <v>0</v>
      </c>
      <c r="I85" s="29" t="n">
        <f aca="false">IF('Stammdaten - Schwimmer'!$D81&gt;DATE(2011,7,20),B85,)</f>
        <v>0</v>
      </c>
      <c r="J85" s="29" t="n">
        <f aca="false">IF('Stammdaten - Schwimmer'!$D81&gt;DATE(2011,7,20),C85,)</f>
        <v>0</v>
      </c>
      <c r="K85" s="30" t="n">
        <f aca="false">IF('Stammdaten - Schwimmer'!$D81&gt;DATE(2011,7,20),D85,)</f>
        <v>0</v>
      </c>
      <c r="L85" s="29" t="n">
        <f aca="false">IF('Stammdaten - Schwimmer'!$D81&gt;DATE(2011,7,20),'Stammdaten - Schwimmer'!F81,)</f>
        <v>0</v>
      </c>
      <c r="M85" s="0" t="e">
        <f aca="false">_xlfn.RANK.EQ(L85,L$4:L$103,0)</f>
        <v>#REF!</v>
      </c>
      <c r="O85" s="29" t="n">
        <f aca="false">IF(AND('Stammdaten - Schwimmer'!$D81&lt;DATE(2011,7,20),'Stammdaten - Schwimmer'!$D81&gt;DATE(2007,7,19)),A85,)</f>
        <v>0</v>
      </c>
      <c r="P85" s="29" t="n">
        <f aca="false">IF(AND('Stammdaten - Schwimmer'!$D81&lt;DATE(2011,7,20),'Stammdaten - Schwimmer'!$D81&gt;DATE(2007,7,19)),B85,)</f>
        <v>0</v>
      </c>
      <c r="Q85" s="29" t="n">
        <f aca="false">IF(AND('Stammdaten - Schwimmer'!$D81&lt;DATE(2011,7,20),'Stammdaten - Schwimmer'!$D81&gt;DATE(2007,7,19)),C85,)</f>
        <v>0</v>
      </c>
      <c r="R85" s="30" t="n">
        <f aca="false">IF(AND('Stammdaten - Schwimmer'!$D81&lt;DATE(2011,7,20),'Stammdaten - Schwimmer'!$D81&gt;DATE(2007,7,19)),D85,)</f>
        <v>0</v>
      </c>
      <c r="S85" s="46" t="n">
        <f aca="false">IF(AND('Stammdaten - Schwimmer'!$D81&lt;DATE(2011,7,20),'Stammdaten - Schwimmer'!$D81&gt;DATE(2007,7,19)),'Stammdaten - Schwimmer'!F81,)</f>
        <v>0</v>
      </c>
      <c r="T85" s="0" t="e">
        <f aca="false">_xlfn.RANK.EQ(S85,S$4:S$103,0)</f>
        <v>#REF!</v>
      </c>
      <c r="V85" s="29" t="n">
        <f aca="false">IF('Stammdaten - Schwimmer'!$D81&lt;DATE(2007,7,20),A85,)</f>
        <v>79</v>
      </c>
      <c r="W85" s="29" t="n">
        <f aca="false">IF('Stammdaten - Schwimmer'!$D81&lt;DATE(2007,7,20),B85,)</f>
        <v>0</v>
      </c>
      <c r="X85" s="29" t="n">
        <f aca="false">IF('Stammdaten - Schwimmer'!$D81&lt;DATE(2007,7,20),C85,)</f>
        <v>0</v>
      </c>
      <c r="Y85" s="30" t="n">
        <f aca="false">IF('Stammdaten - Schwimmer'!$D81&lt;DATE(2007,7,20),D85,)</f>
        <v>0</v>
      </c>
      <c r="Z85" s="46" t="n">
        <f aca="false">IF('Stammdaten - Schwimmer'!$D81&lt;DATE(2007,7,20),'Stammdaten - Schwimmer'!F81,)</f>
        <v>0</v>
      </c>
      <c r="AA85" s="0" t="e">
        <f aca="false">_xlfn.RANK.EQ(Z85,Z$4:Z$103,0)</f>
        <v>#REF!</v>
      </c>
    </row>
    <row r="86" customFormat="false" ht="15" hidden="false" customHeight="false" outlineLevel="0" collapsed="false">
      <c r="A86" s="44" t="n">
        <f aca="false">'Stammdaten - Schwimmer'!A82</f>
        <v>80</v>
      </c>
      <c r="B86" s="45" t="n">
        <f aca="false">'Stammdaten - Schwimmer'!B82</f>
        <v>0</v>
      </c>
      <c r="C86" s="45" t="n">
        <f aca="false">'Stammdaten - Schwimmer'!C82</f>
        <v>0</v>
      </c>
      <c r="D86" s="30" t="n">
        <f aca="false">'Stammdaten - Schwimmer'!J82+'Stammdaten - Schwimmer'!N82+'Stammdaten - Schwimmer'!R82+'Stammdaten - Schwimmer'!V82+'Stammdaten - Schwimmer'!Z83</f>
        <v>0</v>
      </c>
      <c r="E86" s="46" t="n">
        <f aca="false">'Stammdaten - Schwimmer'!F82</f>
        <v>0</v>
      </c>
      <c r="H86" s="29" t="n">
        <f aca="false">IF('Stammdaten - Schwimmer'!D82&gt;DATE(2011,7,20),A86,)</f>
        <v>0</v>
      </c>
      <c r="I86" s="29" t="n">
        <f aca="false">IF('Stammdaten - Schwimmer'!$D82&gt;DATE(2011,7,20),B86,)</f>
        <v>0</v>
      </c>
      <c r="J86" s="29" t="n">
        <f aca="false">IF('Stammdaten - Schwimmer'!$D82&gt;DATE(2011,7,20),C86,)</f>
        <v>0</v>
      </c>
      <c r="K86" s="30" t="n">
        <f aca="false">IF('Stammdaten - Schwimmer'!$D82&gt;DATE(2011,7,20),D86,)</f>
        <v>0</v>
      </c>
      <c r="L86" s="29" t="n">
        <f aca="false">IF('Stammdaten - Schwimmer'!$D82&gt;DATE(2011,7,20),'Stammdaten - Schwimmer'!F82,)</f>
        <v>0</v>
      </c>
      <c r="M86" s="0" t="e">
        <f aca="false">_xlfn.RANK.EQ(L86,L$4:L$103,0)</f>
        <v>#REF!</v>
      </c>
      <c r="O86" s="29" t="n">
        <f aca="false">IF(AND('Stammdaten - Schwimmer'!$D82&lt;DATE(2011,7,20),'Stammdaten - Schwimmer'!$D82&gt;DATE(2007,7,19)),A86,)</f>
        <v>0</v>
      </c>
      <c r="P86" s="29" t="n">
        <f aca="false">IF(AND('Stammdaten - Schwimmer'!$D82&lt;DATE(2011,7,20),'Stammdaten - Schwimmer'!$D82&gt;DATE(2007,7,19)),B86,)</f>
        <v>0</v>
      </c>
      <c r="Q86" s="29" t="n">
        <f aca="false">IF(AND('Stammdaten - Schwimmer'!$D82&lt;DATE(2011,7,20),'Stammdaten - Schwimmer'!$D82&gt;DATE(2007,7,19)),C86,)</f>
        <v>0</v>
      </c>
      <c r="R86" s="30" t="n">
        <f aca="false">IF(AND('Stammdaten - Schwimmer'!$D82&lt;DATE(2011,7,20),'Stammdaten - Schwimmer'!$D82&gt;DATE(2007,7,19)),D86,)</f>
        <v>0</v>
      </c>
      <c r="S86" s="46" t="n">
        <f aca="false">IF(AND('Stammdaten - Schwimmer'!$D82&lt;DATE(2011,7,20),'Stammdaten - Schwimmer'!$D82&gt;DATE(2007,7,19)),'Stammdaten - Schwimmer'!F82,)</f>
        <v>0</v>
      </c>
      <c r="T86" s="0" t="e">
        <f aca="false">_xlfn.RANK.EQ(S86,S$4:S$103,0)</f>
        <v>#REF!</v>
      </c>
      <c r="V86" s="29" t="n">
        <f aca="false">IF('Stammdaten - Schwimmer'!$D82&lt;DATE(2007,7,20),A86,)</f>
        <v>80</v>
      </c>
      <c r="W86" s="29" t="n">
        <f aca="false">IF('Stammdaten - Schwimmer'!$D82&lt;DATE(2007,7,20),B86,)</f>
        <v>0</v>
      </c>
      <c r="X86" s="29" t="n">
        <f aca="false">IF('Stammdaten - Schwimmer'!$D82&lt;DATE(2007,7,20),C86,)</f>
        <v>0</v>
      </c>
      <c r="Y86" s="30" t="n">
        <f aca="false">IF('Stammdaten - Schwimmer'!$D82&lt;DATE(2007,7,20),D86,)</f>
        <v>0</v>
      </c>
      <c r="Z86" s="46" t="n">
        <f aca="false">IF('Stammdaten - Schwimmer'!$D82&lt;DATE(2007,7,20),'Stammdaten - Schwimmer'!F82,)</f>
        <v>0</v>
      </c>
      <c r="AA86" s="0" t="e">
        <f aca="false">_xlfn.RANK.EQ(Z86,Z$4:Z$103,0)</f>
        <v>#REF!</v>
      </c>
    </row>
    <row r="87" customFormat="false" ht="15" hidden="false" customHeight="false" outlineLevel="0" collapsed="false">
      <c r="A87" s="44" t="n">
        <f aca="false">'Stammdaten - Schwimmer'!A83</f>
        <v>81</v>
      </c>
      <c r="B87" s="45" t="n">
        <f aca="false">'Stammdaten - Schwimmer'!B83</f>
        <v>0</v>
      </c>
      <c r="C87" s="45" t="n">
        <f aca="false">'Stammdaten - Schwimmer'!C83</f>
        <v>0</v>
      </c>
      <c r="D87" s="30" t="n">
        <f aca="false">'Stammdaten - Schwimmer'!J83+'Stammdaten - Schwimmer'!N83+'Stammdaten - Schwimmer'!R83+'Stammdaten - Schwimmer'!V83+'Stammdaten - Schwimmer'!Z84</f>
        <v>0</v>
      </c>
      <c r="E87" s="46" t="n">
        <f aca="false">'Stammdaten - Schwimmer'!F83</f>
        <v>0</v>
      </c>
      <c r="H87" s="29" t="n">
        <f aca="false">IF('Stammdaten - Schwimmer'!D83&gt;DATE(2011,7,20),A87,)</f>
        <v>0</v>
      </c>
      <c r="I87" s="29" t="n">
        <f aca="false">IF('Stammdaten - Schwimmer'!$D83&gt;DATE(2011,7,20),B87,)</f>
        <v>0</v>
      </c>
      <c r="J87" s="29" t="n">
        <f aca="false">IF('Stammdaten - Schwimmer'!$D83&gt;DATE(2011,7,20),C87,)</f>
        <v>0</v>
      </c>
      <c r="K87" s="30" t="n">
        <f aca="false">IF('Stammdaten - Schwimmer'!$D83&gt;DATE(2011,7,20),D87,)</f>
        <v>0</v>
      </c>
      <c r="L87" s="29" t="n">
        <f aca="false">IF('Stammdaten - Schwimmer'!$D83&gt;DATE(2011,7,20),'Stammdaten - Schwimmer'!F83,)</f>
        <v>0</v>
      </c>
      <c r="M87" s="0" t="e">
        <f aca="false">_xlfn.RANK.EQ(L87,L$4:L$103,0)</f>
        <v>#REF!</v>
      </c>
      <c r="O87" s="29" t="n">
        <f aca="false">IF(AND('Stammdaten - Schwimmer'!$D83&lt;DATE(2011,7,20),'Stammdaten - Schwimmer'!$D83&gt;DATE(2007,7,19)),A87,)</f>
        <v>0</v>
      </c>
      <c r="P87" s="29" t="n">
        <f aca="false">IF(AND('Stammdaten - Schwimmer'!$D83&lt;DATE(2011,7,20),'Stammdaten - Schwimmer'!$D83&gt;DATE(2007,7,19)),B87,)</f>
        <v>0</v>
      </c>
      <c r="Q87" s="29" t="n">
        <f aca="false">IF(AND('Stammdaten - Schwimmer'!$D83&lt;DATE(2011,7,20),'Stammdaten - Schwimmer'!$D83&gt;DATE(2007,7,19)),C87,)</f>
        <v>0</v>
      </c>
      <c r="R87" s="30" t="n">
        <f aca="false">IF(AND('Stammdaten - Schwimmer'!$D83&lt;DATE(2011,7,20),'Stammdaten - Schwimmer'!$D83&gt;DATE(2007,7,19)),D87,)</f>
        <v>0</v>
      </c>
      <c r="S87" s="46" t="n">
        <f aca="false">IF(AND('Stammdaten - Schwimmer'!$D83&lt;DATE(2011,7,20),'Stammdaten - Schwimmer'!$D83&gt;DATE(2007,7,19)),'Stammdaten - Schwimmer'!F83,)</f>
        <v>0</v>
      </c>
      <c r="T87" s="0" t="e">
        <f aca="false">_xlfn.RANK.EQ(S87,S$4:S$103,0)</f>
        <v>#REF!</v>
      </c>
      <c r="V87" s="29" t="n">
        <f aca="false">IF('Stammdaten - Schwimmer'!$D83&lt;DATE(2007,7,20),A87,)</f>
        <v>81</v>
      </c>
      <c r="W87" s="29" t="n">
        <f aca="false">IF('Stammdaten - Schwimmer'!$D83&lt;DATE(2007,7,20),B87,)</f>
        <v>0</v>
      </c>
      <c r="X87" s="29" t="n">
        <f aca="false">IF('Stammdaten - Schwimmer'!$D83&lt;DATE(2007,7,20),C87,)</f>
        <v>0</v>
      </c>
      <c r="Y87" s="30" t="n">
        <f aca="false">IF('Stammdaten - Schwimmer'!$D83&lt;DATE(2007,7,20),D87,)</f>
        <v>0</v>
      </c>
      <c r="Z87" s="46" t="n">
        <f aca="false">IF('Stammdaten - Schwimmer'!$D83&lt;DATE(2007,7,20),'Stammdaten - Schwimmer'!F83,)</f>
        <v>0</v>
      </c>
      <c r="AA87" s="0" t="e">
        <f aca="false">_xlfn.RANK.EQ(Z87,Z$4:Z$103,0)</f>
        <v>#REF!</v>
      </c>
    </row>
    <row r="88" customFormat="false" ht="15" hidden="false" customHeight="false" outlineLevel="0" collapsed="false">
      <c r="A88" s="44" t="n">
        <f aca="false">'Stammdaten - Schwimmer'!A84</f>
        <v>82</v>
      </c>
      <c r="B88" s="45" t="n">
        <f aca="false">'Stammdaten - Schwimmer'!B84</f>
        <v>0</v>
      </c>
      <c r="C88" s="45" t="n">
        <f aca="false">'Stammdaten - Schwimmer'!C84</f>
        <v>0</v>
      </c>
      <c r="D88" s="30" t="n">
        <f aca="false">'Stammdaten - Schwimmer'!J84+'Stammdaten - Schwimmer'!N84+'Stammdaten - Schwimmer'!R84+'Stammdaten - Schwimmer'!V84+'Stammdaten - Schwimmer'!Z85</f>
        <v>0</v>
      </c>
      <c r="E88" s="46" t="n">
        <f aca="false">'Stammdaten - Schwimmer'!F84</f>
        <v>0</v>
      </c>
      <c r="H88" s="29" t="n">
        <f aca="false">IF('Stammdaten - Schwimmer'!D84&gt;DATE(2011,7,20),A88,)</f>
        <v>0</v>
      </c>
      <c r="I88" s="29" t="n">
        <f aca="false">IF('Stammdaten - Schwimmer'!$D84&gt;DATE(2011,7,20),B88,)</f>
        <v>0</v>
      </c>
      <c r="J88" s="29" t="n">
        <f aca="false">IF('Stammdaten - Schwimmer'!$D84&gt;DATE(2011,7,20),C88,)</f>
        <v>0</v>
      </c>
      <c r="K88" s="30" t="n">
        <f aca="false">IF('Stammdaten - Schwimmer'!$D84&gt;DATE(2011,7,20),D88,)</f>
        <v>0</v>
      </c>
      <c r="L88" s="29" t="n">
        <f aca="false">IF('Stammdaten - Schwimmer'!$D84&gt;DATE(2011,7,20),'Stammdaten - Schwimmer'!F84,)</f>
        <v>0</v>
      </c>
      <c r="M88" s="0" t="e">
        <f aca="false">_xlfn.RANK.EQ(L88,L$4:L$103,0)</f>
        <v>#REF!</v>
      </c>
      <c r="O88" s="29" t="n">
        <f aca="false">IF(AND('Stammdaten - Schwimmer'!$D84&lt;DATE(2011,7,20),'Stammdaten - Schwimmer'!$D84&gt;DATE(2007,7,19)),A88,)</f>
        <v>0</v>
      </c>
      <c r="P88" s="29" t="n">
        <f aca="false">IF(AND('Stammdaten - Schwimmer'!$D84&lt;DATE(2011,7,20),'Stammdaten - Schwimmer'!$D84&gt;DATE(2007,7,19)),B88,)</f>
        <v>0</v>
      </c>
      <c r="Q88" s="29" t="n">
        <f aca="false">IF(AND('Stammdaten - Schwimmer'!$D84&lt;DATE(2011,7,20),'Stammdaten - Schwimmer'!$D84&gt;DATE(2007,7,19)),C88,)</f>
        <v>0</v>
      </c>
      <c r="R88" s="30" t="n">
        <f aca="false">IF(AND('Stammdaten - Schwimmer'!$D84&lt;DATE(2011,7,20),'Stammdaten - Schwimmer'!$D84&gt;DATE(2007,7,19)),D88,)</f>
        <v>0</v>
      </c>
      <c r="S88" s="46" t="n">
        <f aca="false">IF(AND('Stammdaten - Schwimmer'!$D84&lt;DATE(2011,7,20),'Stammdaten - Schwimmer'!$D84&gt;DATE(2007,7,19)),'Stammdaten - Schwimmer'!F84,)</f>
        <v>0</v>
      </c>
      <c r="T88" s="0" t="e">
        <f aca="false">_xlfn.RANK.EQ(S88,S$4:S$103,0)</f>
        <v>#REF!</v>
      </c>
      <c r="V88" s="29" t="n">
        <f aca="false">IF('Stammdaten - Schwimmer'!$D84&lt;DATE(2007,7,20),A88,)</f>
        <v>82</v>
      </c>
      <c r="W88" s="29" t="n">
        <f aca="false">IF('Stammdaten - Schwimmer'!$D84&lt;DATE(2007,7,20),B88,)</f>
        <v>0</v>
      </c>
      <c r="X88" s="29" t="n">
        <f aca="false">IF('Stammdaten - Schwimmer'!$D84&lt;DATE(2007,7,20),C88,)</f>
        <v>0</v>
      </c>
      <c r="Y88" s="30" t="n">
        <f aca="false">IF('Stammdaten - Schwimmer'!$D84&lt;DATE(2007,7,20),D88,)</f>
        <v>0</v>
      </c>
      <c r="Z88" s="46" t="n">
        <f aca="false">IF('Stammdaten - Schwimmer'!$D84&lt;DATE(2007,7,20),'Stammdaten - Schwimmer'!F84,)</f>
        <v>0</v>
      </c>
      <c r="AA88" s="0" t="e">
        <f aca="false">_xlfn.RANK.EQ(Z88,Z$4:Z$103,0)</f>
        <v>#REF!</v>
      </c>
    </row>
    <row r="89" customFormat="false" ht="15" hidden="false" customHeight="false" outlineLevel="0" collapsed="false">
      <c r="A89" s="44" t="n">
        <f aca="false">'Stammdaten - Schwimmer'!A85</f>
        <v>83</v>
      </c>
      <c r="B89" s="45" t="n">
        <f aca="false">'Stammdaten - Schwimmer'!B85</f>
        <v>0</v>
      </c>
      <c r="C89" s="45" t="n">
        <f aca="false">'Stammdaten - Schwimmer'!C85</f>
        <v>0</v>
      </c>
      <c r="D89" s="30" t="n">
        <f aca="false">'Stammdaten - Schwimmer'!J85+'Stammdaten - Schwimmer'!N85+'Stammdaten - Schwimmer'!R85+'Stammdaten - Schwimmer'!V85+'Stammdaten - Schwimmer'!Z86</f>
        <v>0</v>
      </c>
      <c r="E89" s="46" t="n">
        <f aca="false">'Stammdaten - Schwimmer'!F85</f>
        <v>0</v>
      </c>
      <c r="H89" s="29" t="n">
        <f aca="false">IF('Stammdaten - Schwimmer'!D85&gt;DATE(2011,7,20),A89,)</f>
        <v>0</v>
      </c>
      <c r="I89" s="29" t="n">
        <f aca="false">IF('Stammdaten - Schwimmer'!$D85&gt;DATE(2011,7,20),B89,)</f>
        <v>0</v>
      </c>
      <c r="J89" s="29" t="n">
        <f aca="false">IF('Stammdaten - Schwimmer'!$D85&gt;DATE(2011,7,20),C89,)</f>
        <v>0</v>
      </c>
      <c r="K89" s="30" t="n">
        <f aca="false">IF('Stammdaten - Schwimmer'!$D85&gt;DATE(2011,7,20),D89,)</f>
        <v>0</v>
      </c>
      <c r="L89" s="29" t="n">
        <f aca="false">IF('Stammdaten - Schwimmer'!$D85&gt;DATE(2011,7,20),'Stammdaten - Schwimmer'!F85,)</f>
        <v>0</v>
      </c>
      <c r="M89" s="0" t="e">
        <f aca="false">_xlfn.RANK.EQ(L89,L$4:L$103,0)</f>
        <v>#REF!</v>
      </c>
      <c r="O89" s="29" t="n">
        <f aca="false">IF(AND('Stammdaten - Schwimmer'!$D85&lt;DATE(2011,7,20),'Stammdaten - Schwimmer'!$D85&gt;DATE(2007,7,19)),A89,)</f>
        <v>0</v>
      </c>
      <c r="P89" s="29" t="n">
        <f aca="false">IF(AND('Stammdaten - Schwimmer'!$D85&lt;DATE(2011,7,20),'Stammdaten - Schwimmer'!$D85&gt;DATE(2007,7,19)),B89,)</f>
        <v>0</v>
      </c>
      <c r="Q89" s="29" t="n">
        <f aca="false">IF(AND('Stammdaten - Schwimmer'!$D85&lt;DATE(2011,7,20),'Stammdaten - Schwimmer'!$D85&gt;DATE(2007,7,19)),C89,)</f>
        <v>0</v>
      </c>
      <c r="R89" s="30" t="n">
        <f aca="false">IF(AND('Stammdaten - Schwimmer'!$D85&lt;DATE(2011,7,20),'Stammdaten - Schwimmer'!$D85&gt;DATE(2007,7,19)),D89,)</f>
        <v>0</v>
      </c>
      <c r="S89" s="46" t="n">
        <f aca="false">IF(AND('Stammdaten - Schwimmer'!$D85&lt;DATE(2011,7,20),'Stammdaten - Schwimmer'!$D85&gt;DATE(2007,7,19)),'Stammdaten - Schwimmer'!F85,)</f>
        <v>0</v>
      </c>
      <c r="T89" s="0" t="e">
        <f aca="false">_xlfn.RANK.EQ(S89,S$4:S$103,0)</f>
        <v>#REF!</v>
      </c>
      <c r="V89" s="29" t="n">
        <f aca="false">IF('Stammdaten - Schwimmer'!$D85&lt;DATE(2007,7,20),A89,)</f>
        <v>83</v>
      </c>
      <c r="W89" s="29" t="n">
        <f aca="false">IF('Stammdaten - Schwimmer'!$D85&lt;DATE(2007,7,20),B89,)</f>
        <v>0</v>
      </c>
      <c r="X89" s="29" t="n">
        <f aca="false">IF('Stammdaten - Schwimmer'!$D85&lt;DATE(2007,7,20),C89,)</f>
        <v>0</v>
      </c>
      <c r="Y89" s="30" t="n">
        <f aca="false">IF('Stammdaten - Schwimmer'!$D85&lt;DATE(2007,7,20),D89,)</f>
        <v>0</v>
      </c>
      <c r="Z89" s="46" t="n">
        <f aca="false">IF('Stammdaten - Schwimmer'!$D85&lt;DATE(2007,7,20),'Stammdaten - Schwimmer'!F85,)</f>
        <v>0</v>
      </c>
      <c r="AA89" s="0" t="e">
        <f aca="false">_xlfn.RANK.EQ(Z89,Z$4:Z$103,0)</f>
        <v>#REF!</v>
      </c>
    </row>
    <row r="90" customFormat="false" ht="15" hidden="false" customHeight="false" outlineLevel="0" collapsed="false">
      <c r="A90" s="44" t="n">
        <f aca="false">'Stammdaten - Schwimmer'!A86</f>
        <v>84</v>
      </c>
      <c r="B90" s="45" t="n">
        <f aca="false">'Stammdaten - Schwimmer'!B86</f>
        <v>0</v>
      </c>
      <c r="C90" s="45" t="n">
        <f aca="false">'Stammdaten - Schwimmer'!C86</f>
        <v>0</v>
      </c>
      <c r="D90" s="30" t="n">
        <f aca="false">'Stammdaten - Schwimmer'!J86+'Stammdaten - Schwimmer'!N86+'Stammdaten - Schwimmer'!R86+'Stammdaten - Schwimmer'!V86+'Stammdaten - Schwimmer'!Z87</f>
        <v>0</v>
      </c>
      <c r="E90" s="46" t="n">
        <f aca="false">'Stammdaten - Schwimmer'!F86</f>
        <v>0</v>
      </c>
      <c r="H90" s="29" t="n">
        <f aca="false">IF('Stammdaten - Schwimmer'!D86&gt;DATE(2011,7,20),A90,)</f>
        <v>0</v>
      </c>
      <c r="I90" s="29" t="n">
        <f aca="false">IF('Stammdaten - Schwimmer'!$D86&gt;DATE(2011,7,20),B90,)</f>
        <v>0</v>
      </c>
      <c r="J90" s="29" t="n">
        <f aca="false">IF('Stammdaten - Schwimmer'!$D86&gt;DATE(2011,7,20),C90,)</f>
        <v>0</v>
      </c>
      <c r="K90" s="30" t="n">
        <f aca="false">IF('Stammdaten - Schwimmer'!$D86&gt;DATE(2011,7,20),D90,)</f>
        <v>0</v>
      </c>
      <c r="L90" s="29" t="n">
        <f aca="false">IF('Stammdaten - Schwimmer'!$D86&gt;DATE(2011,7,20),'Stammdaten - Schwimmer'!F86,)</f>
        <v>0</v>
      </c>
      <c r="M90" s="0" t="e">
        <f aca="false">_xlfn.RANK.EQ(L90,L$4:L$103,0)</f>
        <v>#REF!</v>
      </c>
      <c r="O90" s="29" t="n">
        <f aca="false">IF(AND('Stammdaten - Schwimmer'!$D86&lt;DATE(2011,7,20),'Stammdaten - Schwimmer'!$D86&gt;DATE(2007,7,19)),A90,)</f>
        <v>0</v>
      </c>
      <c r="P90" s="29" t="n">
        <f aca="false">IF(AND('Stammdaten - Schwimmer'!$D86&lt;DATE(2011,7,20),'Stammdaten - Schwimmer'!$D86&gt;DATE(2007,7,19)),B90,)</f>
        <v>0</v>
      </c>
      <c r="Q90" s="29" t="n">
        <f aca="false">IF(AND('Stammdaten - Schwimmer'!$D86&lt;DATE(2011,7,20),'Stammdaten - Schwimmer'!$D86&gt;DATE(2007,7,19)),C90,)</f>
        <v>0</v>
      </c>
      <c r="R90" s="30" t="n">
        <f aca="false">IF(AND('Stammdaten - Schwimmer'!$D86&lt;DATE(2011,7,20),'Stammdaten - Schwimmer'!$D86&gt;DATE(2007,7,19)),D90,)</f>
        <v>0</v>
      </c>
      <c r="S90" s="46" t="n">
        <f aca="false">IF(AND('Stammdaten - Schwimmer'!$D86&lt;DATE(2011,7,20),'Stammdaten - Schwimmer'!$D86&gt;DATE(2007,7,19)),'Stammdaten - Schwimmer'!F86,)</f>
        <v>0</v>
      </c>
      <c r="T90" s="0" t="e">
        <f aca="false">_xlfn.RANK.EQ(S90,S$4:S$103,0)</f>
        <v>#REF!</v>
      </c>
      <c r="V90" s="29" t="n">
        <f aca="false">IF('Stammdaten - Schwimmer'!$D86&lt;DATE(2007,7,20),A90,)</f>
        <v>84</v>
      </c>
      <c r="W90" s="29" t="n">
        <f aca="false">IF('Stammdaten - Schwimmer'!$D86&lt;DATE(2007,7,20),B90,)</f>
        <v>0</v>
      </c>
      <c r="X90" s="29" t="n">
        <f aca="false">IF('Stammdaten - Schwimmer'!$D86&lt;DATE(2007,7,20),C90,)</f>
        <v>0</v>
      </c>
      <c r="Y90" s="30" t="n">
        <f aca="false">IF('Stammdaten - Schwimmer'!$D86&lt;DATE(2007,7,20),D90,)</f>
        <v>0</v>
      </c>
      <c r="Z90" s="46" t="n">
        <f aca="false">IF('Stammdaten - Schwimmer'!$D86&lt;DATE(2007,7,20),'Stammdaten - Schwimmer'!F86,)</f>
        <v>0</v>
      </c>
      <c r="AA90" s="0" t="e">
        <f aca="false">_xlfn.RANK.EQ(Z90,Z$4:Z$103,0)</f>
        <v>#REF!</v>
      </c>
    </row>
    <row r="91" customFormat="false" ht="15" hidden="false" customHeight="false" outlineLevel="0" collapsed="false">
      <c r="A91" s="44" t="n">
        <f aca="false">'Stammdaten - Schwimmer'!A87</f>
        <v>85</v>
      </c>
      <c r="B91" s="45" t="n">
        <f aca="false">'Stammdaten - Schwimmer'!B87</f>
        <v>0</v>
      </c>
      <c r="C91" s="45" t="n">
        <f aca="false">'Stammdaten - Schwimmer'!C87</f>
        <v>0</v>
      </c>
      <c r="D91" s="30" t="n">
        <f aca="false">'Stammdaten - Schwimmer'!J87+'Stammdaten - Schwimmer'!N87+'Stammdaten - Schwimmer'!R87+'Stammdaten - Schwimmer'!V87+'Stammdaten - Schwimmer'!Z88</f>
        <v>0</v>
      </c>
      <c r="E91" s="46" t="n">
        <f aca="false">'Stammdaten - Schwimmer'!F87</f>
        <v>0</v>
      </c>
      <c r="H91" s="29" t="n">
        <f aca="false">IF('Stammdaten - Schwimmer'!D87&gt;DATE(2011,7,20),A91,)</f>
        <v>0</v>
      </c>
      <c r="I91" s="29" t="n">
        <f aca="false">IF('Stammdaten - Schwimmer'!$D87&gt;DATE(2011,7,20),B91,)</f>
        <v>0</v>
      </c>
      <c r="J91" s="29" t="n">
        <f aca="false">IF('Stammdaten - Schwimmer'!$D87&gt;DATE(2011,7,20),C91,)</f>
        <v>0</v>
      </c>
      <c r="K91" s="30" t="n">
        <f aca="false">IF('Stammdaten - Schwimmer'!$D87&gt;DATE(2011,7,20),D91,)</f>
        <v>0</v>
      </c>
      <c r="L91" s="29" t="n">
        <f aca="false">IF('Stammdaten - Schwimmer'!$D87&gt;DATE(2011,7,20),'Stammdaten - Schwimmer'!F87,)</f>
        <v>0</v>
      </c>
      <c r="M91" s="0" t="e">
        <f aca="false">_xlfn.RANK.EQ(L91,L$4:L$103,0)</f>
        <v>#REF!</v>
      </c>
      <c r="O91" s="29" t="n">
        <f aca="false">IF(AND('Stammdaten - Schwimmer'!$D87&lt;DATE(2011,7,20),'Stammdaten - Schwimmer'!$D87&gt;DATE(2007,7,19)),A91,)</f>
        <v>0</v>
      </c>
      <c r="P91" s="29" t="n">
        <f aca="false">IF(AND('Stammdaten - Schwimmer'!$D87&lt;DATE(2011,7,20),'Stammdaten - Schwimmer'!$D87&gt;DATE(2007,7,19)),B91,)</f>
        <v>0</v>
      </c>
      <c r="Q91" s="29" t="n">
        <f aca="false">IF(AND('Stammdaten - Schwimmer'!$D87&lt;DATE(2011,7,20),'Stammdaten - Schwimmer'!$D87&gt;DATE(2007,7,19)),C91,)</f>
        <v>0</v>
      </c>
      <c r="R91" s="30" t="n">
        <f aca="false">IF(AND('Stammdaten - Schwimmer'!$D87&lt;DATE(2011,7,20),'Stammdaten - Schwimmer'!$D87&gt;DATE(2007,7,19)),D91,)</f>
        <v>0</v>
      </c>
      <c r="S91" s="46" t="n">
        <f aca="false">IF(AND('Stammdaten - Schwimmer'!$D87&lt;DATE(2011,7,20),'Stammdaten - Schwimmer'!$D87&gt;DATE(2007,7,19)),'Stammdaten - Schwimmer'!F87,)</f>
        <v>0</v>
      </c>
      <c r="T91" s="0" t="e">
        <f aca="false">_xlfn.RANK.EQ(S91,S$4:S$103,0)</f>
        <v>#REF!</v>
      </c>
      <c r="V91" s="29" t="n">
        <f aca="false">IF('Stammdaten - Schwimmer'!$D87&lt;DATE(2007,7,20),A91,)</f>
        <v>85</v>
      </c>
      <c r="W91" s="29" t="n">
        <f aca="false">IF('Stammdaten - Schwimmer'!$D87&lt;DATE(2007,7,20),B91,)</f>
        <v>0</v>
      </c>
      <c r="X91" s="29" t="n">
        <f aca="false">IF('Stammdaten - Schwimmer'!$D87&lt;DATE(2007,7,20),C91,)</f>
        <v>0</v>
      </c>
      <c r="Y91" s="30" t="n">
        <f aca="false">IF('Stammdaten - Schwimmer'!$D87&lt;DATE(2007,7,20),D91,)</f>
        <v>0</v>
      </c>
      <c r="Z91" s="46" t="n">
        <f aca="false">IF('Stammdaten - Schwimmer'!$D87&lt;DATE(2007,7,20),'Stammdaten - Schwimmer'!F87,)</f>
        <v>0</v>
      </c>
      <c r="AA91" s="0" t="e">
        <f aca="false">_xlfn.RANK.EQ(Z91,Z$4:Z$103,0)</f>
        <v>#REF!</v>
      </c>
    </row>
    <row r="92" customFormat="false" ht="15" hidden="false" customHeight="false" outlineLevel="0" collapsed="false">
      <c r="A92" s="44" t="n">
        <f aca="false">'Stammdaten - Schwimmer'!A88</f>
        <v>86</v>
      </c>
      <c r="B92" s="45" t="n">
        <f aca="false">'Stammdaten - Schwimmer'!B88</f>
        <v>0</v>
      </c>
      <c r="C92" s="45" t="n">
        <f aca="false">'Stammdaten - Schwimmer'!C88</f>
        <v>0</v>
      </c>
      <c r="D92" s="30" t="n">
        <f aca="false">'Stammdaten - Schwimmer'!J88+'Stammdaten - Schwimmer'!N88+'Stammdaten - Schwimmer'!R88+'Stammdaten - Schwimmer'!V88+'Stammdaten - Schwimmer'!Z89</f>
        <v>0</v>
      </c>
      <c r="E92" s="46" t="n">
        <f aca="false">'Stammdaten - Schwimmer'!F88</f>
        <v>0</v>
      </c>
      <c r="H92" s="29" t="n">
        <f aca="false">IF('Stammdaten - Schwimmer'!D88&gt;DATE(2011,7,20),A92,)</f>
        <v>0</v>
      </c>
      <c r="I92" s="29" t="n">
        <f aca="false">IF('Stammdaten - Schwimmer'!$D88&gt;DATE(2011,7,20),B92,)</f>
        <v>0</v>
      </c>
      <c r="J92" s="29" t="n">
        <f aca="false">IF('Stammdaten - Schwimmer'!$D88&gt;DATE(2011,7,20),C92,)</f>
        <v>0</v>
      </c>
      <c r="K92" s="30" t="n">
        <f aca="false">IF('Stammdaten - Schwimmer'!$D88&gt;DATE(2011,7,20),D92,)</f>
        <v>0</v>
      </c>
      <c r="L92" s="29" t="n">
        <f aca="false">IF('Stammdaten - Schwimmer'!$D88&gt;DATE(2011,7,20),'Stammdaten - Schwimmer'!F88,)</f>
        <v>0</v>
      </c>
      <c r="M92" s="0" t="e">
        <f aca="false">_xlfn.RANK.EQ(L92,L$4:L$103,0)</f>
        <v>#REF!</v>
      </c>
      <c r="O92" s="29" t="n">
        <f aca="false">IF(AND('Stammdaten - Schwimmer'!$D88&lt;DATE(2011,7,20),'Stammdaten - Schwimmer'!$D88&gt;DATE(2007,7,19)),A92,)</f>
        <v>0</v>
      </c>
      <c r="P92" s="29" t="n">
        <f aca="false">IF(AND('Stammdaten - Schwimmer'!$D88&lt;DATE(2011,7,20),'Stammdaten - Schwimmer'!$D88&gt;DATE(2007,7,19)),B92,)</f>
        <v>0</v>
      </c>
      <c r="Q92" s="29" t="n">
        <f aca="false">IF(AND('Stammdaten - Schwimmer'!$D88&lt;DATE(2011,7,20),'Stammdaten - Schwimmer'!$D88&gt;DATE(2007,7,19)),C92,)</f>
        <v>0</v>
      </c>
      <c r="R92" s="30" t="n">
        <f aca="false">IF(AND('Stammdaten - Schwimmer'!$D88&lt;DATE(2011,7,20),'Stammdaten - Schwimmer'!$D88&gt;DATE(2007,7,19)),D92,)</f>
        <v>0</v>
      </c>
      <c r="S92" s="46" t="n">
        <f aca="false">IF(AND('Stammdaten - Schwimmer'!$D88&lt;DATE(2011,7,20),'Stammdaten - Schwimmer'!$D88&gt;DATE(2007,7,19)),'Stammdaten - Schwimmer'!F88,)</f>
        <v>0</v>
      </c>
      <c r="T92" s="0" t="e">
        <f aca="false">_xlfn.RANK.EQ(S92,S$4:S$103,0)</f>
        <v>#REF!</v>
      </c>
      <c r="V92" s="29" t="n">
        <f aca="false">IF('Stammdaten - Schwimmer'!$D88&lt;DATE(2007,7,20),A92,)</f>
        <v>86</v>
      </c>
      <c r="W92" s="29" t="n">
        <f aca="false">IF('Stammdaten - Schwimmer'!$D88&lt;DATE(2007,7,20),B92,)</f>
        <v>0</v>
      </c>
      <c r="X92" s="29" t="n">
        <f aca="false">IF('Stammdaten - Schwimmer'!$D88&lt;DATE(2007,7,20),C92,)</f>
        <v>0</v>
      </c>
      <c r="Y92" s="30" t="n">
        <f aca="false">IF('Stammdaten - Schwimmer'!$D88&lt;DATE(2007,7,20),D92,)</f>
        <v>0</v>
      </c>
      <c r="Z92" s="46" t="n">
        <f aca="false">IF('Stammdaten - Schwimmer'!$D88&lt;DATE(2007,7,20),'Stammdaten - Schwimmer'!F88,)</f>
        <v>0</v>
      </c>
      <c r="AA92" s="0" t="e">
        <f aca="false">_xlfn.RANK.EQ(Z92,Z$4:Z$103,0)</f>
        <v>#REF!</v>
      </c>
    </row>
    <row r="93" customFormat="false" ht="15" hidden="false" customHeight="false" outlineLevel="0" collapsed="false">
      <c r="A93" s="44" t="n">
        <f aca="false">'Stammdaten - Schwimmer'!A89</f>
        <v>87</v>
      </c>
      <c r="B93" s="45" t="n">
        <f aca="false">'Stammdaten - Schwimmer'!B89</f>
        <v>0</v>
      </c>
      <c r="C93" s="45" t="n">
        <f aca="false">'Stammdaten - Schwimmer'!C89</f>
        <v>0</v>
      </c>
      <c r="D93" s="30" t="n">
        <f aca="false">'Stammdaten - Schwimmer'!J89+'Stammdaten - Schwimmer'!N89+'Stammdaten - Schwimmer'!R89+'Stammdaten - Schwimmer'!V89+'Stammdaten - Schwimmer'!Z90</f>
        <v>0</v>
      </c>
      <c r="E93" s="46" t="n">
        <f aca="false">'Stammdaten - Schwimmer'!F89</f>
        <v>0</v>
      </c>
      <c r="H93" s="29" t="n">
        <f aca="false">IF('Stammdaten - Schwimmer'!D89&gt;DATE(2011,7,20),A93,)</f>
        <v>0</v>
      </c>
      <c r="I93" s="29" t="n">
        <f aca="false">IF('Stammdaten - Schwimmer'!$D89&gt;DATE(2011,7,20),B93,)</f>
        <v>0</v>
      </c>
      <c r="J93" s="29" t="n">
        <f aca="false">IF('Stammdaten - Schwimmer'!$D89&gt;DATE(2011,7,20),C93,)</f>
        <v>0</v>
      </c>
      <c r="K93" s="30" t="n">
        <f aca="false">IF('Stammdaten - Schwimmer'!$D89&gt;DATE(2011,7,20),D93,)</f>
        <v>0</v>
      </c>
      <c r="L93" s="29" t="n">
        <f aca="false">IF('Stammdaten - Schwimmer'!$D89&gt;DATE(2011,7,20),'Stammdaten - Schwimmer'!F89,)</f>
        <v>0</v>
      </c>
      <c r="M93" s="0" t="e">
        <f aca="false">_xlfn.RANK.EQ(L93,L$4:L$103,0)</f>
        <v>#REF!</v>
      </c>
      <c r="O93" s="29" t="n">
        <f aca="false">IF(AND('Stammdaten - Schwimmer'!$D89&lt;DATE(2011,7,20),'Stammdaten - Schwimmer'!$D89&gt;DATE(2007,7,19)),A93,)</f>
        <v>0</v>
      </c>
      <c r="P93" s="29" t="n">
        <f aca="false">IF(AND('Stammdaten - Schwimmer'!$D89&lt;DATE(2011,7,20),'Stammdaten - Schwimmer'!$D89&gt;DATE(2007,7,19)),B93,)</f>
        <v>0</v>
      </c>
      <c r="Q93" s="29" t="n">
        <f aca="false">IF(AND('Stammdaten - Schwimmer'!$D89&lt;DATE(2011,7,20),'Stammdaten - Schwimmer'!$D89&gt;DATE(2007,7,19)),C93,)</f>
        <v>0</v>
      </c>
      <c r="R93" s="30" t="n">
        <f aca="false">IF(AND('Stammdaten - Schwimmer'!$D89&lt;DATE(2011,7,20),'Stammdaten - Schwimmer'!$D89&gt;DATE(2007,7,19)),D93,)</f>
        <v>0</v>
      </c>
      <c r="S93" s="46" t="n">
        <f aca="false">IF(AND('Stammdaten - Schwimmer'!$D89&lt;DATE(2011,7,20),'Stammdaten - Schwimmer'!$D89&gt;DATE(2007,7,19)),'Stammdaten - Schwimmer'!F89,)</f>
        <v>0</v>
      </c>
      <c r="T93" s="0" t="e">
        <f aca="false">_xlfn.RANK.EQ(S93,S$4:S$103,0)</f>
        <v>#REF!</v>
      </c>
      <c r="V93" s="29" t="n">
        <f aca="false">IF('Stammdaten - Schwimmer'!$D89&lt;DATE(2007,7,20),A93,)</f>
        <v>87</v>
      </c>
      <c r="W93" s="29" t="n">
        <f aca="false">IF('Stammdaten - Schwimmer'!$D89&lt;DATE(2007,7,20),B93,)</f>
        <v>0</v>
      </c>
      <c r="X93" s="29" t="n">
        <f aca="false">IF('Stammdaten - Schwimmer'!$D89&lt;DATE(2007,7,20),C93,)</f>
        <v>0</v>
      </c>
      <c r="Y93" s="30" t="n">
        <f aca="false">IF('Stammdaten - Schwimmer'!$D89&lt;DATE(2007,7,20),D93,)</f>
        <v>0</v>
      </c>
      <c r="Z93" s="46" t="n">
        <f aca="false">IF('Stammdaten - Schwimmer'!$D89&lt;DATE(2007,7,20),'Stammdaten - Schwimmer'!F89,)</f>
        <v>0</v>
      </c>
      <c r="AA93" s="0" t="e">
        <f aca="false">_xlfn.RANK.EQ(Z93,Z$4:Z$103,0)</f>
        <v>#REF!</v>
      </c>
    </row>
    <row r="94" customFormat="false" ht="15" hidden="false" customHeight="false" outlineLevel="0" collapsed="false">
      <c r="A94" s="44" t="n">
        <f aca="false">'Stammdaten - Schwimmer'!A90</f>
        <v>88</v>
      </c>
      <c r="B94" s="45" t="n">
        <f aca="false">'Stammdaten - Schwimmer'!B90</f>
        <v>0</v>
      </c>
      <c r="C94" s="45" t="n">
        <f aca="false">'Stammdaten - Schwimmer'!C90</f>
        <v>0</v>
      </c>
      <c r="D94" s="30" t="n">
        <f aca="false">'Stammdaten - Schwimmer'!J90+'Stammdaten - Schwimmer'!N90+'Stammdaten - Schwimmer'!R90+'Stammdaten - Schwimmer'!V90+'Stammdaten - Schwimmer'!Z91</f>
        <v>0</v>
      </c>
      <c r="E94" s="46" t="n">
        <f aca="false">'Stammdaten - Schwimmer'!F90</f>
        <v>0</v>
      </c>
      <c r="H94" s="29" t="n">
        <f aca="false">IF('Stammdaten - Schwimmer'!D90&gt;DATE(2011,7,20),A94,)</f>
        <v>0</v>
      </c>
      <c r="I94" s="29" t="n">
        <f aca="false">IF('Stammdaten - Schwimmer'!$D90&gt;DATE(2011,7,20),B94,)</f>
        <v>0</v>
      </c>
      <c r="J94" s="29" t="n">
        <f aca="false">IF('Stammdaten - Schwimmer'!$D90&gt;DATE(2011,7,20),C94,)</f>
        <v>0</v>
      </c>
      <c r="K94" s="30" t="n">
        <f aca="false">IF('Stammdaten - Schwimmer'!$D90&gt;DATE(2011,7,20),D94,)</f>
        <v>0</v>
      </c>
      <c r="L94" s="29" t="n">
        <f aca="false">IF('Stammdaten - Schwimmer'!$D90&gt;DATE(2011,7,20),'Stammdaten - Schwimmer'!F90,)</f>
        <v>0</v>
      </c>
      <c r="M94" s="0" t="e">
        <f aca="false">_xlfn.RANK.EQ(L94,L$4:L$103,0)</f>
        <v>#REF!</v>
      </c>
      <c r="O94" s="29" t="n">
        <f aca="false">IF(AND('Stammdaten - Schwimmer'!$D90&lt;DATE(2011,7,20),'Stammdaten - Schwimmer'!$D90&gt;DATE(2007,7,19)),A94,)</f>
        <v>0</v>
      </c>
      <c r="P94" s="29" t="n">
        <f aca="false">IF(AND('Stammdaten - Schwimmer'!$D90&lt;DATE(2011,7,20),'Stammdaten - Schwimmer'!$D90&gt;DATE(2007,7,19)),B94,)</f>
        <v>0</v>
      </c>
      <c r="Q94" s="29" t="n">
        <f aca="false">IF(AND('Stammdaten - Schwimmer'!$D90&lt;DATE(2011,7,20),'Stammdaten - Schwimmer'!$D90&gt;DATE(2007,7,19)),C94,)</f>
        <v>0</v>
      </c>
      <c r="R94" s="30" t="n">
        <f aca="false">IF(AND('Stammdaten - Schwimmer'!$D90&lt;DATE(2011,7,20),'Stammdaten - Schwimmer'!$D90&gt;DATE(2007,7,19)),D94,)</f>
        <v>0</v>
      </c>
      <c r="S94" s="46" t="n">
        <f aca="false">IF(AND('Stammdaten - Schwimmer'!$D90&lt;DATE(2011,7,20),'Stammdaten - Schwimmer'!$D90&gt;DATE(2007,7,19)),'Stammdaten - Schwimmer'!F90,)</f>
        <v>0</v>
      </c>
      <c r="T94" s="0" t="e">
        <f aca="false">_xlfn.RANK.EQ(S94,S$4:S$103,0)</f>
        <v>#REF!</v>
      </c>
      <c r="V94" s="29" t="n">
        <f aca="false">IF('Stammdaten - Schwimmer'!$D90&lt;DATE(2007,7,20),A94,)</f>
        <v>88</v>
      </c>
      <c r="W94" s="29" t="n">
        <f aca="false">IF('Stammdaten - Schwimmer'!$D90&lt;DATE(2007,7,20),B94,)</f>
        <v>0</v>
      </c>
      <c r="X94" s="29" t="n">
        <f aca="false">IF('Stammdaten - Schwimmer'!$D90&lt;DATE(2007,7,20),C94,)</f>
        <v>0</v>
      </c>
      <c r="Y94" s="30" t="n">
        <f aca="false">IF('Stammdaten - Schwimmer'!$D90&lt;DATE(2007,7,20),D94,)</f>
        <v>0</v>
      </c>
      <c r="Z94" s="46" t="n">
        <f aca="false">IF('Stammdaten - Schwimmer'!$D90&lt;DATE(2007,7,20),'Stammdaten - Schwimmer'!F90,)</f>
        <v>0</v>
      </c>
      <c r="AA94" s="0" t="e">
        <f aca="false">_xlfn.RANK.EQ(Z94,Z$4:Z$103,0)</f>
        <v>#REF!</v>
      </c>
    </row>
    <row r="95" customFormat="false" ht="15" hidden="false" customHeight="false" outlineLevel="0" collapsed="false">
      <c r="A95" s="44" t="n">
        <f aca="false">'Stammdaten - Schwimmer'!A91</f>
        <v>89</v>
      </c>
      <c r="B95" s="45" t="n">
        <f aca="false">'Stammdaten - Schwimmer'!B91</f>
        <v>0</v>
      </c>
      <c r="C95" s="45" t="n">
        <f aca="false">'Stammdaten - Schwimmer'!C91</f>
        <v>0</v>
      </c>
      <c r="D95" s="30" t="n">
        <f aca="false">'Stammdaten - Schwimmer'!J91+'Stammdaten - Schwimmer'!N91+'Stammdaten - Schwimmer'!R91+'Stammdaten - Schwimmer'!V91+'Stammdaten - Schwimmer'!Z92</f>
        <v>0</v>
      </c>
      <c r="E95" s="46" t="n">
        <f aca="false">'Stammdaten - Schwimmer'!F91</f>
        <v>0</v>
      </c>
      <c r="H95" s="29" t="n">
        <f aca="false">IF('Stammdaten - Schwimmer'!D91&gt;DATE(2011,7,20),A95,)</f>
        <v>0</v>
      </c>
      <c r="I95" s="29" t="n">
        <f aca="false">IF('Stammdaten - Schwimmer'!$D91&gt;DATE(2011,7,20),B95,)</f>
        <v>0</v>
      </c>
      <c r="J95" s="29" t="n">
        <f aca="false">IF('Stammdaten - Schwimmer'!$D91&gt;DATE(2011,7,20),C95,)</f>
        <v>0</v>
      </c>
      <c r="K95" s="30" t="n">
        <f aca="false">IF('Stammdaten - Schwimmer'!$D91&gt;DATE(2011,7,20),D95,)</f>
        <v>0</v>
      </c>
      <c r="L95" s="29" t="n">
        <f aca="false">IF('Stammdaten - Schwimmer'!$D91&gt;DATE(2011,7,20),'Stammdaten - Schwimmer'!F91,)</f>
        <v>0</v>
      </c>
      <c r="M95" s="0" t="e">
        <f aca="false">_xlfn.RANK.EQ(L95,L$4:L$103,0)</f>
        <v>#REF!</v>
      </c>
      <c r="O95" s="29" t="n">
        <f aca="false">IF(AND('Stammdaten - Schwimmer'!$D91&lt;DATE(2011,7,20),'Stammdaten - Schwimmer'!$D91&gt;DATE(2007,7,19)),A95,)</f>
        <v>0</v>
      </c>
      <c r="P95" s="29" t="n">
        <f aca="false">IF(AND('Stammdaten - Schwimmer'!$D91&lt;DATE(2011,7,20),'Stammdaten - Schwimmer'!$D91&gt;DATE(2007,7,19)),B95,)</f>
        <v>0</v>
      </c>
      <c r="Q95" s="29" t="n">
        <f aca="false">IF(AND('Stammdaten - Schwimmer'!$D91&lt;DATE(2011,7,20),'Stammdaten - Schwimmer'!$D91&gt;DATE(2007,7,19)),C95,)</f>
        <v>0</v>
      </c>
      <c r="R95" s="30" t="n">
        <f aca="false">IF(AND('Stammdaten - Schwimmer'!$D91&lt;DATE(2011,7,20),'Stammdaten - Schwimmer'!$D91&gt;DATE(2007,7,19)),D95,)</f>
        <v>0</v>
      </c>
      <c r="S95" s="46" t="n">
        <f aca="false">IF(AND('Stammdaten - Schwimmer'!$D91&lt;DATE(2011,7,20),'Stammdaten - Schwimmer'!$D91&gt;DATE(2007,7,19)),'Stammdaten - Schwimmer'!F91,)</f>
        <v>0</v>
      </c>
      <c r="T95" s="0" t="e">
        <f aca="false">_xlfn.RANK.EQ(S95,S$4:S$103,0)</f>
        <v>#REF!</v>
      </c>
      <c r="V95" s="29" t="n">
        <f aca="false">IF('Stammdaten - Schwimmer'!$D91&lt;DATE(2007,7,20),A95,)</f>
        <v>89</v>
      </c>
      <c r="W95" s="29" t="n">
        <f aca="false">IF('Stammdaten - Schwimmer'!$D91&lt;DATE(2007,7,20),B95,)</f>
        <v>0</v>
      </c>
      <c r="X95" s="29" t="n">
        <f aca="false">IF('Stammdaten - Schwimmer'!$D91&lt;DATE(2007,7,20),C95,)</f>
        <v>0</v>
      </c>
      <c r="Y95" s="30" t="n">
        <f aca="false">IF('Stammdaten - Schwimmer'!$D91&lt;DATE(2007,7,20),D95,)</f>
        <v>0</v>
      </c>
      <c r="Z95" s="46" t="n">
        <f aca="false">IF('Stammdaten - Schwimmer'!$D91&lt;DATE(2007,7,20),'Stammdaten - Schwimmer'!F91,)</f>
        <v>0</v>
      </c>
      <c r="AA95" s="0" t="e">
        <f aca="false">_xlfn.RANK.EQ(Z95,Z$4:Z$103,0)</f>
        <v>#REF!</v>
      </c>
    </row>
    <row r="96" customFormat="false" ht="15" hidden="false" customHeight="false" outlineLevel="0" collapsed="false">
      <c r="A96" s="44" t="n">
        <f aca="false">'Stammdaten - Schwimmer'!A92</f>
        <v>90</v>
      </c>
      <c r="B96" s="45" t="n">
        <f aca="false">'Stammdaten - Schwimmer'!B92</f>
        <v>0</v>
      </c>
      <c r="C96" s="45" t="n">
        <f aca="false">'Stammdaten - Schwimmer'!C92</f>
        <v>0</v>
      </c>
      <c r="D96" s="30" t="n">
        <f aca="false">'Stammdaten - Schwimmer'!J92+'Stammdaten - Schwimmer'!N92+'Stammdaten - Schwimmer'!R92+'Stammdaten - Schwimmer'!V92+'Stammdaten - Schwimmer'!Z93</f>
        <v>0</v>
      </c>
      <c r="E96" s="46" t="n">
        <f aca="false">'Stammdaten - Schwimmer'!F92</f>
        <v>0</v>
      </c>
      <c r="H96" s="29" t="n">
        <f aca="false">IF('Stammdaten - Schwimmer'!D92&gt;DATE(2011,7,20),A96,)</f>
        <v>0</v>
      </c>
      <c r="I96" s="29" t="n">
        <f aca="false">IF('Stammdaten - Schwimmer'!$D92&gt;DATE(2011,7,20),B96,)</f>
        <v>0</v>
      </c>
      <c r="J96" s="29" t="n">
        <f aca="false">IF('Stammdaten - Schwimmer'!$D92&gt;DATE(2011,7,20),C96,)</f>
        <v>0</v>
      </c>
      <c r="K96" s="30" t="n">
        <f aca="false">IF('Stammdaten - Schwimmer'!$D92&gt;DATE(2011,7,20),D96,)</f>
        <v>0</v>
      </c>
      <c r="L96" s="29" t="n">
        <f aca="false">IF('Stammdaten - Schwimmer'!$D92&gt;DATE(2011,7,20),'Stammdaten - Schwimmer'!F92,)</f>
        <v>0</v>
      </c>
      <c r="M96" s="0" t="e">
        <f aca="false">_xlfn.RANK.EQ(L96,L$4:L$103,0)</f>
        <v>#REF!</v>
      </c>
      <c r="O96" s="29" t="n">
        <f aca="false">IF(AND('Stammdaten - Schwimmer'!$D92&lt;DATE(2011,7,20),'Stammdaten - Schwimmer'!$D92&gt;DATE(2007,7,19)),A96,)</f>
        <v>0</v>
      </c>
      <c r="P96" s="29" t="n">
        <f aca="false">IF(AND('Stammdaten - Schwimmer'!$D92&lt;DATE(2011,7,20),'Stammdaten - Schwimmer'!$D92&gt;DATE(2007,7,19)),B96,)</f>
        <v>0</v>
      </c>
      <c r="Q96" s="29" t="n">
        <f aca="false">IF(AND('Stammdaten - Schwimmer'!$D92&lt;DATE(2011,7,20),'Stammdaten - Schwimmer'!$D92&gt;DATE(2007,7,19)),C96,)</f>
        <v>0</v>
      </c>
      <c r="R96" s="30" t="n">
        <f aca="false">IF(AND('Stammdaten - Schwimmer'!$D92&lt;DATE(2011,7,20),'Stammdaten - Schwimmer'!$D92&gt;DATE(2007,7,19)),D96,)</f>
        <v>0</v>
      </c>
      <c r="S96" s="46" t="n">
        <f aca="false">IF(AND('Stammdaten - Schwimmer'!$D92&lt;DATE(2011,7,20),'Stammdaten - Schwimmer'!$D92&gt;DATE(2007,7,19)),'Stammdaten - Schwimmer'!F92,)</f>
        <v>0</v>
      </c>
      <c r="T96" s="0" t="e">
        <f aca="false">_xlfn.RANK.EQ(S96,S$4:S$103,0)</f>
        <v>#REF!</v>
      </c>
      <c r="V96" s="29" t="n">
        <f aca="false">IF('Stammdaten - Schwimmer'!$D92&lt;DATE(2007,7,20),A96,)</f>
        <v>90</v>
      </c>
      <c r="W96" s="29" t="n">
        <f aca="false">IF('Stammdaten - Schwimmer'!$D92&lt;DATE(2007,7,20),B96,)</f>
        <v>0</v>
      </c>
      <c r="X96" s="29" t="n">
        <f aca="false">IF('Stammdaten - Schwimmer'!$D92&lt;DATE(2007,7,20),C96,)</f>
        <v>0</v>
      </c>
      <c r="Y96" s="30" t="n">
        <f aca="false">IF('Stammdaten - Schwimmer'!$D92&lt;DATE(2007,7,20),D96,)</f>
        <v>0</v>
      </c>
      <c r="Z96" s="46" t="n">
        <f aca="false">IF('Stammdaten - Schwimmer'!$D92&lt;DATE(2007,7,20),'Stammdaten - Schwimmer'!F92,)</f>
        <v>0</v>
      </c>
      <c r="AA96" s="0" t="e">
        <f aca="false">_xlfn.RANK.EQ(Z96,Z$4:Z$103,0)</f>
        <v>#REF!</v>
      </c>
    </row>
    <row r="97" customFormat="false" ht="15" hidden="false" customHeight="false" outlineLevel="0" collapsed="false">
      <c r="A97" s="44" t="n">
        <f aca="false">'Stammdaten - Schwimmer'!A93</f>
        <v>91</v>
      </c>
      <c r="B97" s="45" t="n">
        <f aca="false">'Stammdaten - Schwimmer'!B93</f>
        <v>0</v>
      </c>
      <c r="C97" s="45" t="n">
        <f aca="false">'Stammdaten - Schwimmer'!C93</f>
        <v>0</v>
      </c>
      <c r="D97" s="30" t="n">
        <f aca="false">'Stammdaten - Schwimmer'!J93+'Stammdaten - Schwimmer'!N93+'Stammdaten - Schwimmer'!R93+'Stammdaten - Schwimmer'!V93+'Stammdaten - Schwimmer'!Z94</f>
        <v>0</v>
      </c>
      <c r="E97" s="46" t="n">
        <f aca="false">'Stammdaten - Schwimmer'!F93</f>
        <v>0</v>
      </c>
      <c r="H97" s="29" t="n">
        <f aca="false">IF('Stammdaten - Schwimmer'!D93&gt;DATE(2011,7,20),A97,)</f>
        <v>0</v>
      </c>
      <c r="I97" s="29" t="n">
        <f aca="false">IF('Stammdaten - Schwimmer'!$D93&gt;DATE(2011,7,20),B97,)</f>
        <v>0</v>
      </c>
      <c r="J97" s="29" t="n">
        <f aca="false">IF('Stammdaten - Schwimmer'!$D93&gt;DATE(2011,7,20),C97,)</f>
        <v>0</v>
      </c>
      <c r="K97" s="30" t="n">
        <f aca="false">IF('Stammdaten - Schwimmer'!$D93&gt;DATE(2011,7,20),D97,)</f>
        <v>0</v>
      </c>
      <c r="L97" s="29" t="n">
        <f aca="false">IF('Stammdaten - Schwimmer'!$D93&gt;DATE(2011,7,20),'Stammdaten - Schwimmer'!F93,)</f>
        <v>0</v>
      </c>
      <c r="M97" s="0" t="e">
        <f aca="false">_xlfn.RANK.EQ(L97,L$4:L$103,0)</f>
        <v>#REF!</v>
      </c>
      <c r="O97" s="29" t="n">
        <f aca="false">IF(AND('Stammdaten - Schwimmer'!$D93&lt;DATE(2011,7,20),'Stammdaten - Schwimmer'!$D93&gt;DATE(2007,7,19)),A97,)</f>
        <v>0</v>
      </c>
      <c r="P97" s="29" t="n">
        <f aca="false">IF(AND('Stammdaten - Schwimmer'!$D93&lt;DATE(2011,7,20),'Stammdaten - Schwimmer'!$D93&gt;DATE(2007,7,19)),B97,)</f>
        <v>0</v>
      </c>
      <c r="Q97" s="29" t="n">
        <f aca="false">IF(AND('Stammdaten - Schwimmer'!$D93&lt;DATE(2011,7,20),'Stammdaten - Schwimmer'!$D93&gt;DATE(2007,7,19)),C97,)</f>
        <v>0</v>
      </c>
      <c r="R97" s="30" t="n">
        <f aca="false">IF(AND('Stammdaten - Schwimmer'!$D93&lt;DATE(2011,7,20),'Stammdaten - Schwimmer'!$D93&gt;DATE(2007,7,19)),D97,)</f>
        <v>0</v>
      </c>
      <c r="S97" s="46" t="n">
        <f aca="false">IF(AND('Stammdaten - Schwimmer'!$D93&lt;DATE(2011,7,20),'Stammdaten - Schwimmer'!$D93&gt;DATE(2007,7,19)),'Stammdaten - Schwimmer'!F93,)</f>
        <v>0</v>
      </c>
      <c r="T97" s="0" t="e">
        <f aca="false">_xlfn.RANK.EQ(S97,S$4:S$103,0)</f>
        <v>#REF!</v>
      </c>
      <c r="V97" s="29" t="n">
        <f aca="false">IF('Stammdaten - Schwimmer'!$D93&lt;DATE(2007,7,20),A97,)</f>
        <v>91</v>
      </c>
      <c r="W97" s="29" t="n">
        <f aca="false">IF('Stammdaten - Schwimmer'!$D93&lt;DATE(2007,7,20),B97,)</f>
        <v>0</v>
      </c>
      <c r="X97" s="29" t="n">
        <f aca="false">IF('Stammdaten - Schwimmer'!$D93&lt;DATE(2007,7,20),C97,)</f>
        <v>0</v>
      </c>
      <c r="Y97" s="30" t="n">
        <f aca="false">IF('Stammdaten - Schwimmer'!$D93&lt;DATE(2007,7,20),D97,)</f>
        <v>0</v>
      </c>
      <c r="Z97" s="46" t="n">
        <f aca="false">IF('Stammdaten - Schwimmer'!$D93&lt;DATE(2007,7,20),'Stammdaten - Schwimmer'!F93,)</f>
        <v>0</v>
      </c>
      <c r="AA97" s="0" t="e">
        <f aca="false">_xlfn.RANK.EQ(Z97,Z$4:Z$103,0)</f>
        <v>#REF!</v>
      </c>
    </row>
    <row r="98" customFormat="false" ht="15" hidden="false" customHeight="false" outlineLevel="0" collapsed="false">
      <c r="A98" s="44" t="n">
        <f aca="false">'Stammdaten - Schwimmer'!A94</f>
        <v>92</v>
      </c>
      <c r="B98" s="45" t="n">
        <f aca="false">'Stammdaten - Schwimmer'!B94</f>
        <v>0</v>
      </c>
      <c r="C98" s="45" t="n">
        <f aca="false">'Stammdaten - Schwimmer'!C94</f>
        <v>0</v>
      </c>
      <c r="D98" s="30" t="n">
        <f aca="false">'Stammdaten - Schwimmer'!J94+'Stammdaten - Schwimmer'!N94+'Stammdaten - Schwimmer'!R94+'Stammdaten - Schwimmer'!V94+'Stammdaten - Schwimmer'!Z95</f>
        <v>0</v>
      </c>
      <c r="E98" s="46" t="n">
        <f aca="false">'Stammdaten - Schwimmer'!F94</f>
        <v>0</v>
      </c>
      <c r="H98" s="29" t="n">
        <f aca="false">IF('Stammdaten - Schwimmer'!D94&gt;DATE(2011,7,20),A98,)</f>
        <v>0</v>
      </c>
      <c r="I98" s="29" t="n">
        <f aca="false">IF('Stammdaten - Schwimmer'!$D94&gt;DATE(2011,7,20),B98,)</f>
        <v>0</v>
      </c>
      <c r="J98" s="29" t="n">
        <f aca="false">IF('Stammdaten - Schwimmer'!$D94&gt;DATE(2011,7,20),C98,)</f>
        <v>0</v>
      </c>
      <c r="K98" s="30" t="n">
        <f aca="false">IF('Stammdaten - Schwimmer'!$D94&gt;DATE(2011,7,20),D98,)</f>
        <v>0</v>
      </c>
      <c r="L98" s="29" t="n">
        <f aca="false">IF('Stammdaten - Schwimmer'!$D94&gt;DATE(2011,7,20),'Stammdaten - Schwimmer'!F94,)</f>
        <v>0</v>
      </c>
      <c r="M98" s="0" t="e">
        <f aca="false">_xlfn.RANK.EQ(L98,L$4:L$103,0)</f>
        <v>#REF!</v>
      </c>
      <c r="O98" s="29" t="n">
        <f aca="false">IF(AND('Stammdaten - Schwimmer'!$D94&lt;DATE(2011,7,20),'Stammdaten - Schwimmer'!$D94&gt;DATE(2007,7,19)),A98,)</f>
        <v>0</v>
      </c>
      <c r="P98" s="29" t="n">
        <f aca="false">IF(AND('Stammdaten - Schwimmer'!$D94&lt;DATE(2011,7,20),'Stammdaten - Schwimmer'!$D94&gt;DATE(2007,7,19)),B98,)</f>
        <v>0</v>
      </c>
      <c r="Q98" s="29" t="n">
        <f aca="false">IF(AND('Stammdaten - Schwimmer'!$D94&lt;DATE(2011,7,20),'Stammdaten - Schwimmer'!$D94&gt;DATE(2007,7,19)),C98,)</f>
        <v>0</v>
      </c>
      <c r="R98" s="30" t="n">
        <f aca="false">IF(AND('Stammdaten - Schwimmer'!$D94&lt;DATE(2011,7,20),'Stammdaten - Schwimmer'!$D94&gt;DATE(2007,7,19)),D98,)</f>
        <v>0</v>
      </c>
      <c r="S98" s="46" t="n">
        <f aca="false">IF(AND('Stammdaten - Schwimmer'!$D94&lt;DATE(2011,7,20),'Stammdaten - Schwimmer'!$D94&gt;DATE(2007,7,19)),'Stammdaten - Schwimmer'!F94,)</f>
        <v>0</v>
      </c>
      <c r="T98" s="0" t="e">
        <f aca="false">_xlfn.RANK.EQ(S98,S$4:S$103,0)</f>
        <v>#REF!</v>
      </c>
      <c r="V98" s="29" t="n">
        <f aca="false">IF('Stammdaten - Schwimmer'!$D94&lt;DATE(2007,7,20),A98,)</f>
        <v>92</v>
      </c>
      <c r="W98" s="29" t="n">
        <f aca="false">IF('Stammdaten - Schwimmer'!$D94&lt;DATE(2007,7,20),B98,)</f>
        <v>0</v>
      </c>
      <c r="X98" s="29" t="n">
        <f aca="false">IF('Stammdaten - Schwimmer'!$D94&lt;DATE(2007,7,20),C98,)</f>
        <v>0</v>
      </c>
      <c r="Y98" s="30" t="n">
        <f aca="false">IF('Stammdaten - Schwimmer'!$D94&lt;DATE(2007,7,20),D98,)</f>
        <v>0</v>
      </c>
      <c r="Z98" s="46" t="n">
        <f aca="false">IF('Stammdaten - Schwimmer'!$D94&lt;DATE(2007,7,20),'Stammdaten - Schwimmer'!F94,)</f>
        <v>0</v>
      </c>
      <c r="AA98" s="0" t="e">
        <f aca="false">_xlfn.RANK.EQ(Z98,Z$4:Z$103,0)</f>
        <v>#REF!</v>
      </c>
    </row>
    <row r="99" customFormat="false" ht="15" hidden="false" customHeight="false" outlineLevel="0" collapsed="false">
      <c r="A99" s="44" t="n">
        <f aca="false">'Stammdaten - Schwimmer'!A95</f>
        <v>93</v>
      </c>
      <c r="B99" s="45" t="n">
        <f aca="false">'Stammdaten - Schwimmer'!B95</f>
        <v>0</v>
      </c>
      <c r="C99" s="45" t="n">
        <f aca="false">'Stammdaten - Schwimmer'!C95</f>
        <v>0</v>
      </c>
      <c r="D99" s="30" t="n">
        <f aca="false">'Stammdaten - Schwimmer'!J95+'Stammdaten - Schwimmer'!N95+'Stammdaten - Schwimmer'!R95+'Stammdaten - Schwimmer'!V95+'Stammdaten - Schwimmer'!Z96</f>
        <v>0</v>
      </c>
      <c r="E99" s="46" t="n">
        <f aca="false">'Stammdaten - Schwimmer'!F95</f>
        <v>0</v>
      </c>
      <c r="H99" s="29" t="n">
        <f aca="false">IF('Stammdaten - Schwimmer'!D95&gt;DATE(2011,7,20),A99,)</f>
        <v>0</v>
      </c>
      <c r="I99" s="29" t="n">
        <f aca="false">IF('Stammdaten - Schwimmer'!$D95&gt;DATE(2011,7,20),B99,)</f>
        <v>0</v>
      </c>
      <c r="J99" s="29" t="n">
        <f aca="false">IF('Stammdaten - Schwimmer'!$D95&gt;DATE(2011,7,20),C99,)</f>
        <v>0</v>
      </c>
      <c r="K99" s="30" t="n">
        <f aca="false">IF('Stammdaten - Schwimmer'!$D95&gt;DATE(2011,7,20),D99,)</f>
        <v>0</v>
      </c>
      <c r="L99" s="29" t="n">
        <f aca="false">IF('Stammdaten - Schwimmer'!$D95&gt;DATE(2011,7,20),'Stammdaten - Schwimmer'!F95,)</f>
        <v>0</v>
      </c>
      <c r="M99" s="0" t="e">
        <f aca="false">_xlfn.RANK.EQ(L99,L$4:L$103,0)</f>
        <v>#REF!</v>
      </c>
      <c r="O99" s="29" t="n">
        <f aca="false">IF(AND('Stammdaten - Schwimmer'!$D95&lt;DATE(2011,7,20),'Stammdaten - Schwimmer'!$D95&gt;DATE(2007,7,19)),A99,)</f>
        <v>0</v>
      </c>
      <c r="P99" s="29" t="n">
        <f aca="false">IF(AND('Stammdaten - Schwimmer'!$D95&lt;DATE(2011,7,20),'Stammdaten - Schwimmer'!$D95&gt;DATE(2007,7,19)),B99,)</f>
        <v>0</v>
      </c>
      <c r="Q99" s="29" t="n">
        <f aca="false">IF(AND('Stammdaten - Schwimmer'!$D95&lt;DATE(2011,7,20),'Stammdaten - Schwimmer'!$D95&gt;DATE(2007,7,19)),C99,)</f>
        <v>0</v>
      </c>
      <c r="R99" s="30" t="n">
        <f aca="false">IF(AND('Stammdaten - Schwimmer'!$D95&lt;DATE(2011,7,20),'Stammdaten - Schwimmer'!$D95&gt;DATE(2007,7,19)),D99,)</f>
        <v>0</v>
      </c>
      <c r="S99" s="46" t="n">
        <f aca="false">IF(AND('Stammdaten - Schwimmer'!$D95&lt;DATE(2011,7,20),'Stammdaten - Schwimmer'!$D95&gt;DATE(2007,7,19)),'Stammdaten - Schwimmer'!F95,)</f>
        <v>0</v>
      </c>
      <c r="T99" s="0" t="e">
        <f aca="false">_xlfn.RANK.EQ(S99,S$4:S$103,0)</f>
        <v>#REF!</v>
      </c>
      <c r="V99" s="29" t="n">
        <f aca="false">IF('Stammdaten - Schwimmer'!$D95&lt;DATE(2007,7,20),A99,)</f>
        <v>93</v>
      </c>
      <c r="W99" s="29" t="n">
        <f aca="false">IF('Stammdaten - Schwimmer'!$D95&lt;DATE(2007,7,20),B99,)</f>
        <v>0</v>
      </c>
      <c r="X99" s="29" t="n">
        <f aca="false">IF('Stammdaten - Schwimmer'!$D95&lt;DATE(2007,7,20),C99,)</f>
        <v>0</v>
      </c>
      <c r="Y99" s="30" t="n">
        <f aca="false">IF('Stammdaten - Schwimmer'!$D95&lt;DATE(2007,7,20),D99,)</f>
        <v>0</v>
      </c>
      <c r="Z99" s="46" t="n">
        <f aca="false">IF('Stammdaten - Schwimmer'!$D95&lt;DATE(2007,7,20),'Stammdaten - Schwimmer'!F95,)</f>
        <v>0</v>
      </c>
      <c r="AA99" s="0" t="e">
        <f aca="false">_xlfn.RANK.EQ(Z99,Z$4:Z$103,0)</f>
        <v>#REF!</v>
      </c>
    </row>
    <row r="100" customFormat="false" ht="15" hidden="false" customHeight="false" outlineLevel="0" collapsed="false">
      <c r="A100" s="44" t="n">
        <f aca="false">'Stammdaten - Schwimmer'!A96</f>
        <v>97</v>
      </c>
      <c r="B100" s="45" t="n">
        <f aca="false">'Stammdaten - Schwimmer'!B96</f>
        <v>0</v>
      </c>
      <c r="C100" s="45" t="n">
        <f aca="false">'Stammdaten - Schwimmer'!C96</f>
        <v>0</v>
      </c>
      <c r="D100" s="30" t="n">
        <f aca="false">'Stammdaten - Schwimmer'!J96+'Stammdaten - Schwimmer'!N96+'Stammdaten - Schwimmer'!R96+'Stammdaten - Schwimmer'!V96+'Stammdaten - Schwimmer'!Z97</f>
        <v>0</v>
      </c>
      <c r="E100" s="46" t="n">
        <f aca="false">'Stammdaten - Schwimmer'!F96</f>
        <v>0</v>
      </c>
      <c r="H100" s="29" t="n">
        <f aca="false">IF('Stammdaten - Schwimmer'!D96&gt;DATE(2011,7,20),A100,)</f>
        <v>0</v>
      </c>
      <c r="I100" s="29" t="n">
        <f aca="false">IF('Stammdaten - Schwimmer'!$D96&gt;DATE(2011,7,20),B100,)</f>
        <v>0</v>
      </c>
      <c r="J100" s="29" t="n">
        <f aca="false">IF('Stammdaten - Schwimmer'!$D96&gt;DATE(2011,7,20),C100,)</f>
        <v>0</v>
      </c>
      <c r="K100" s="30" t="n">
        <f aca="false">IF('Stammdaten - Schwimmer'!$D96&gt;DATE(2011,7,20),D100,)</f>
        <v>0</v>
      </c>
      <c r="L100" s="29" t="n">
        <f aca="false">IF('Stammdaten - Schwimmer'!$D96&gt;DATE(2011,7,20),'Stammdaten - Schwimmer'!F96,)</f>
        <v>0</v>
      </c>
      <c r="M100" s="0" t="e">
        <f aca="false">_xlfn.RANK.EQ(L100,L$4:L$103,0)</f>
        <v>#REF!</v>
      </c>
      <c r="O100" s="29" t="n">
        <f aca="false">IF(AND('Stammdaten - Schwimmer'!$D96&lt;DATE(2011,7,20),'Stammdaten - Schwimmer'!$D96&gt;DATE(2007,7,19)),A100,)</f>
        <v>0</v>
      </c>
      <c r="P100" s="29" t="n">
        <f aca="false">IF(AND('Stammdaten - Schwimmer'!$D96&lt;DATE(2011,7,20),'Stammdaten - Schwimmer'!$D96&gt;DATE(2007,7,19)),B100,)</f>
        <v>0</v>
      </c>
      <c r="Q100" s="29" t="n">
        <f aca="false">IF(AND('Stammdaten - Schwimmer'!$D96&lt;DATE(2011,7,20),'Stammdaten - Schwimmer'!$D96&gt;DATE(2007,7,19)),C100,)</f>
        <v>0</v>
      </c>
      <c r="R100" s="30" t="n">
        <f aca="false">IF(AND('Stammdaten - Schwimmer'!$D96&lt;DATE(2011,7,20),'Stammdaten - Schwimmer'!$D96&gt;DATE(2007,7,19)),D100,)</f>
        <v>0</v>
      </c>
      <c r="S100" s="46" t="n">
        <f aca="false">IF(AND('Stammdaten - Schwimmer'!$D96&lt;DATE(2011,7,20),'Stammdaten - Schwimmer'!$D96&gt;DATE(2007,7,19)),'Stammdaten - Schwimmer'!F96,)</f>
        <v>0</v>
      </c>
      <c r="T100" s="0" t="e">
        <f aca="false">_xlfn.RANK.EQ(S100,S$4:S$103,0)</f>
        <v>#REF!</v>
      </c>
      <c r="V100" s="29" t="n">
        <f aca="false">IF('Stammdaten - Schwimmer'!$D96&lt;DATE(2007,7,20),A100,)</f>
        <v>97</v>
      </c>
      <c r="W100" s="29" t="n">
        <f aca="false">IF('Stammdaten - Schwimmer'!$D96&lt;DATE(2007,7,20),B100,)</f>
        <v>0</v>
      </c>
      <c r="X100" s="29" t="n">
        <f aca="false">IF('Stammdaten - Schwimmer'!$D96&lt;DATE(2007,7,20),C100,)</f>
        <v>0</v>
      </c>
      <c r="Y100" s="30" t="n">
        <f aca="false">IF('Stammdaten - Schwimmer'!$D96&lt;DATE(2007,7,20),D100,)</f>
        <v>0</v>
      </c>
      <c r="Z100" s="46" t="n">
        <f aca="false">IF('Stammdaten - Schwimmer'!$D96&lt;DATE(2007,7,20),'Stammdaten - Schwimmer'!F96,)</f>
        <v>0</v>
      </c>
      <c r="AA100" s="0" t="e">
        <f aca="false">_xlfn.RANK.EQ(Z100,Z$4:Z$103,0)</f>
        <v>#REF!</v>
      </c>
    </row>
    <row r="101" customFormat="false" ht="15" hidden="false" customHeight="false" outlineLevel="0" collapsed="false">
      <c r="A101" s="44" t="n">
        <f aca="false">'Stammdaten - Schwimmer'!A97</f>
        <v>98</v>
      </c>
      <c r="B101" s="45" t="n">
        <f aca="false">'Stammdaten - Schwimmer'!B97</f>
        <v>0</v>
      </c>
      <c r="C101" s="45" t="n">
        <f aca="false">'Stammdaten - Schwimmer'!C97</f>
        <v>0</v>
      </c>
      <c r="D101" s="30" t="n">
        <f aca="false">'Stammdaten - Schwimmer'!J97+'Stammdaten - Schwimmer'!N97+'Stammdaten - Schwimmer'!R97+'Stammdaten - Schwimmer'!V97+'Stammdaten - Schwimmer'!Z98</f>
        <v>0</v>
      </c>
      <c r="E101" s="46" t="n">
        <f aca="false">'Stammdaten - Schwimmer'!F97</f>
        <v>0</v>
      </c>
      <c r="H101" s="29" t="n">
        <f aca="false">IF('Stammdaten - Schwimmer'!D97&gt;DATE(2011,7,20),A101,)</f>
        <v>0</v>
      </c>
      <c r="I101" s="29" t="n">
        <f aca="false">IF('Stammdaten - Schwimmer'!$D97&gt;DATE(2011,7,20),B101,)</f>
        <v>0</v>
      </c>
      <c r="J101" s="29" t="n">
        <f aca="false">IF('Stammdaten - Schwimmer'!$D97&gt;DATE(2011,7,20),C101,)</f>
        <v>0</v>
      </c>
      <c r="K101" s="30" t="n">
        <f aca="false">IF('Stammdaten - Schwimmer'!$D97&gt;DATE(2011,7,20),D101,)</f>
        <v>0</v>
      </c>
      <c r="L101" s="29" t="n">
        <f aca="false">IF('Stammdaten - Schwimmer'!$D97&gt;DATE(2011,7,20),'Stammdaten - Schwimmer'!F97,)</f>
        <v>0</v>
      </c>
      <c r="M101" s="0" t="e">
        <f aca="false">_xlfn.RANK.EQ(L101,L$4:L$103,0)</f>
        <v>#REF!</v>
      </c>
      <c r="O101" s="29" t="n">
        <f aca="false">IF(AND('Stammdaten - Schwimmer'!$D97&lt;DATE(2011,7,20),'Stammdaten - Schwimmer'!$D97&gt;DATE(2007,7,19)),A101,)</f>
        <v>0</v>
      </c>
      <c r="P101" s="29" t="n">
        <f aca="false">IF(AND('Stammdaten - Schwimmer'!$D97&lt;DATE(2011,7,20),'Stammdaten - Schwimmer'!$D97&gt;DATE(2007,7,19)),B101,)</f>
        <v>0</v>
      </c>
      <c r="Q101" s="29" t="n">
        <f aca="false">IF(AND('Stammdaten - Schwimmer'!$D97&lt;DATE(2011,7,20),'Stammdaten - Schwimmer'!$D97&gt;DATE(2007,7,19)),C101,)</f>
        <v>0</v>
      </c>
      <c r="R101" s="30" t="n">
        <f aca="false">IF(AND('Stammdaten - Schwimmer'!$D97&lt;DATE(2011,7,20),'Stammdaten - Schwimmer'!$D97&gt;DATE(2007,7,19)),D101,)</f>
        <v>0</v>
      </c>
      <c r="S101" s="46" t="n">
        <f aca="false">IF(AND('Stammdaten - Schwimmer'!$D97&lt;DATE(2011,7,20),'Stammdaten - Schwimmer'!$D97&gt;DATE(2007,7,19)),'Stammdaten - Schwimmer'!F97,)</f>
        <v>0</v>
      </c>
      <c r="T101" s="0" t="e">
        <f aca="false">_xlfn.RANK.EQ(S101,S$4:S$103,0)</f>
        <v>#REF!</v>
      </c>
      <c r="V101" s="29" t="n">
        <f aca="false">IF('Stammdaten - Schwimmer'!$D97&lt;DATE(2007,7,20),A101,)</f>
        <v>98</v>
      </c>
      <c r="W101" s="29" t="n">
        <f aca="false">IF('Stammdaten - Schwimmer'!$D97&lt;DATE(2007,7,20),B101,)</f>
        <v>0</v>
      </c>
      <c r="X101" s="29" t="n">
        <f aca="false">IF('Stammdaten - Schwimmer'!$D97&lt;DATE(2007,7,20),C101,)</f>
        <v>0</v>
      </c>
      <c r="Y101" s="30" t="n">
        <f aca="false">IF('Stammdaten - Schwimmer'!$D97&lt;DATE(2007,7,20),D101,)</f>
        <v>0</v>
      </c>
      <c r="Z101" s="46" t="n">
        <f aca="false">IF('Stammdaten - Schwimmer'!$D97&lt;DATE(2007,7,20),'Stammdaten - Schwimmer'!F97,)</f>
        <v>0</v>
      </c>
      <c r="AA101" s="0" t="e">
        <f aca="false">_xlfn.RANK.EQ(Z101,Z$4:Z$103,0)</f>
        <v>#REF!</v>
      </c>
    </row>
    <row r="102" customFormat="false" ht="15" hidden="false" customHeight="false" outlineLevel="0" collapsed="false">
      <c r="A102" s="44" t="n">
        <f aca="false">'Stammdaten - Schwimmer'!A98</f>
        <v>99</v>
      </c>
      <c r="B102" s="45" t="n">
        <f aca="false">'Stammdaten - Schwimmer'!B98</f>
        <v>0</v>
      </c>
      <c r="C102" s="45" t="n">
        <f aca="false">'Stammdaten - Schwimmer'!C98</f>
        <v>0</v>
      </c>
      <c r="D102" s="30" t="n">
        <f aca="false">'Stammdaten - Schwimmer'!J98+'Stammdaten - Schwimmer'!N98+'Stammdaten - Schwimmer'!R98+'Stammdaten - Schwimmer'!V98+'Stammdaten - Schwimmer'!Z99</f>
        <v>0</v>
      </c>
      <c r="E102" s="46" t="n">
        <f aca="false">'Stammdaten - Schwimmer'!F98</f>
        <v>0</v>
      </c>
      <c r="H102" s="29" t="n">
        <f aca="false">IF('Stammdaten - Schwimmer'!D98&gt;DATE(2011,7,20),A102,)</f>
        <v>0</v>
      </c>
      <c r="I102" s="29" t="n">
        <f aca="false">IF('Stammdaten - Schwimmer'!$D98&gt;DATE(2011,7,20),B102,)</f>
        <v>0</v>
      </c>
      <c r="J102" s="29" t="n">
        <f aca="false">IF('Stammdaten - Schwimmer'!$D98&gt;DATE(2011,7,20),C102,)</f>
        <v>0</v>
      </c>
      <c r="K102" s="30" t="n">
        <f aca="false">IF('Stammdaten - Schwimmer'!$D98&gt;DATE(2011,7,20),D102,)</f>
        <v>0</v>
      </c>
      <c r="L102" s="29" t="n">
        <f aca="false">IF('Stammdaten - Schwimmer'!$D98&gt;DATE(2011,7,20),'Stammdaten - Schwimmer'!F98,)</f>
        <v>0</v>
      </c>
      <c r="M102" s="0" t="e">
        <f aca="false">_xlfn.RANK.EQ(L102,L$4:L$103,0)</f>
        <v>#REF!</v>
      </c>
      <c r="O102" s="29" t="n">
        <f aca="false">IF(AND('Stammdaten - Schwimmer'!$D98&lt;DATE(2011,7,20),'Stammdaten - Schwimmer'!$D98&gt;DATE(2007,7,19)),A102,)</f>
        <v>0</v>
      </c>
      <c r="P102" s="29" t="n">
        <f aca="false">IF(AND('Stammdaten - Schwimmer'!$D98&lt;DATE(2011,7,20),'Stammdaten - Schwimmer'!$D98&gt;DATE(2007,7,19)),B102,)</f>
        <v>0</v>
      </c>
      <c r="Q102" s="29" t="n">
        <f aca="false">IF(AND('Stammdaten - Schwimmer'!$D98&lt;DATE(2011,7,20),'Stammdaten - Schwimmer'!$D98&gt;DATE(2007,7,19)),C102,)</f>
        <v>0</v>
      </c>
      <c r="R102" s="30" t="n">
        <f aca="false">IF(AND('Stammdaten - Schwimmer'!$D98&lt;DATE(2011,7,20),'Stammdaten - Schwimmer'!$D98&gt;DATE(2007,7,19)),D102,)</f>
        <v>0</v>
      </c>
      <c r="S102" s="46" t="n">
        <f aca="false">IF(AND('Stammdaten - Schwimmer'!$D98&lt;DATE(2011,7,20),'Stammdaten - Schwimmer'!$D98&gt;DATE(2007,7,19)),'Stammdaten - Schwimmer'!F98,)</f>
        <v>0</v>
      </c>
      <c r="T102" s="0" t="e">
        <f aca="false">_xlfn.RANK.EQ(S102,S$4:S$103,0)</f>
        <v>#REF!</v>
      </c>
      <c r="V102" s="29" t="n">
        <f aca="false">IF('Stammdaten - Schwimmer'!$D98&lt;DATE(2007,7,20),A102,)</f>
        <v>99</v>
      </c>
      <c r="W102" s="29" t="n">
        <f aca="false">IF('Stammdaten - Schwimmer'!$D98&lt;DATE(2007,7,20),B102,)</f>
        <v>0</v>
      </c>
      <c r="X102" s="29" t="n">
        <f aca="false">IF('Stammdaten - Schwimmer'!$D98&lt;DATE(2007,7,20),C102,)</f>
        <v>0</v>
      </c>
      <c r="Y102" s="30" t="n">
        <f aca="false">IF('Stammdaten - Schwimmer'!$D98&lt;DATE(2007,7,20),D102,)</f>
        <v>0</v>
      </c>
      <c r="Z102" s="46" t="n">
        <f aca="false">IF('Stammdaten - Schwimmer'!$D98&lt;DATE(2007,7,20),'Stammdaten - Schwimmer'!F98,)</f>
        <v>0</v>
      </c>
      <c r="AA102" s="0" t="e">
        <f aca="false">_xlfn.RANK.EQ(Z102,Z$4:Z$103,0)</f>
        <v>#REF!</v>
      </c>
    </row>
    <row r="103" customFormat="false" ht="15" hidden="false" customHeight="false" outlineLevel="0" collapsed="false">
      <c r="A103" s="44" t="n">
        <f aca="false">'Stammdaten - Schwimmer'!A99</f>
        <v>100</v>
      </c>
      <c r="B103" s="45" t="n">
        <f aca="false">'Stammdaten - Schwimmer'!B99</f>
        <v>0</v>
      </c>
      <c r="C103" s="45" t="n">
        <f aca="false">'Stammdaten - Schwimmer'!C99</f>
        <v>0</v>
      </c>
      <c r="D103" s="30" t="n">
        <f aca="false">'Stammdaten - Schwimmer'!J99+'Stammdaten - Schwimmer'!N99+'Stammdaten - Schwimmer'!R99+'Stammdaten - Schwimmer'!V99+'Stammdaten - Schwimmer'!Z100</f>
        <v>0</v>
      </c>
      <c r="E103" s="46" t="n">
        <f aca="false">'Stammdaten - Schwimmer'!F99</f>
        <v>0</v>
      </c>
      <c r="H103" s="29" t="n">
        <f aca="false">IF('Stammdaten - Schwimmer'!D99&gt;DATE(2011,7,20),A103,)</f>
        <v>0</v>
      </c>
      <c r="I103" s="29" t="n">
        <f aca="false">IF('Stammdaten - Schwimmer'!$D99&gt;DATE(2011,7,20),B103,)</f>
        <v>0</v>
      </c>
      <c r="J103" s="29" t="n">
        <f aca="false">IF('Stammdaten - Schwimmer'!$D99&gt;DATE(2011,7,20),C103,)</f>
        <v>0</v>
      </c>
      <c r="K103" s="30" t="n">
        <f aca="false">IF('Stammdaten - Schwimmer'!$D99&gt;DATE(2011,7,20),D103,)</f>
        <v>0</v>
      </c>
      <c r="L103" s="29" t="n">
        <f aca="false">IF('Stammdaten - Schwimmer'!$D99&gt;DATE(2011,7,20),'Stammdaten - Schwimmer'!F99,)</f>
        <v>0</v>
      </c>
      <c r="M103" s="0" t="e">
        <f aca="false">_xlfn.RANK.EQ(L103,L$4:L$103,0)</f>
        <v>#REF!</v>
      </c>
      <c r="O103" s="29" t="n">
        <f aca="false">IF(AND('Stammdaten - Schwimmer'!$D99&lt;DATE(2011,7,20),'Stammdaten - Schwimmer'!$D99&gt;DATE(2007,7,19)),A103,)</f>
        <v>0</v>
      </c>
      <c r="P103" s="29" t="n">
        <f aca="false">IF(AND('Stammdaten - Schwimmer'!$D99&lt;DATE(2011,7,20),'Stammdaten - Schwimmer'!$D99&gt;DATE(2007,7,19)),B103,)</f>
        <v>0</v>
      </c>
      <c r="Q103" s="29" t="n">
        <f aca="false">IF(AND('Stammdaten - Schwimmer'!$D99&lt;DATE(2011,7,20),'Stammdaten - Schwimmer'!$D99&gt;DATE(2007,7,19)),C103,)</f>
        <v>0</v>
      </c>
      <c r="R103" s="30" t="n">
        <f aca="false">IF(AND('Stammdaten - Schwimmer'!$D99&lt;DATE(2011,7,20),'Stammdaten - Schwimmer'!$D99&gt;DATE(2007,7,19)),D103,)</f>
        <v>0</v>
      </c>
      <c r="S103" s="46" t="n">
        <f aca="false">IF(AND('Stammdaten - Schwimmer'!$D99&lt;DATE(2011,7,20),'Stammdaten - Schwimmer'!$D99&gt;DATE(2007,7,19)),'Stammdaten - Schwimmer'!F99,)</f>
        <v>0</v>
      </c>
      <c r="T103" s="0" t="e">
        <f aca="false">_xlfn.RANK.EQ(S103,S$4:S$103,0)</f>
        <v>#REF!</v>
      </c>
      <c r="V103" s="29" t="n">
        <f aca="false">IF('Stammdaten - Schwimmer'!$D99&lt;DATE(2007,7,20),A103,)</f>
        <v>100</v>
      </c>
      <c r="W103" s="29" t="n">
        <f aca="false">IF('Stammdaten - Schwimmer'!$D99&lt;DATE(2007,7,20),B103,)</f>
        <v>0</v>
      </c>
      <c r="X103" s="29" t="n">
        <f aca="false">IF('Stammdaten - Schwimmer'!$D99&lt;DATE(2007,7,20),C103,)</f>
        <v>0</v>
      </c>
      <c r="Y103" s="30" t="n">
        <f aca="false">IF('Stammdaten - Schwimmer'!$D99&lt;DATE(2007,7,20),D103,)</f>
        <v>0</v>
      </c>
      <c r="Z103" s="46" t="n">
        <f aca="false">IF('Stammdaten - Schwimmer'!$D99&lt;DATE(2007,7,20),'Stammdaten - Schwimmer'!F99,)</f>
        <v>0</v>
      </c>
      <c r="AA103" s="0" t="e">
        <f aca="false">_xlfn.RANK.EQ(Z103,Z$4:Z$103,0)</f>
        <v>#REF!</v>
      </c>
    </row>
    <row r="104" customFormat="false" ht="15" hidden="false" customHeight="false" outlineLevel="0" collapsed="false">
      <c r="D104" s="2" t="e">
        <f aca="false">SUM(D4:D103)</f>
        <v>#REF!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9" activeCellId="0" sqref="L29"/>
    </sheetView>
  </sheetViews>
  <sheetFormatPr defaultColWidth="10.6796875" defaultRowHeight="15" customHeight="false" zeroHeight="false" outlineLevelRow="0" outlineLevelCol="0"/>
  <cols>
    <col collapsed="false" customWidth="true" hidden="false" outlineLevel="0" max="2" min="2" style="0" width="27.15"/>
    <col collapsed="false" customWidth="true" hidden="false" outlineLevel="0" max="3" min="3" style="0" width="26.71"/>
    <col collapsed="false" customWidth="true" hidden="false" outlineLevel="0" max="4" min="4" style="2" width="11.43"/>
    <col collapsed="false" customWidth="true" hidden="false" outlineLevel="0" max="5" min="5" style="1" width="11.43"/>
    <col collapsed="false" customWidth="true" hidden="false" outlineLevel="0" max="15" min="15" style="0" width="23.42"/>
    <col collapsed="false" customWidth="true" hidden="false" outlineLevel="0" max="16" min="16" style="0" width="22"/>
    <col collapsed="false" customWidth="true" hidden="false" outlineLevel="0" max="17" min="17" style="1" width="11.43"/>
    <col collapsed="false" customWidth="true" hidden="false" outlineLevel="0" max="18" min="18" style="0" width="15.85"/>
  </cols>
  <sheetData>
    <row r="1" customFormat="false" ht="15" hidden="false" customHeight="false" outlineLevel="0" collapsed="false">
      <c r="A1" s="0" t="s">
        <v>364</v>
      </c>
      <c r="D1" s="1"/>
    </row>
    <row r="2" customFormat="false" ht="15" hidden="false" customHeight="false" outlineLevel="0" collapsed="false">
      <c r="D2" s="1"/>
    </row>
    <row r="3" customFormat="false" ht="28.35" hidden="false" customHeight="false" outlineLevel="0" collapsed="false">
      <c r="A3" s="47" t="s">
        <v>2</v>
      </c>
      <c r="B3" s="47" t="s">
        <v>124</v>
      </c>
      <c r="C3" s="47" t="s">
        <v>125</v>
      </c>
      <c r="D3" s="47" t="s">
        <v>352</v>
      </c>
    </row>
    <row r="4" customFormat="false" ht="15" hidden="false" customHeight="false" outlineLevel="0" collapsed="false">
      <c r="A4" s="29" t="n">
        <f aca="false">'Stammdaten - Sponsoren'!A4</f>
        <v>1001</v>
      </c>
      <c r="B4" s="48" t="str">
        <f aca="false">'Stammdaten - Sponsoren'!B4</f>
        <v>Förderverein ETB</v>
      </c>
      <c r="C4" s="48" t="str">
        <f aca="false">'Stammdaten - Sponsoren'!C4</f>
        <v>Thomas Schmid</v>
      </c>
      <c r="D4" s="30" t="n">
        <f aca="false">SUMIF('Stammdaten - Schwimmer'!G$4:G$99,'Stammdaten - Sponsoren'!A4,'Stammdaten - Schwimmer'!J$4:J$99)+SUMIF('Stammdaten - Schwimmer'!K$4:K$99,'Stammdaten - Sponsoren'!A4,'Stammdaten - Schwimmer'!N$4:N$99)+SUMIF('Stammdaten - Schwimmer'!O$4:O$99,'Stammdaten - Sponsoren'!A4,'Stammdaten - Schwimmer'!R$4:R$99)+SUMIF('Stammdaten - Schwimmer'!S$4:S$99,'Stammdaten - Sponsoren'!A4,'Stammdaten - Schwimmer'!V$4:V$99)</f>
        <v>0</v>
      </c>
    </row>
    <row r="5" customFormat="false" ht="15" hidden="false" customHeight="false" outlineLevel="0" collapsed="false">
      <c r="A5" s="29" t="n">
        <f aca="false">'Stammdaten - Sponsoren'!A5</f>
        <v>1002</v>
      </c>
      <c r="B5" s="48" t="str">
        <f aca="false">'Stammdaten - Sponsoren'!B5</f>
        <v>DLRG OG VAI</v>
      </c>
      <c r="C5" s="48" t="str">
        <f aca="false">'Stammdaten - Sponsoren'!C5</f>
        <v>Thomas Schmid</v>
      </c>
      <c r="D5" s="30" t="n">
        <f aca="false">SUMIF('Stammdaten - Schwimmer'!G$4:G$99,'Stammdaten - Sponsoren'!A5,'Stammdaten - Schwimmer'!J$4:J$99)+SUMIF('Stammdaten - Schwimmer'!K$4:K$99,'Stammdaten - Sponsoren'!A5,'Stammdaten - Schwimmer'!N$4:N$99)+SUMIF('Stammdaten - Schwimmer'!O$4:O$99,'Stammdaten - Sponsoren'!A5,'Stammdaten - Schwimmer'!R$4:R$99)+SUMIF('Stammdaten - Schwimmer'!S$4:S$99,'Stammdaten - Sponsoren'!A5,'Stammdaten - Schwimmer'!V$4:V$99)+SUMIF('Stammdaten - Schwimmer'!W$4:W$99,'Stammdaten - Sponsoren'!A5,'Stammdaten - Schwimmer'!Z$4:Z$99)</f>
        <v>384.5</v>
      </c>
    </row>
    <row r="6" customFormat="false" ht="28.35" hidden="false" customHeight="false" outlineLevel="0" collapsed="false">
      <c r="A6" s="29" t="n">
        <f aca="false">'Stammdaten - Sponsoren'!A6</f>
        <v>1003</v>
      </c>
      <c r="B6" s="48" t="str">
        <f aca="false">'Stammdaten - Sponsoren'!B6</f>
        <v>TVV 
Schwimmabteilung</v>
      </c>
      <c r="C6" s="48" t="str">
        <f aca="false">'Stammdaten - Sponsoren'!C6</f>
        <v>Tim Bauer</v>
      </c>
      <c r="D6" s="30" t="n">
        <f aca="false">SUMIF('Stammdaten - Schwimmer'!G$4:G$99,'Stammdaten - Sponsoren'!A6,'Stammdaten - Schwimmer'!J$4:J$99)+SUMIF('Stammdaten - Schwimmer'!K$4:K$99,'Stammdaten - Sponsoren'!A6,'Stammdaten - Schwimmer'!N$4:N$99)+SUMIF('Stammdaten - Schwimmer'!O$4:O$99,'Stammdaten - Sponsoren'!A6,'Stammdaten - Schwimmer'!R$4:R$99)+SUMIF('Stammdaten - Schwimmer'!S$4:S$99,'Stammdaten - Sponsoren'!A6,'Stammdaten - Schwimmer'!V$4:V$99)+SUMIF('Stammdaten - Schwimmer'!W$4:W$99,'Stammdaten - Sponsoren'!A6,'Stammdaten - Schwimmer'!Z$4:Z$99)</f>
        <v>633</v>
      </c>
      <c r="N6" s="49"/>
      <c r="O6" s="49"/>
      <c r="P6" s="49"/>
      <c r="R6" s="49"/>
    </row>
    <row r="7" customFormat="false" ht="15" hidden="false" customHeight="false" outlineLevel="0" collapsed="false">
      <c r="A7" s="29" t="n">
        <f aca="false">'Stammdaten - Sponsoren'!A7</f>
        <v>1004</v>
      </c>
      <c r="B7" s="48" t="str">
        <f aca="false">'Stammdaten - Sponsoren'!B7</f>
        <v>Symmetree GmbH</v>
      </c>
      <c r="C7" s="48" t="str">
        <f aca="false">'Stammdaten - Sponsoren'!C7</f>
        <v>James Hartman</v>
      </c>
      <c r="D7" s="30" t="n">
        <f aca="false">SUMIF('Stammdaten - Schwimmer'!G$4:G$99,'Stammdaten - Sponsoren'!A7,'Stammdaten - Schwimmer'!J$4:J$99)+SUMIF('Stammdaten - Schwimmer'!K$4:K$99,'Stammdaten - Sponsoren'!A7,'Stammdaten - Schwimmer'!N$4:N$99)+SUMIF('Stammdaten - Schwimmer'!O$4:O$99,'Stammdaten - Sponsoren'!A7,'Stammdaten - Schwimmer'!R$4:R$99)+SUMIF('Stammdaten - Schwimmer'!S$4:S$99,'Stammdaten - Sponsoren'!A7,'Stammdaten - Schwimmer'!V$4:V$99)+SUMIF('Stammdaten - Schwimmer'!W$4:W$99,'Stammdaten - Sponsoren'!A7,'Stammdaten - Schwimmer'!Z$4:Z$99)</f>
        <v>127</v>
      </c>
    </row>
    <row r="8" customFormat="false" ht="15" hidden="false" customHeight="false" outlineLevel="0" collapsed="false">
      <c r="A8" s="29" t="n">
        <f aca="false">'Stammdaten - Sponsoren'!A8</f>
        <v>1005</v>
      </c>
      <c r="B8" s="48" t="str">
        <f aca="false">'Stammdaten - Sponsoren'!B8</f>
        <v>Kanuclub CJD kaltenstein</v>
      </c>
      <c r="C8" s="48" t="str">
        <f aca="false">'Stammdaten - Sponsoren'!C8</f>
        <v>Michael Fischer</v>
      </c>
      <c r="D8" s="30" t="n">
        <f aca="false">SUMIF('Stammdaten - Schwimmer'!G$4:G$99,'Stammdaten - Sponsoren'!A8,'Stammdaten - Schwimmer'!J$4:J$99)+SUMIF('Stammdaten - Schwimmer'!K$4:K$99,'Stammdaten - Sponsoren'!A8,'Stammdaten - Schwimmer'!N$4:N$99)+SUMIF('Stammdaten - Schwimmer'!O$4:O$99,'Stammdaten - Sponsoren'!A8,'Stammdaten - Schwimmer'!R$4:R$99)+SUMIF('Stammdaten - Schwimmer'!S$4:S$99,'Stammdaten - Sponsoren'!A8,'Stammdaten - Schwimmer'!V$4:V$99)+SUMIF('Stammdaten - Schwimmer'!W$4:W$99,'Stammdaten - Sponsoren'!A8,'Stammdaten - Schwimmer'!Z$4:Z$99)</f>
        <v>79.5</v>
      </c>
    </row>
    <row r="9" customFormat="false" ht="15" hidden="false" customHeight="false" outlineLevel="0" collapsed="false">
      <c r="A9" s="29" t="n">
        <f aca="false">'Stammdaten - Sponsoren'!A9</f>
        <v>1006</v>
      </c>
      <c r="B9" s="48" t="str">
        <f aca="false">'Stammdaten - Sponsoren'!B9</f>
        <v>Auto Service Frank Striebel</v>
      </c>
      <c r="C9" s="48" t="str">
        <f aca="false">'Stammdaten - Sponsoren'!C9</f>
        <v>Frank Striebel</v>
      </c>
      <c r="D9" s="30" t="n">
        <f aca="false">SUMIF('Stammdaten - Schwimmer'!G$4:G$99,'Stammdaten - Sponsoren'!A9,'Stammdaten - Schwimmer'!J$4:J$99)+SUMIF('Stammdaten - Schwimmer'!K$4:K$99,'Stammdaten - Sponsoren'!A9,'Stammdaten - Schwimmer'!N$4:N$99)+SUMIF('Stammdaten - Schwimmer'!O$4:O$99,'Stammdaten - Sponsoren'!A9,'Stammdaten - Schwimmer'!R$4:R$99)+SUMIF('Stammdaten - Schwimmer'!S$4:S$99,'Stammdaten - Sponsoren'!A9,'Stammdaten - Schwimmer'!V$4:V$99)+SUMIF('Stammdaten - Schwimmer'!W$4:W$99,'Stammdaten - Sponsoren'!A9,'Stammdaten - Schwimmer'!Z$4:Z$99)</f>
        <v>29</v>
      </c>
    </row>
    <row r="10" customFormat="false" ht="15" hidden="false" customHeight="false" outlineLevel="0" collapsed="false">
      <c r="A10" s="29" t="n">
        <f aca="false">'Stammdaten - Sponsoren'!A10</f>
        <v>1007</v>
      </c>
      <c r="B10" s="48" t="str">
        <f aca="false">'Stammdaten - Sponsoren'!B10</f>
        <v>Grambow</v>
      </c>
      <c r="C10" s="48" t="str">
        <f aca="false">'Stammdaten - Sponsoren'!C10</f>
        <v>Kerstin</v>
      </c>
      <c r="D10" s="30" t="n">
        <f aca="false">SUMIF('Stammdaten - Schwimmer'!G$4:G$99,'Stammdaten - Sponsoren'!A10,'Stammdaten - Schwimmer'!J$4:J$99)+SUMIF('Stammdaten - Schwimmer'!K$4:K$99,'Stammdaten - Sponsoren'!A10,'Stammdaten - Schwimmer'!N$4:N$99)+SUMIF('Stammdaten - Schwimmer'!O$4:O$99,'Stammdaten - Sponsoren'!A10,'Stammdaten - Schwimmer'!R$4:R$99)+SUMIF('Stammdaten - Schwimmer'!S$4:S$99,'Stammdaten - Sponsoren'!A10,'Stammdaten - Schwimmer'!V$4:V$99)+SUMIF('Stammdaten - Schwimmer'!W$4:W$99,'Stammdaten - Sponsoren'!A10,'Stammdaten - Schwimmer'!Z$4:Z$99)</f>
        <v>29</v>
      </c>
      <c r="N10" s="24"/>
      <c r="O10" s="1"/>
      <c r="P10" s="1"/>
      <c r="Q10" s="24"/>
      <c r="R10" s="24"/>
      <c r="S10" s="24"/>
      <c r="T10" s="49"/>
      <c r="U10" s="24"/>
    </row>
    <row r="11" customFormat="false" ht="15" hidden="false" customHeight="false" outlineLevel="0" collapsed="false">
      <c r="A11" s="29" t="n">
        <f aca="false">'Stammdaten - Sponsoren'!A11</f>
        <v>1008</v>
      </c>
      <c r="B11" s="48" t="str">
        <f aca="false">'Stammdaten - Sponsoren'!B11</f>
        <v>Gessler</v>
      </c>
      <c r="C11" s="48" t="str">
        <f aca="false">'Stammdaten - Sponsoren'!C11</f>
        <v>Andreas</v>
      </c>
      <c r="D11" s="30" t="n">
        <f aca="false">SUMIF('Stammdaten - Schwimmer'!G$4:G$99,'Stammdaten - Sponsoren'!A11,'Stammdaten - Schwimmer'!J$4:J$99)+SUMIF('Stammdaten - Schwimmer'!K$4:K$99,'Stammdaten - Sponsoren'!A11,'Stammdaten - Schwimmer'!N$4:N$99)+SUMIF('Stammdaten - Schwimmer'!O$4:O$99,'Stammdaten - Sponsoren'!A11,'Stammdaten - Schwimmer'!R$4:R$99)+SUMIF('Stammdaten - Schwimmer'!S$4:S$99,'Stammdaten - Sponsoren'!A11,'Stammdaten - Schwimmer'!V$4:V$99)+SUMIF('Stammdaten - Schwimmer'!W$4:W$99,'Stammdaten - Sponsoren'!A11,'Stammdaten - Schwimmer'!Z$4:Z$99)</f>
        <v>24.5</v>
      </c>
      <c r="S11" s="5"/>
      <c r="T11" s="5"/>
      <c r="U11" s="5"/>
    </row>
    <row r="12" customFormat="false" ht="15" hidden="false" customHeight="false" outlineLevel="0" collapsed="false">
      <c r="A12" s="29" t="n">
        <f aca="false">'Stammdaten - Sponsoren'!A12</f>
        <v>1009</v>
      </c>
      <c r="B12" s="48" t="str">
        <f aca="false">'Stammdaten - Sponsoren'!B12</f>
        <v>Fischer</v>
      </c>
      <c r="C12" s="48" t="str">
        <f aca="false">'Stammdaten - Sponsoren'!C12</f>
        <v>Michael</v>
      </c>
      <c r="D12" s="30" t="n">
        <f aca="false">SUMIF('Stammdaten - Schwimmer'!G$4:G$99,'Stammdaten - Sponsoren'!A12,'Stammdaten - Schwimmer'!J$4:J$99)+SUMIF('Stammdaten - Schwimmer'!K$4:K$99,'Stammdaten - Sponsoren'!A12,'Stammdaten - Schwimmer'!N$4:N$99)+SUMIF('Stammdaten - Schwimmer'!O$4:O$99,'Stammdaten - Sponsoren'!A12,'Stammdaten - Schwimmer'!R$4:R$99)+SUMIF('Stammdaten - Schwimmer'!S$4:S$99,'Stammdaten - Sponsoren'!A12,'Stammdaten - Schwimmer'!V$4:V$99)+SUMIF('Stammdaten - Schwimmer'!W$4:W$99,'Stammdaten - Sponsoren'!A12,'Stammdaten - Schwimmer'!Z$4:Z$99)</f>
        <v>53.5</v>
      </c>
    </row>
    <row r="13" customFormat="false" ht="15" hidden="false" customHeight="false" outlineLevel="0" collapsed="false">
      <c r="A13" s="29" t="n">
        <f aca="false">'Stammdaten - Sponsoren'!A13</f>
        <v>1010</v>
      </c>
      <c r="B13" s="48" t="str">
        <f aca="false">'Stammdaten - Sponsoren'!B7</f>
        <v>Symmetree GmbH</v>
      </c>
      <c r="C13" s="48" t="str">
        <f aca="false">'Stammdaten - Sponsoren'!C7</f>
        <v>James Hartman</v>
      </c>
      <c r="D13" s="30" t="n">
        <f aca="false">SUMIF('Stammdaten - Schwimmer'!G$4:G$99,'Stammdaten - Sponsoren'!A13,'Stammdaten - Schwimmer'!J$4:J$99)+SUMIF('Stammdaten - Schwimmer'!K$4:K$99,'Stammdaten - Sponsoren'!A13,'Stammdaten - Schwimmer'!N$4:N$99)+SUMIF('Stammdaten - Schwimmer'!O$4:O$99,'Stammdaten - Sponsoren'!A13,'Stammdaten - Schwimmer'!R$4:R$99)+SUMIF('Stammdaten - Schwimmer'!S$4:S$99,'Stammdaten - Sponsoren'!A13,'Stammdaten - Schwimmer'!V$4:V$99)+SUMIF('Stammdaten - Schwimmer'!W$4:W$99,'Stammdaten - Sponsoren'!A13,'Stammdaten - Schwimmer'!Z$4:Z$99)</f>
        <v>0</v>
      </c>
    </row>
    <row r="14" customFormat="false" ht="15" hidden="false" customHeight="false" outlineLevel="0" collapsed="false">
      <c r="A14" s="29" t="n">
        <f aca="false">'Stammdaten - Sponsoren'!A14</f>
        <v>1011</v>
      </c>
      <c r="B14" s="48" t="str">
        <f aca="false">'Stammdaten - Sponsoren'!B14</f>
        <v>Michels</v>
      </c>
      <c r="C14" s="48" t="str">
        <f aca="false">'Stammdaten - Sponsoren'!C14</f>
        <v>Laurens</v>
      </c>
      <c r="D14" s="30" t="n">
        <f aca="false">SUMIF('Stammdaten - Schwimmer'!G$4:G$99,'Stammdaten - Sponsoren'!A14,'Stammdaten - Schwimmer'!J$4:J$99)+SUMIF('Stammdaten - Schwimmer'!K$4:K$99,'Stammdaten - Sponsoren'!A14,'Stammdaten - Schwimmer'!N$4:N$99)+SUMIF('Stammdaten - Schwimmer'!O$4:O$99,'Stammdaten - Sponsoren'!A14,'Stammdaten - Schwimmer'!R$4:R$99)+SUMIF('Stammdaten - Schwimmer'!S$4:S$99,'Stammdaten - Sponsoren'!A14,'Stammdaten - Schwimmer'!V$4:V$99)+SUMIF('Stammdaten - Schwimmer'!W$4:W$99,'Stammdaten - Sponsoren'!A14,'Stammdaten - Schwimmer'!Z$4:Z$99)</f>
        <v>35</v>
      </c>
    </row>
    <row r="15" customFormat="false" ht="15" hidden="false" customHeight="false" outlineLevel="0" collapsed="false">
      <c r="A15" s="29" t="n">
        <f aca="false">'Stammdaten - Sponsoren'!A15</f>
        <v>1012</v>
      </c>
      <c r="B15" s="48" t="str">
        <f aca="false">'Stammdaten - Sponsoren'!B15</f>
        <v>Schmid</v>
      </c>
      <c r="C15" s="48" t="str">
        <f aca="false">'Stammdaten - Sponsoren'!C15</f>
        <v>Günter</v>
      </c>
      <c r="D15" s="30" t="n">
        <f aca="false">SUMIF('Stammdaten - Schwimmer'!G$4:G$99,'Stammdaten - Sponsoren'!A15,'Stammdaten - Schwimmer'!J$4:J$99)+SUMIF('Stammdaten - Schwimmer'!K$4:K$99,'Stammdaten - Sponsoren'!A15,'Stammdaten - Schwimmer'!N$4:N$99)+SUMIF('Stammdaten - Schwimmer'!O$4:O$99,'Stammdaten - Sponsoren'!A15,'Stammdaten - Schwimmer'!R$4:R$99)+SUMIF('Stammdaten - Schwimmer'!S$4:S$99,'Stammdaten - Sponsoren'!A15,'Stammdaten - Schwimmer'!V$4:V$99)+SUMIF('Stammdaten - Schwimmer'!W$4:W$99,'Stammdaten - Sponsoren'!A15,'Stammdaten - Schwimmer'!Z$4:Z$99)</f>
        <v>46</v>
      </c>
    </row>
    <row r="16" customFormat="false" ht="15" hidden="false" customHeight="false" outlineLevel="0" collapsed="false">
      <c r="A16" s="29" t="n">
        <f aca="false">'Stammdaten - Sponsoren'!A16</f>
        <v>1013</v>
      </c>
      <c r="B16" s="48" t="str">
        <f aca="false">'Stammdaten - Sponsoren'!B16</f>
        <v>Auchter</v>
      </c>
      <c r="C16" s="48" t="str">
        <f aca="false">'Stammdaten - Sponsoren'!C16</f>
        <v>Tonja Holger</v>
      </c>
      <c r="D16" s="30" t="n">
        <f aca="false">SUMIF('Stammdaten - Schwimmer'!G$4:G$99,'Stammdaten - Sponsoren'!A16,'Stammdaten - Schwimmer'!J$4:J$99)+SUMIF('Stammdaten - Schwimmer'!K$4:K$99,'Stammdaten - Sponsoren'!A16,'Stammdaten - Schwimmer'!N$4:N$99)+SUMIF('Stammdaten - Schwimmer'!O$4:O$99,'Stammdaten - Sponsoren'!A16,'Stammdaten - Schwimmer'!R$4:R$99)+SUMIF('Stammdaten - Schwimmer'!S$4:S$99,'Stammdaten - Sponsoren'!A16,'Stammdaten - Schwimmer'!V$4:V$99)+SUMIF('Stammdaten - Schwimmer'!W$4:W$99,'Stammdaten - Sponsoren'!A16,'Stammdaten - Schwimmer'!Z$4:Z$99)</f>
        <v>92</v>
      </c>
    </row>
    <row r="17" customFormat="false" ht="15" hidden="false" customHeight="false" outlineLevel="0" collapsed="false">
      <c r="A17" s="29" t="n">
        <f aca="false">'Stammdaten - Sponsoren'!A17</f>
        <v>1014</v>
      </c>
      <c r="B17" s="48" t="str">
        <f aca="false">'Stammdaten - Sponsoren'!B17</f>
        <v>Thiele</v>
      </c>
      <c r="C17" s="48" t="str">
        <f aca="false">'Stammdaten - Sponsoren'!C17</f>
        <v>Stephan</v>
      </c>
      <c r="D17" s="30" t="n">
        <f aca="false">SUMIF('Stammdaten - Schwimmer'!G$4:G$99,'Stammdaten - Sponsoren'!A17,'Stammdaten - Schwimmer'!J$4:J$99)+SUMIF('Stammdaten - Schwimmer'!K$4:K$99,'Stammdaten - Sponsoren'!A17,'Stammdaten - Schwimmer'!N$4:N$99)+SUMIF('Stammdaten - Schwimmer'!O$4:O$99,'Stammdaten - Sponsoren'!A17,'Stammdaten - Schwimmer'!R$4:R$99)+SUMIF('Stammdaten - Schwimmer'!S$4:S$99,'Stammdaten - Sponsoren'!A17,'Stammdaten - Schwimmer'!V$4:V$99)+SUMIF('Stammdaten - Schwimmer'!W$4:W$99,'Stammdaten - Sponsoren'!A17,'Stammdaten - Schwimmer'!Z$4:Z$99)</f>
        <v>123</v>
      </c>
      <c r="N17" s="49"/>
      <c r="R17" s="49"/>
      <c r="S17" s="49"/>
      <c r="T17" s="49"/>
      <c r="U17" s="49"/>
    </row>
    <row r="18" customFormat="false" ht="15" hidden="false" customHeight="false" outlineLevel="0" collapsed="false">
      <c r="A18" s="29" t="n">
        <f aca="false">'Stammdaten - Sponsoren'!A18</f>
        <v>1015</v>
      </c>
      <c r="B18" s="48" t="str">
        <f aca="false">'Stammdaten - Sponsoren'!B18</f>
        <v>Kesten</v>
      </c>
      <c r="C18" s="48" t="str">
        <f aca="false">'Stammdaten - Sponsoren'!C18</f>
        <v>Carla</v>
      </c>
      <c r="D18" s="30" t="n">
        <f aca="false">SUMIF('Stammdaten - Schwimmer'!G$4:G$99,'Stammdaten - Sponsoren'!A18,'Stammdaten - Schwimmer'!J$4:J$99)+SUMIF('Stammdaten - Schwimmer'!K$4:K$99,'Stammdaten - Sponsoren'!A18,'Stammdaten - Schwimmer'!N$4:N$99)+SUMIF('Stammdaten - Schwimmer'!O$4:O$99,'Stammdaten - Sponsoren'!A18,'Stammdaten - Schwimmer'!R$4:R$99)+SUMIF('Stammdaten - Schwimmer'!S$4:S$99,'Stammdaten - Sponsoren'!A18,'Stammdaten - Schwimmer'!V$4:V$99)+SUMIF('Stammdaten - Schwimmer'!W$4:W$99,'Stammdaten - Sponsoren'!A18,'Stammdaten - Schwimmer'!Z$4:Z$99)</f>
        <v>41</v>
      </c>
      <c r="S18" s="5"/>
      <c r="T18" s="5"/>
      <c r="U18" s="5"/>
    </row>
    <row r="19" customFormat="false" ht="15" hidden="false" customHeight="false" outlineLevel="0" collapsed="false">
      <c r="A19" s="29" t="n">
        <f aca="false">'Stammdaten - Sponsoren'!A19</f>
        <v>1016</v>
      </c>
      <c r="B19" s="48" t="str">
        <f aca="false">'Stammdaten - Sponsoren'!B19</f>
        <v>Maier</v>
      </c>
      <c r="C19" s="48" t="str">
        <f aca="false">'Stammdaten - Sponsoren'!C19</f>
        <v>Heidi</v>
      </c>
      <c r="D19" s="30" t="n">
        <f aca="false">SUMIF('Stammdaten - Schwimmer'!G$4:G$99,'Stammdaten - Sponsoren'!A19,'Stammdaten - Schwimmer'!J$4:J$99)+SUMIF('Stammdaten - Schwimmer'!K$4:K$99,'Stammdaten - Sponsoren'!A19,'Stammdaten - Schwimmer'!N$4:N$99)+SUMIF('Stammdaten - Schwimmer'!O$4:O$99,'Stammdaten - Sponsoren'!A19,'Stammdaten - Schwimmer'!R$4:R$99)+SUMIF('Stammdaten - Schwimmer'!S$4:S$99,'Stammdaten - Sponsoren'!A19,'Stammdaten - Schwimmer'!V$4:V$99)+SUMIF('Stammdaten - Schwimmer'!W$4:W$99,'Stammdaten - Sponsoren'!A19,'Stammdaten - Schwimmer'!Z$4:Z$99)</f>
        <v>90</v>
      </c>
      <c r="S19" s="5"/>
      <c r="T19" s="5"/>
      <c r="U19" s="5"/>
    </row>
    <row r="20" customFormat="false" ht="15" hidden="false" customHeight="false" outlineLevel="0" collapsed="false">
      <c r="A20" s="29" t="n">
        <f aca="false">'Stammdaten - Sponsoren'!A20</f>
        <v>1017</v>
      </c>
      <c r="B20" s="48" t="str">
        <f aca="false">'Stammdaten - Sponsoren'!B20</f>
        <v>Schaufelberger</v>
      </c>
      <c r="C20" s="48" t="str">
        <f aca="false">'Stammdaten - Sponsoren'!C20</f>
        <v>Werner</v>
      </c>
      <c r="D20" s="30" t="n">
        <f aca="false">SUMIF('Stammdaten - Schwimmer'!G$4:G$99,'Stammdaten - Sponsoren'!A20,'Stammdaten - Schwimmer'!J$4:J$99)+SUMIF('Stammdaten - Schwimmer'!K$4:K$99,'Stammdaten - Sponsoren'!A20,'Stammdaten - Schwimmer'!N$4:N$99)+SUMIF('Stammdaten - Schwimmer'!O$4:O$99,'Stammdaten - Sponsoren'!A20,'Stammdaten - Schwimmer'!R$4:R$99)+SUMIF('Stammdaten - Schwimmer'!S$4:S$99,'Stammdaten - Sponsoren'!A20,'Stammdaten - Schwimmer'!V$4:V$99)+SUMIF('Stammdaten - Schwimmer'!W$4:W$99,'Stammdaten - Sponsoren'!A20,'Stammdaten - Schwimmer'!Z$4:Z$99)</f>
        <v>15</v>
      </c>
      <c r="S20" s="5"/>
      <c r="T20" s="5"/>
      <c r="U20" s="5"/>
    </row>
    <row r="21" customFormat="false" ht="15" hidden="false" customHeight="false" outlineLevel="0" collapsed="false">
      <c r="A21" s="29" t="n">
        <f aca="false">'Stammdaten - Sponsoren'!A21</f>
        <v>1018</v>
      </c>
      <c r="B21" s="48" t="str">
        <f aca="false">'Stammdaten - Sponsoren'!B21</f>
        <v>Hausund Gertenservice</v>
      </c>
      <c r="C21" s="48" t="n">
        <f aca="false">'Stammdaten - Sponsoren'!C21</f>
        <v>0</v>
      </c>
      <c r="D21" s="30" t="n">
        <f aca="false">SUMIF('Stammdaten - Schwimmer'!G$4:G$99,'Stammdaten - Sponsoren'!A21,'Stammdaten - Schwimmer'!J$4:J$99)+SUMIF('Stammdaten - Schwimmer'!K$4:K$99,'Stammdaten - Sponsoren'!A21,'Stammdaten - Schwimmer'!N$4:N$99)+SUMIF('Stammdaten - Schwimmer'!O$4:O$99,'Stammdaten - Sponsoren'!A21,'Stammdaten - Schwimmer'!R$4:R$99)+SUMIF('Stammdaten - Schwimmer'!S$4:S$99,'Stammdaten - Sponsoren'!A21,'Stammdaten - Schwimmer'!V$4:V$99)+SUMIF('Stammdaten - Schwimmer'!W$4:W$99,'Stammdaten - Sponsoren'!A21,'Stammdaten - Schwimmer'!Z$4:Z$99)</f>
        <v>36</v>
      </c>
      <c r="J21" s="1"/>
      <c r="S21" s="5"/>
      <c r="T21" s="5"/>
      <c r="U21" s="5"/>
    </row>
    <row r="22" customFormat="false" ht="15" hidden="false" customHeight="false" outlineLevel="0" collapsed="false">
      <c r="A22" s="29" t="n">
        <f aca="false">'Stammdaten - Sponsoren'!A22</f>
        <v>1019</v>
      </c>
      <c r="B22" s="48" t="str">
        <f aca="false">'Stammdaten - Sponsoren'!B22</f>
        <v>Thewett</v>
      </c>
      <c r="C22" s="48" t="str">
        <f aca="false">'Stammdaten - Sponsoren'!C22</f>
        <v>Thomas Schmid</v>
      </c>
      <c r="D22" s="30" t="n">
        <f aca="false">SUMIF('Stammdaten - Schwimmer'!G$4:G$99,'Stammdaten - Sponsoren'!A22,'Stammdaten - Schwimmer'!J$4:J$99)+SUMIF('Stammdaten - Schwimmer'!K$4:K$99,'Stammdaten - Sponsoren'!A22,'Stammdaten - Schwimmer'!N$4:N$99)+SUMIF('Stammdaten - Schwimmer'!O$4:O$99,'Stammdaten - Sponsoren'!A22,'Stammdaten - Schwimmer'!R$4:R$99)+SUMIF('Stammdaten - Schwimmer'!S$4:S$99,'Stammdaten - Sponsoren'!A22,'Stammdaten - Schwimmer'!V$4:V$99)+SUMIF('Stammdaten - Schwimmer'!W$4:W$99,'Stammdaten - Sponsoren'!A22,'Stammdaten - Schwimmer'!Z$4:Z$99)</f>
        <v>50</v>
      </c>
      <c r="J22" s="1"/>
      <c r="S22" s="5"/>
      <c r="T22" s="5"/>
      <c r="U22" s="5"/>
    </row>
    <row r="23" customFormat="false" ht="15" hidden="false" customHeight="false" outlineLevel="0" collapsed="false">
      <c r="A23" s="29" t="n">
        <f aca="false">'Stammdaten - Sponsoren'!A23</f>
        <v>1020</v>
      </c>
      <c r="B23" s="48" t="str">
        <f aca="false">'Stammdaten - Sponsoren'!B23</f>
        <v>Schwertle</v>
      </c>
      <c r="C23" s="48" t="str">
        <f aca="false">'Stammdaten - Sponsoren'!C23</f>
        <v>Ariane</v>
      </c>
      <c r="D23" s="30" t="n">
        <f aca="false">SUMIF('Stammdaten - Schwimmer'!G$4:G$99,'Stammdaten - Sponsoren'!A23,'Stammdaten - Schwimmer'!J$4:J$99)+SUMIF('Stammdaten - Schwimmer'!K$4:K$99,'Stammdaten - Sponsoren'!A23,'Stammdaten - Schwimmer'!N$4:N$99)+SUMIF('Stammdaten - Schwimmer'!O$4:O$99,'Stammdaten - Sponsoren'!A23,'Stammdaten - Schwimmer'!R$4:R$99)+SUMIF('Stammdaten - Schwimmer'!S$4:S$99,'Stammdaten - Sponsoren'!A23,'Stammdaten - Schwimmer'!V$4:V$99)+SUMIF('Stammdaten - Schwimmer'!W$4:W$99,'Stammdaten - Sponsoren'!A23,'Stammdaten - Schwimmer'!Z$4:Z$99)</f>
        <v>80</v>
      </c>
      <c r="J23" s="1"/>
    </row>
    <row r="24" customFormat="false" ht="15" hidden="false" customHeight="false" outlineLevel="0" collapsed="false">
      <c r="A24" s="29" t="n">
        <f aca="false">'Stammdaten - Sponsoren'!A24</f>
        <v>1021</v>
      </c>
      <c r="B24" s="48" t="str">
        <f aca="false">'Stammdaten - Sponsoren'!B24</f>
        <v>Zimmermann</v>
      </c>
      <c r="C24" s="48" t="str">
        <f aca="false">'Stammdaten - Sponsoren'!C24</f>
        <v>Markus</v>
      </c>
      <c r="D24" s="30" t="n">
        <f aca="false">SUMIF('Stammdaten - Schwimmer'!G$4:G$99,'Stammdaten - Sponsoren'!A24,'Stammdaten - Schwimmer'!J$4:J$99)+SUMIF('Stammdaten - Schwimmer'!K$4:K$99,'Stammdaten - Sponsoren'!A24,'Stammdaten - Schwimmer'!N$4:N$99)+SUMIF('Stammdaten - Schwimmer'!O$4:O$99,'Stammdaten - Sponsoren'!A24,'Stammdaten - Schwimmer'!R$4:R$99)+SUMIF('Stammdaten - Schwimmer'!S$4:S$99,'Stammdaten - Sponsoren'!A24,'Stammdaten - Schwimmer'!V$4:V$99)+SUMIF('Stammdaten - Schwimmer'!W$4:W$99,'Stammdaten - Sponsoren'!A24,'Stammdaten - Schwimmer'!Z$4:Z$99)</f>
        <v>50</v>
      </c>
      <c r="J24" s="1"/>
    </row>
    <row r="25" customFormat="false" ht="15" hidden="false" customHeight="false" outlineLevel="0" collapsed="false">
      <c r="A25" s="29" t="n">
        <f aca="false">'Stammdaten - Sponsoren'!A25</f>
        <v>1022</v>
      </c>
      <c r="B25" s="48" t="str">
        <f aca="false">'Stammdaten - Sponsoren'!B25</f>
        <v>Seel</v>
      </c>
      <c r="C25" s="48" t="str">
        <f aca="false">'Stammdaten - Sponsoren'!C25</f>
        <v>Rita</v>
      </c>
      <c r="D25" s="30" t="n">
        <f aca="false">SUMIF('Stammdaten - Schwimmer'!G$4:G$99,'Stammdaten - Sponsoren'!A25,'Stammdaten - Schwimmer'!J$4:J$99)+SUMIF('Stammdaten - Schwimmer'!K$4:K$99,'Stammdaten - Sponsoren'!A25,'Stammdaten - Schwimmer'!N$4:N$99)+SUMIF('Stammdaten - Schwimmer'!O$4:O$99,'Stammdaten - Sponsoren'!A25,'Stammdaten - Schwimmer'!R$4:R$99)+SUMIF('Stammdaten - Schwimmer'!S$4:S$99,'Stammdaten - Sponsoren'!A25,'Stammdaten - Schwimmer'!V$4:V$99)+SUMIF('Stammdaten - Schwimmer'!W$4:W$99,'Stammdaten - Sponsoren'!A25,'Stammdaten - Schwimmer'!Z$4:Z$99)</f>
        <v>84</v>
      </c>
      <c r="J25" s="1"/>
    </row>
    <row r="26" customFormat="false" ht="15" hidden="false" customHeight="false" outlineLevel="0" collapsed="false">
      <c r="A26" s="29" t="n">
        <f aca="false">'Stammdaten - Sponsoren'!A26</f>
        <v>1023</v>
      </c>
      <c r="B26" s="48" t="str">
        <f aca="false">'Stammdaten - Sponsoren'!B26</f>
        <v>Kombächer </v>
      </c>
      <c r="C26" s="48" t="str">
        <f aca="false">'Stammdaten - Sponsoren'!C26</f>
        <v>Dagmar</v>
      </c>
      <c r="D26" s="30" t="n">
        <f aca="false">SUMIF('Stammdaten - Schwimmer'!G$4:G$99,'Stammdaten - Sponsoren'!A26,'Stammdaten - Schwimmer'!J$4:J$99)+SUMIF('Stammdaten - Schwimmer'!K$4:K$99,'Stammdaten - Sponsoren'!A26,'Stammdaten - Schwimmer'!N$4:N$99)+SUMIF('Stammdaten - Schwimmer'!O$4:O$99,'Stammdaten - Sponsoren'!A26,'Stammdaten - Schwimmer'!R$4:R$99)+SUMIF('Stammdaten - Schwimmer'!S$4:S$99,'Stammdaten - Sponsoren'!A26,'Stammdaten - Schwimmer'!V$4:V$99)+SUMIF('Stammdaten - Schwimmer'!W$4:W$99,'Stammdaten - Sponsoren'!A26,'Stammdaten - Schwimmer'!Z$4:Z$99)</f>
        <v>84</v>
      </c>
      <c r="J26" s="1"/>
    </row>
    <row r="27" customFormat="false" ht="15" hidden="false" customHeight="false" outlineLevel="0" collapsed="false">
      <c r="A27" s="29" t="n">
        <f aca="false">'Stammdaten - Sponsoren'!A27</f>
        <v>1024</v>
      </c>
      <c r="B27" s="48" t="str">
        <f aca="false">'Stammdaten - Sponsoren'!B27</f>
        <v>Häcker</v>
      </c>
      <c r="C27" s="48" t="str">
        <f aca="false">'Stammdaten - Sponsoren'!C27</f>
        <v>Rudi</v>
      </c>
      <c r="D27" s="30" t="n">
        <f aca="false">SUMIF('Stammdaten - Schwimmer'!G$4:G$99,'Stammdaten - Sponsoren'!A27,'Stammdaten - Schwimmer'!J$4:J$99)+SUMIF('Stammdaten - Schwimmer'!K$4:K$99,'Stammdaten - Sponsoren'!A27,'Stammdaten - Schwimmer'!N$4:N$99)+SUMIF('Stammdaten - Schwimmer'!O$4:O$99,'Stammdaten - Sponsoren'!A27,'Stammdaten - Schwimmer'!R$4:R$99)+SUMIF('Stammdaten - Schwimmer'!S$4:S$99,'Stammdaten - Sponsoren'!A27,'Stammdaten - Schwimmer'!V$4:V$99)+SUMIF('Stammdaten - Schwimmer'!W$4:W$99,'Stammdaten - Sponsoren'!A27,'Stammdaten - Schwimmer'!Z$4:Z$99)</f>
        <v>84</v>
      </c>
      <c r="J27" s="1"/>
    </row>
    <row r="28" customFormat="false" ht="15" hidden="false" customHeight="false" outlineLevel="0" collapsed="false">
      <c r="A28" s="29" t="n">
        <f aca="false">'Stammdaten - Sponsoren'!A28</f>
        <v>1025</v>
      </c>
      <c r="B28" s="48" t="str">
        <f aca="false">'Stammdaten - Sponsoren'!B28</f>
        <v>DRK</v>
      </c>
      <c r="C28" s="48" t="str">
        <f aca="false">'Stammdaten - Sponsoren'!C28</f>
        <v>ortverein Vaihingen Enz</v>
      </c>
      <c r="D28" s="30" t="n">
        <f aca="false">SUMIF('Stammdaten - Schwimmer'!G$4:G$99,'Stammdaten - Sponsoren'!A28,'Stammdaten - Schwimmer'!J$4:J$99)+SUMIF('Stammdaten - Schwimmer'!K$4:K$99,'Stammdaten - Sponsoren'!A28,'Stammdaten - Schwimmer'!N$4:N$99)+SUMIF('Stammdaten - Schwimmer'!O$4:O$99,'Stammdaten - Sponsoren'!A28,'Stammdaten - Schwimmer'!R$4:R$99)+SUMIF('Stammdaten - Schwimmer'!S$4:S$99,'Stammdaten - Sponsoren'!A28,'Stammdaten - Schwimmer'!V$4:V$99)+SUMIF('Stammdaten - Schwimmer'!W$4:W$99,'Stammdaten - Sponsoren'!A28,'Stammdaten - Schwimmer'!Z$4:Z$99)</f>
        <v>250</v>
      </c>
      <c r="J28" s="1"/>
    </row>
    <row r="29" customFormat="false" ht="15" hidden="false" customHeight="false" outlineLevel="0" collapsed="false">
      <c r="A29" s="29" t="n">
        <f aca="false">'Stammdaten - Sponsoren'!A37</f>
        <v>1034</v>
      </c>
      <c r="B29" s="48" t="str">
        <f aca="false">'Stammdaten - Sponsoren'!B37</f>
        <v>Ludwig</v>
      </c>
      <c r="C29" s="48" t="str">
        <f aca="false">'Stammdaten - Sponsoren'!C37</f>
        <v>Martin</v>
      </c>
      <c r="D29" s="30" t="n">
        <f aca="false">SUMIF('Stammdaten - Schwimmer'!G$4:G$99,'Stammdaten - Sponsoren'!A37,'Stammdaten - Schwimmer'!J$4:J$99)+SUMIF('Stammdaten - Schwimmer'!K$4:K$99,'Stammdaten - Sponsoren'!A37,'Stammdaten - Schwimmer'!N$4:N$99)+SUMIF('Stammdaten - Schwimmer'!O$4:O$99,'Stammdaten - Sponsoren'!A37,'Stammdaten - Schwimmer'!R$4:R$99)+SUMIF('Stammdaten - Schwimmer'!S$4:S$99,'Stammdaten - Sponsoren'!A37,'Stammdaten - Schwimmer'!V$4:V$99)+SUMIF('Stammdaten - Schwimmer'!W$4:W$99,'Stammdaten - Sponsoren'!A37,'Stammdaten - Schwimmer'!Z$4:Z$99)</f>
        <v>52</v>
      </c>
      <c r="J29" s="1"/>
    </row>
    <row r="30" customFormat="false" ht="15" hidden="false" customHeight="false" outlineLevel="0" collapsed="false">
      <c r="A30" s="29" t="n">
        <f aca="false">'Stammdaten - Sponsoren'!A85</f>
        <v>1084</v>
      </c>
      <c r="B30" s="48" t="str">
        <f aca="false">'Stammdaten - Sponsoren'!B85</f>
        <v>Faigle</v>
      </c>
      <c r="C30" s="48" t="str">
        <f aca="false">'Stammdaten - Sponsoren'!C85</f>
        <v>Gustav</v>
      </c>
      <c r="D30" s="30" t="n">
        <f aca="false">SUMIF('Stammdaten - Schwimmer'!G$4:G$99,'Stammdaten - Sponsoren'!A85,'Stammdaten - Schwimmer'!J$4:J$99)+SUMIF('Stammdaten - Schwimmer'!K$4:K$99,'Stammdaten - Sponsoren'!A85,'Stammdaten - Schwimmer'!N$4:N$99)+SUMIF('Stammdaten - Schwimmer'!O$4:O$99,'Stammdaten - Sponsoren'!A85,'Stammdaten - Schwimmer'!R$4:R$99)+SUMIF('Stammdaten - Schwimmer'!S$4:S$99,'Stammdaten - Sponsoren'!A85,'Stammdaten - Schwimmer'!V$4:V$99)+SUMIF('Stammdaten - Schwimmer'!W$4:W$99,'Stammdaten - Sponsoren'!A85,'Stammdaten - Schwimmer'!Z$4:Z$99)</f>
        <v>101</v>
      </c>
    </row>
    <row r="31" customFormat="false" ht="15" hidden="false" customHeight="false" outlineLevel="0" collapsed="false">
      <c r="A31" s="29" t="n">
        <f aca="false">'Stammdaten - Sponsoren'!A86</f>
        <v>1085</v>
      </c>
      <c r="B31" s="48" t="str">
        <f aca="false">'Stammdaten - Sponsoren'!B86</f>
        <v>Schmid</v>
      </c>
      <c r="C31" s="48" t="str">
        <f aca="false">'Stammdaten - Sponsoren'!C86</f>
        <v>Christina</v>
      </c>
      <c r="D31" s="30" t="n">
        <f aca="false">SUMIF('Stammdaten - Schwimmer'!G$4:G$99,'Stammdaten - Sponsoren'!A86,'Stammdaten - Schwimmer'!J$4:J$99)+SUMIF('Stammdaten - Schwimmer'!K$4:K$99,'Stammdaten - Sponsoren'!A86,'Stammdaten - Schwimmer'!N$4:N$99)+SUMIF('Stammdaten - Schwimmer'!O$4:O$99,'Stammdaten - Sponsoren'!A86,'Stammdaten - Schwimmer'!R$4:R$99)+SUMIF('Stammdaten - Schwimmer'!S$4:S$99,'Stammdaten - Sponsoren'!A86,'Stammdaten - Schwimmer'!V$4:V$99)+SUMIF('Stammdaten - Schwimmer'!W$4:W$99,'Stammdaten - Sponsoren'!A86,'Stammdaten - Schwimmer'!Z$4:Z$99)</f>
        <v>101</v>
      </c>
    </row>
    <row r="32" customFormat="false" ht="15" hidden="false" customHeight="false" outlineLevel="0" collapsed="false">
      <c r="A32" s="29" t="n">
        <f aca="false">'Stammdaten - Sponsoren'!A87</f>
        <v>1086</v>
      </c>
      <c r="B32" s="48" t="str">
        <f aca="false">'Stammdaten - Sponsoren'!B87</f>
        <v>Göpel</v>
      </c>
      <c r="C32" s="48" t="str">
        <f aca="false">'Stammdaten - Sponsoren'!C87</f>
        <v>Sandra</v>
      </c>
      <c r="D32" s="30" t="n">
        <f aca="false">SUMIF('Stammdaten - Schwimmer'!G$4:G$99,'Stammdaten - Sponsoren'!A87,'Stammdaten - Schwimmer'!J$4:J$99)+SUMIF('Stammdaten - Schwimmer'!K$4:K$99,'Stammdaten - Sponsoren'!A87,'Stammdaten - Schwimmer'!N$4:N$99)+SUMIF('Stammdaten - Schwimmer'!O$4:O$99,'Stammdaten - Sponsoren'!A87,'Stammdaten - Schwimmer'!R$4:R$99)+SUMIF('Stammdaten - Schwimmer'!S$4:S$99,'Stammdaten - Sponsoren'!A87,'Stammdaten - Schwimmer'!V$4:V$99)+SUMIF('Stammdaten - Schwimmer'!W$4:W$99,'Stammdaten - Sponsoren'!A87,'Stammdaten - Schwimmer'!Z$4:Z$99)</f>
        <v>222</v>
      </c>
    </row>
    <row r="33" customFormat="false" ht="15" hidden="false" customHeight="false" outlineLevel="0" collapsed="false">
      <c r="A33" s="29" t="n">
        <f aca="false">'Stammdaten - Sponsoren'!A88</f>
        <v>1087</v>
      </c>
      <c r="B33" s="48" t="str">
        <f aca="false">'Stammdaten - Sponsoren'!B88</f>
        <v>Tetz</v>
      </c>
      <c r="C33" s="48" t="str">
        <f aca="false">'Stammdaten - Sponsoren'!C88</f>
        <v>Dagmar</v>
      </c>
      <c r="D33" s="30" t="n">
        <f aca="false">SUMIF('Stammdaten - Schwimmer'!G$4:G$99,'Stammdaten - Sponsoren'!A88,'Stammdaten - Schwimmer'!J$4:J$99)+SUMIF('Stammdaten - Schwimmer'!K$4:K$99,'Stammdaten - Sponsoren'!A88,'Stammdaten - Schwimmer'!N$4:N$99)+SUMIF('Stammdaten - Schwimmer'!O$4:O$99,'Stammdaten - Sponsoren'!A88,'Stammdaten - Schwimmer'!R$4:R$99)+SUMIF('Stammdaten - Schwimmer'!S$4:S$99,'Stammdaten - Sponsoren'!A88,'Stammdaten - Schwimmer'!V$4:V$99)+SUMIF('Stammdaten - Schwimmer'!W$4:W$99,'Stammdaten - Sponsoren'!A88,'Stammdaten - Schwimmer'!Z$4:Z$99)</f>
        <v>74</v>
      </c>
    </row>
    <row r="34" customFormat="false" ht="15" hidden="false" customHeight="false" outlineLevel="0" collapsed="false">
      <c r="A34" s="29" t="n">
        <f aca="false">'Stammdaten - Sponsoren'!A89</f>
        <v>1088</v>
      </c>
      <c r="B34" s="48" t="str">
        <f aca="false">'Stammdaten - Sponsoren'!B89</f>
        <v>Göpel</v>
      </c>
      <c r="C34" s="48" t="str">
        <f aca="false">'Stammdaten - Sponsoren'!C89</f>
        <v>Eva</v>
      </c>
      <c r="D34" s="30" t="n">
        <f aca="false">SUMIF('Stammdaten - Schwimmer'!G$4:G$99,'Stammdaten - Sponsoren'!A89,'Stammdaten - Schwimmer'!J$4:J$99)+SUMIF('Stammdaten - Schwimmer'!K$4:K$99,'Stammdaten - Sponsoren'!A89,'Stammdaten - Schwimmer'!N$4:N$99)+SUMIF('Stammdaten - Schwimmer'!O$4:O$99,'Stammdaten - Sponsoren'!A89,'Stammdaten - Schwimmer'!R$4:R$99)+SUMIF('Stammdaten - Schwimmer'!S$4:S$99,'Stammdaten - Sponsoren'!A89,'Stammdaten - Schwimmer'!V$4:V$99)+SUMIF('Stammdaten - Schwimmer'!W$4:W$99,'Stammdaten - Sponsoren'!A89,'Stammdaten - Schwimmer'!Z$4:Z$99)</f>
        <v>148</v>
      </c>
    </row>
    <row r="35" customFormat="false" ht="15" hidden="false" customHeight="false" outlineLevel="0" collapsed="false">
      <c r="A35" s="29" t="n">
        <f aca="false">'Stammdaten - Sponsoren'!A90</f>
        <v>1089</v>
      </c>
      <c r="B35" s="48" t="str">
        <f aca="false">'Stammdaten - Sponsoren'!B90</f>
        <v>Tetz</v>
      </c>
      <c r="C35" s="48" t="str">
        <f aca="false">'Stammdaten - Sponsoren'!C90</f>
        <v>Aule</v>
      </c>
      <c r="D35" s="30" t="n">
        <f aca="false">SUMIF('Stammdaten - Schwimmer'!G$4:G$99,'Stammdaten - Sponsoren'!A90,'Stammdaten - Schwimmer'!J$4:J$99)+SUMIF('Stammdaten - Schwimmer'!K$4:K$99,'Stammdaten - Sponsoren'!A90,'Stammdaten - Schwimmer'!N$4:N$99)+SUMIF('Stammdaten - Schwimmer'!O$4:O$99,'Stammdaten - Sponsoren'!A90,'Stammdaten - Schwimmer'!R$4:R$99)+SUMIF('Stammdaten - Schwimmer'!S$4:S$99,'Stammdaten - Sponsoren'!A90,'Stammdaten - Schwimmer'!V$4:V$99)+SUMIF('Stammdaten - Schwimmer'!W$4:W$99,'Stammdaten - Sponsoren'!A90,'Stammdaten - Schwimmer'!Z$4:Z$99)</f>
        <v>148</v>
      </c>
    </row>
    <row r="36" customFormat="false" ht="15" hidden="false" customHeight="false" outlineLevel="0" collapsed="false">
      <c r="A36" s="29" t="n">
        <f aca="false">'Stammdaten - Sponsoren'!A91</f>
        <v>1090</v>
      </c>
      <c r="B36" s="48" t="str">
        <f aca="false">'Stammdaten - Sponsoren'!B91</f>
        <v>lingling</v>
      </c>
      <c r="C36" s="48" t="str">
        <f aca="false">'Stammdaten - Sponsoren'!C91</f>
        <v>Xie</v>
      </c>
      <c r="D36" s="30" t="n">
        <f aca="false">SUMIF('Stammdaten - Schwimmer'!G$4:G$99,'Stammdaten - Sponsoren'!A91,'Stammdaten - Schwimmer'!J$4:J$99)+SUMIF('Stammdaten - Schwimmer'!K$4:K$99,'Stammdaten - Sponsoren'!A91,'Stammdaten - Schwimmer'!N$4:N$99)+SUMIF('Stammdaten - Schwimmer'!O$4:O$99,'Stammdaten - Sponsoren'!A91,'Stammdaten - Schwimmer'!R$4:R$99)+SUMIF('Stammdaten - Schwimmer'!S$4:S$99,'Stammdaten - Sponsoren'!A91,'Stammdaten - Schwimmer'!V$4:V$99)+SUMIF('Stammdaten - Schwimmer'!W$4:W$99,'Stammdaten - Sponsoren'!A91,'Stammdaten - Schwimmer'!Z$4:Z$99)</f>
        <v>80</v>
      </c>
    </row>
    <row r="37" customFormat="false" ht="15" hidden="false" customHeight="false" outlineLevel="0" collapsed="false">
      <c r="A37" s="29" t="n">
        <f aca="false">'Stammdaten - Sponsoren'!A92</f>
        <v>1091</v>
      </c>
      <c r="B37" s="48" t="str">
        <f aca="false">'Stammdaten - Sponsoren'!B92</f>
        <v>Burk</v>
      </c>
      <c r="C37" s="48" t="str">
        <f aca="false">'Stammdaten - Sponsoren'!C92</f>
        <v>Andreas</v>
      </c>
      <c r="D37" s="30" t="n">
        <f aca="false">SUMIF('Stammdaten - Schwimmer'!G$4:G$99,'Stammdaten - Sponsoren'!A92,'Stammdaten - Schwimmer'!J$4:J$99)+SUMIF('Stammdaten - Schwimmer'!K$4:K$99,'Stammdaten - Sponsoren'!A92,'Stammdaten - Schwimmer'!N$4:N$99)+SUMIF('Stammdaten - Schwimmer'!O$4:O$99,'Stammdaten - Sponsoren'!A92,'Stammdaten - Schwimmer'!R$4:R$99)+SUMIF('Stammdaten - Schwimmer'!S$4:S$99,'Stammdaten - Sponsoren'!A92,'Stammdaten - Schwimmer'!V$4:V$99)+SUMIF('Stammdaten - Schwimmer'!W$4:W$99,'Stammdaten - Sponsoren'!A92,'Stammdaten - Schwimmer'!Z$4:Z$99)</f>
        <v>40</v>
      </c>
    </row>
    <row r="38" customFormat="false" ht="15" hidden="false" customHeight="false" outlineLevel="0" collapsed="false">
      <c r="A38" s="29" t="n">
        <f aca="false">'Stammdaten - Sponsoren'!A93</f>
        <v>1092</v>
      </c>
      <c r="B38" s="48" t="str">
        <f aca="false">'Stammdaten - Sponsoren'!B93</f>
        <v>Fritz</v>
      </c>
      <c r="C38" s="48" t="str">
        <f aca="false">'Stammdaten - Sponsoren'!C93</f>
        <v>Joannes</v>
      </c>
      <c r="D38" s="30" t="n">
        <f aca="false">SUMIF('Stammdaten - Schwimmer'!G$4:G$99,'Stammdaten - Sponsoren'!A93,'Stammdaten - Schwimmer'!J$4:J$99)+SUMIF('Stammdaten - Schwimmer'!K$4:K$99,'Stammdaten - Sponsoren'!A93,'Stammdaten - Schwimmer'!N$4:N$99)+SUMIF('Stammdaten - Schwimmer'!O$4:O$99,'Stammdaten - Sponsoren'!A93,'Stammdaten - Schwimmer'!R$4:R$99)+SUMIF('Stammdaten - Schwimmer'!S$4:S$99,'Stammdaten - Sponsoren'!A93,'Stammdaten - Schwimmer'!V$4:V$99)+SUMIF('Stammdaten - Schwimmer'!W$4:W$99,'Stammdaten - Sponsoren'!A93,'Stammdaten - Schwimmer'!Z$4:Z$99)</f>
        <v>60</v>
      </c>
    </row>
    <row r="39" customFormat="false" ht="15" hidden="false" customHeight="false" outlineLevel="0" collapsed="false">
      <c r="A39" s="29" t="n">
        <f aca="false">'Stammdaten - Sponsoren'!A94</f>
        <v>1093</v>
      </c>
      <c r="B39" s="48" t="str">
        <f aca="false">'Stammdaten - Sponsoren'!B94</f>
        <v>Franz</v>
      </c>
      <c r="C39" s="48" t="str">
        <f aca="false">'Stammdaten - Sponsoren'!C94</f>
        <v>Franzi</v>
      </c>
      <c r="D39" s="30" t="n">
        <f aca="false">SUMIF('Stammdaten - Schwimmer'!G$4:G$99,'Stammdaten - Sponsoren'!A94,'Stammdaten - Schwimmer'!J$4:J$99)+SUMIF('Stammdaten - Schwimmer'!K$4:K$99,'Stammdaten - Sponsoren'!A94,'Stammdaten - Schwimmer'!N$4:N$99)+SUMIF('Stammdaten - Schwimmer'!O$4:O$99,'Stammdaten - Sponsoren'!A94,'Stammdaten - Schwimmer'!R$4:R$99)+SUMIF('Stammdaten - Schwimmer'!S$4:S$99,'Stammdaten - Sponsoren'!A94,'Stammdaten - Schwimmer'!V$4:V$99)+SUMIF('Stammdaten - Schwimmer'!W$4:W$99,'Stammdaten - Sponsoren'!A94,'Stammdaten - Schwimmer'!Z$4:Z$99)</f>
        <v>13</v>
      </c>
    </row>
    <row r="40" customFormat="false" ht="15" hidden="false" customHeight="false" outlineLevel="0" collapsed="false">
      <c r="A40" s="29" t="n">
        <f aca="false">'Stammdaten - Sponsoren'!A95</f>
        <v>1094</v>
      </c>
      <c r="B40" s="48" t="str">
        <f aca="false">'Stammdaten - Sponsoren'!B95</f>
        <v>Bronner</v>
      </c>
      <c r="C40" s="48" t="str">
        <f aca="false">'Stammdaten - Sponsoren'!C95</f>
        <v>Thyriam</v>
      </c>
      <c r="D40" s="30" t="n">
        <f aca="false">SUMIF('Stammdaten - Schwimmer'!G$4:G$99,'Stammdaten - Sponsoren'!A95,'Stammdaten - Schwimmer'!J$4:J$99)+SUMIF('Stammdaten - Schwimmer'!K$4:K$99,'Stammdaten - Sponsoren'!A95,'Stammdaten - Schwimmer'!N$4:N$99)+SUMIF('Stammdaten - Schwimmer'!O$4:O$99,'Stammdaten - Sponsoren'!A95,'Stammdaten - Schwimmer'!R$4:R$99)+SUMIF('Stammdaten - Schwimmer'!S$4:S$99,'Stammdaten - Sponsoren'!A95,'Stammdaten - Schwimmer'!V$4:V$99)+SUMIF('Stammdaten - Schwimmer'!W$4:W$99,'Stammdaten - Sponsoren'!A95,'Stammdaten - Schwimmer'!Z$4:Z$99)</f>
        <v>18</v>
      </c>
    </row>
    <row r="41" customFormat="false" ht="15" hidden="false" customHeight="false" outlineLevel="0" collapsed="false">
      <c r="A41" s="29" t="n">
        <f aca="false">'Stammdaten - Sponsoren'!A96</f>
        <v>1095</v>
      </c>
      <c r="B41" s="48" t="str">
        <f aca="false">'Stammdaten - Sponsoren'!B96</f>
        <v>Siebert-Rieger</v>
      </c>
      <c r="C41" s="48" t="str">
        <f aca="false">'Stammdaten - Sponsoren'!C96</f>
        <v>Annegret</v>
      </c>
      <c r="D41" s="30" t="n">
        <f aca="false">SUMIF('Stammdaten - Schwimmer'!G$4:G$99,'Stammdaten - Sponsoren'!A96,'Stammdaten - Schwimmer'!J$4:J$99)+SUMIF('Stammdaten - Schwimmer'!K$4:K$99,'Stammdaten - Sponsoren'!A96,'Stammdaten - Schwimmer'!N$4:N$99)+SUMIF('Stammdaten - Schwimmer'!O$4:O$99,'Stammdaten - Sponsoren'!A96,'Stammdaten - Schwimmer'!R$4:R$99)+SUMIF('Stammdaten - Schwimmer'!S$4:S$99,'Stammdaten - Sponsoren'!A96,'Stammdaten - Schwimmer'!V$4:V$99)+SUMIF('Stammdaten - Schwimmer'!W$4:W$99,'Stammdaten - Sponsoren'!A96,'Stammdaten - Schwimmer'!Z$4:Z$99)</f>
        <v>0</v>
      </c>
    </row>
    <row r="42" customFormat="false" ht="15" hidden="false" customHeight="false" outlineLevel="0" collapsed="false">
      <c r="A42" s="29"/>
      <c r="B42" s="48"/>
      <c r="C42" s="50"/>
      <c r="D42" s="51"/>
    </row>
    <row r="43" customFormat="false" ht="15" hidden="false" customHeight="false" outlineLevel="0" collapsed="false">
      <c r="A43" s="29"/>
      <c r="B43" s="48"/>
      <c r="C43" s="48" t="s">
        <v>365</v>
      </c>
      <c r="D43" s="30" t="n">
        <f aca="false">SUM(D4:D42)</f>
        <v>3577</v>
      </c>
    </row>
    <row r="44" customFormat="false" ht="15" hidden="false" customHeight="false" outlineLevel="0" collapsed="false">
      <c r="A44" s="29"/>
      <c r="B44" s="48"/>
      <c r="C44" s="48"/>
      <c r="D44" s="30"/>
    </row>
    <row r="45" customFormat="false" ht="15" hidden="false" customHeight="false" outlineLevel="0" collapsed="false">
      <c r="A45" s="29"/>
      <c r="B45" s="48"/>
      <c r="C45" s="48"/>
      <c r="D45" s="30"/>
    </row>
    <row r="46" customFormat="false" ht="15" hidden="false" customHeight="false" outlineLevel="0" collapsed="false">
      <c r="A46" s="29"/>
      <c r="B46" s="48"/>
      <c r="C46" s="48"/>
      <c r="D46" s="30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LibreOffice/26.2.5.2$Linux_X86_64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2025-07-03T21:33:05Z</dcterms:created>
  <dc:creator>James Hartman</dc:creator>
  <dc:description/>
  <dc:language>de-DE</dc:language>
  <cp:lastModifiedBy/>
  <cp:lastPrinted>2025-07-23T08:22:58Z</cp:lastPrinted>
  <dcterms:modified xsi:type="dcterms:W3CDTF">2026-08-17T07:34:04Z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